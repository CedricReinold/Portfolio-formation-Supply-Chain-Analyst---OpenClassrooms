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ed\Documents\Etudes\00-MS DA ML\UE6\OpenClassrooms\0-Supply Chain Analyst\Projet 7- Créez un outil de simulation avec Excel afin de prévoir vos commandes\livrable\"/>
    </mc:Choice>
  </mc:AlternateContent>
  <xr:revisionPtr revIDLastSave="0" documentId="13_ncr:1_{9996A2DF-C3EB-4963-B414-736AD8539539}" xr6:coauthVersionLast="47" xr6:coauthVersionMax="47" xr10:uidLastSave="{00000000-0000-0000-0000-000000000000}"/>
  <bookViews>
    <workbookView xWindow="-120" yWindow="-120" windowWidth="29040" windowHeight="15720" xr2:uid="{00000000-000D-0000-FFFF-FFFF00000000}"/>
  </bookViews>
  <sheets>
    <sheet name="DRP V2" sheetId="14" r:id="rId1"/>
    <sheet name="Article" sheetId="4" r:id="rId2"/>
    <sheet name="Article-Paramètre" sheetId="13" r:id="rId3"/>
    <sheet name="Shop" sheetId="5" r:id="rId4"/>
    <sheet name="Fournisseurs-Magasin" sheetId="7" r:id="rId5"/>
    <sheet name="Transporteurs" sheetId="8" r:id="rId6"/>
    <sheet name="Forecast" sheetId="9" r:id="rId7"/>
    <sheet name="Commandes_EnCours" sheetId="10" r:id="rId8"/>
    <sheet name="Stock_S_Encours" sheetId="11" r:id="rId9"/>
    <sheet name="DICODATA" sheetId="12" r:id="rId10"/>
  </sheets>
  <definedNames>
    <definedName name="_xlnm._FilterDatabase" localSheetId="1" hidden="1">Article!$A$1:$F$1</definedName>
    <definedName name="_xlnm._FilterDatabase" localSheetId="7" hidden="1">Commandes_EnCours!$A$1:$F$385</definedName>
    <definedName name="_xlnm._FilterDatabase" localSheetId="6" hidden="1">Forecast!$A$1:$F$4102</definedName>
    <definedName name="_xlnm._FilterDatabase" localSheetId="8" hidden="1">Stock_S_Encours!$A$1:$E$510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icSk9vRLSh8IOqDWUf0D95f+IxEQ=="/>
    </ext>
  </extLst>
</workbook>
</file>

<file path=xl/calcChain.xml><?xml version="1.0" encoding="utf-8"?>
<calcChain xmlns="http://schemas.openxmlformats.org/spreadsheetml/2006/main">
  <c r="I8" i="14" l="1"/>
  <c r="M8" i="14"/>
  <c r="L8" i="14"/>
  <c r="K8" i="14"/>
  <c r="A2" i="7"/>
  <c r="A3" i="7"/>
  <c r="A4"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47"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I13" i="14"/>
  <c r="I12" i="14"/>
  <c r="J8" i="14"/>
  <c r="H8" i="14"/>
  <c r="G8" i="14"/>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F2337" i="9"/>
  <c r="F2338" i="9"/>
  <c r="F2339" i="9"/>
  <c r="F2340" i="9"/>
  <c r="F2341" i="9"/>
  <c r="F2342" i="9"/>
  <c r="F2343" i="9"/>
  <c r="F2344" i="9"/>
  <c r="F2345" i="9"/>
  <c r="F2346" i="9"/>
  <c r="F2347" i="9"/>
  <c r="F2348" i="9"/>
  <c r="F2349" i="9"/>
  <c r="F2350" i="9"/>
  <c r="F2351" i="9"/>
  <c r="F2352" i="9"/>
  <c r="F2353" i="9"/>
  <c r="F2354" i="9"/>
  <c r="F2355" i="9"/>
  <c r="F2356" i="9"/>
  <c r="F2357" i="9"/>
  <c r="F2358" i="9"/>
  <c r="F2359" i="9"/>
  <c r="F2360" i="9"/>
  <c r="F2361" i="9"/>
  <c r="F2362" i="9"/>
  <c r="F2363" i="9"/>
  <c r="F2364" i="9"/>
  <c r="F2365" i="9"/>
  <c r="F2366" i="9"/>
  <c r="F2367" i="9"/>
  <c r="F2368" i="9"/>
  <c r="F2369" i="9"/>
  <c r="F2370" i="9"/>
  <c r="F2371" i="9"/>
  <c r="F2372" i="9"/>
  <c r="F2373" i="9"/>
  <c r="F2374" i="9"/>
  <c r="F2375" i="9"/>
  <c r="F2376" i="9"/>
  <c r="F2377" i="9"/>
  <c r="F2378" i="9"/>
  <c r="F2379" i="9"/>
  <c r="F2380" i="9"/>
  <c r="F2381" i="9"/>
  <c r="F2382" i="9"/>
  <c r="F2383" i="9"/>
  <c r="F2384" i="9"/>
  <c r="F2385" i="9"/>
  <c r="F2386" i="9"/>
  <c r="F2387" i="9"/>
  <c r="F2388" i="9"/>
  <c r="F2389" i="9"/>
  <c r="F2390" i="9"/>
  <c r="F2391" i="9"/>
  <c r="F2392" i="9"/>
  <c r="F2393" i="9"/>
  <c r="F2394" i="9"/>
  <c r="F2395" i="9"/>
  <c r="F2396" i="9"/>
  <c r="F2397" i="9"/>
  <c r="F2398" i="9"/>
  <c r="F2399" i="9"/>
  <c r="F2400" i="9"/>
  <c r="F2401" i="9"/>
  <c r="F2402" i="9"/>
  <c r="F2403" i="9"/>
  <c r="F2404" i="9"/>
  <c r="F2405" i="9"/>
  <c r="F2406" i="9"/>
  <c r="F2407" i="9"/>
  <c r="F2408" i="9"/>
  <c r="F2409" i="9"/>
  <c r="F2410" i="9"/>
  <c r="F2411" i="9"/>
  <c r="F2412" i="9"/>
  <c r="F2413" i="9"/>
  <c r="F2414" i="9"/>
  <c r="F2415" i="9"/>
  <c r="F2416" i="9"/>
  <c r="F2417" i="9"/>
  <c r="F2418" i="9"/>
  <c r="F2419" i="9"/>
  <c r="F2420" i="9"/>
  <c r="F2421" i="9"/>
  <c r="F2422" i="9"/>
  <c r="F2423" i="9"/>
  <c r="F2424" i="9"/>
  <c r="F2425" i="9"/>
  <c r="F2426" i="9"/>
  <c r="F2427" i="9"/>
  <c r="F2428" i="9"/>
  <c r="F2429" i="9"/>
  <c r="F2430" i="9"/>
  <c r="F2431" i="9"/>
  <c r="F2432" i="9"/>
  <c r="F2433" i="9"/>
  <c r="F2434" i="9"/>
  <c r="F2435" i="9"/>
  <c r="F2436" i="9"/>
  <c r="F2437" i="9"/>
  <c r="F2438" i="9"/>
  <c r="F2439" i="9"/>
  <c r="F2440" i="9"/>
  <c r="F2441" i="9"/>
  <c r="F2442" i="9"/>
  <c r="F2443" i="9"/>
  <c r="F2444" i="9"/>
  <c r="F2445" i="9"/>
  <c r="F2446" i="9"/>
  <c r="F2447" i="9"/>
  <c r="F2448" i="9"/>
  <c r="F2449" i="9"/>
  <c r="F2450" i="9"/>
  <c r="F2451" i="9"/>
  <c r="F2452" i="9"/>
  <c r="F2453" i="9"/>
  <c r="F2454" i="9"/>
  <c r="F2455" i="9"/>
  <c r="F2456" i="9"/>
  <c r="F2457" i="9"/>
  <c r="F2458" i="9"/>
  <c r="F2459" i="9"/>
  <c r="F2460" i="9"/>
  <c r="F2461" i="9"/>
  <c r="F2462" i="9"/>
  <c r="F2463" i="9"/>
  <c r="F2464" i="9"/>
  <c r="F2465" i="9"/>
  <c r="F2466" i="9"/>
  <c r="F2467" i="9"/>
  <c r="F2468" i="9"/>
  <c r="F2469" i="9"/>
  <c r="F2470" i="9"/>
  <c r="F2471" i="9"/>
  <c r="F2472" i="9"/>
  <c r="F2473" i="9"/>
  <c r="F2474" i="9"/>
  <c r="F2475" i="9"/>
  <c r="F2476" i="9"/>
  <c r="F2477" i="9"/>
  <c r="F2478" i="9"/>
  <c r="F2479" i="9"/>
  <c r="F2480" i="9"/>
  <c r="F2481" i="9"/>
  <c r="F2482" i="9"/>
  <c r="F2483" i="9"/>
  <c r="F2484" i="9"/>
  <c r="F2485" i="9"/>
  <c r="F2486" i="9"/>
  <c r="F2487" i="9"/>
  <c r="F2488" i="9"/>
  <c r="F2489" i="9"/>
  <c r="F2490" i="9"/>
  <c r="F2491" i="9"/>
  <c r="F2492" i="9"/>
  <c r="F2493" i="9"/>
  <c r="F2494" i="9"/>
  <c r="F2495" i="9"/>
  <c r="F2496" i="9"/>
  <c r="F2497" i="9"/>
  <c r="F2498" i="9"/>
  <c r="F2499" i="9"/>
  <c r="F2500" i="9"/>
  <c r="F2501" i="9"/>
  <c r="F2502" i="9"/>
  <c r="F2503" i="9"/>
  <c r="F2504" i="9"/>
  <c r="F2505" i="9"/>
  <c r="F2506" i="9"/>
  <c r="F2507" i="9"/>
  <c r="F2508" i="9"/>
  <c r="F2509" i="9"/>
  <c r="F2510" i="9"/>
  <c r="F2511" i="9"/>
  <c r="F2512" i="9"/>
  <c r="F2513" i="9"/>
  <c r="F2514" i="9"/>
  <c r="F2515" i="9"/>
  <c r="F2516" i="9"/>
  <c r="F2517" i="9"/>
  <c r="F2518" i="9"/>
  <c r="F2519" i="9"/>
  <c r="F2520" i="9"/>
  <c r="F2521" i="9"/>
  <c r="F2522" i="9"/>
  <c r="F2523" i="9"/>
  <c r="F2524" i="9"/>
  <c r="F2525" i="9"/>
  <c r="F2526" i="9"/>
  <c r="F2527" i="9"/>
  <c r="F2528" i="9"/>
  <c r="F2529" i="9"/>
  <c r="F2530" i="9"/>
  <c r="F2531" i="9"/>
  <c r="F2532" i="9"/>
  <c r="F2533" i="9"/>
  <c r="F2534" i="9"/>
  <c r="F2535" i="9"/>
  <c r="F2536" i="9"/>
  <c r="F2537" i="9"/>
  <c r="F2538" i="9"/>
  <c r="F2539" i="9"/>
  <c r="F2540" i="9"/>
  <c r="F2541" i="9"/>
  <c r="F2542" i="9"/>
  <c r="F2543" i="9"/>
  <c r="F2544" i="9"/>
  <c r="F2545" i="9"/>
  <c r="F2546" i="9"/>
  <c r="F2547" i="9"/>
  <c r="F2548" i="9"/>
  <c r="F2549" i="9"/>
  <c r="F2550" i="9"/>
  <c r="F2551" i="9"/>
  <c r="F2552" i="9"/>
  <c r="F2553" i="9"/>
  <c r="F2554" i="9"/>
  <c r="F2555" i="9"/>
  <c r="F2556" i="9"/>
  <c r="F2557" i="9"/>
  <c r="F2558" i="9"/>
  <c r="F2559" i="9"/>
  <c r="F2560" i="9"/>
  <c r="F2561" i="9"/>
  <c r="F2562" i="9"/>
  <c r="F2563" i="9"/>
  <c r="F2564" i="9"/>
  <c r="F2565" i="9"/>
  <c r="F2566" i="9"/>
  <c r="F2567" i="9"/>
  <c r="F2568" i="9"/>
  <c r="F2569" i="9"/>
  <c r="F2570" i="9"/>
  <c r="F2571" i="9"/>
  <c r="F2572" i="9"/>
  <c r="F2573" i="9"/>
  <c r="F2574" i="9"/>
  <c r="F2575" i="9"/>
  <c r="F2576" i="9"/>
  <c r="F2577" i="9"/>
  <c r="F2578" i="9"/>
  <c r="F2579" i="9"/>
  <c r="F2580" i="9"/>
  <c r="F2581" i="9"/>
  <c r="F2582" i="9"/>
  <c r="F2583" i="9"/>
  <c r="F2584" i="9"/>
  <c r="F2585" i="9"/>
  <c r="F2586" i="9"/>
  <c r="F2587" i="9"/>
  <c r="F2588" i="9"/>
  <c r="F2589" i="9"/>
  <c r="F2590" i="9"/>
  <c r="F2591" i="9"/>
  <c r="F2592" i="9"/>
  <c r="F2593" i="9"/>
  <c r="F2594" i="9"/>
  <c r="F2595" i="9"/>
  <c r="F2596" i="9"/>
  <c r="F2597" i="9"/>
  <c r="F2598" i="9"/>
  <c r="F2599" i="9"/>
  <c r="F2600" i="9"/>
  <c r="F2601" i="9"/>
  <c r="F2602" i="9"/>
  <c r="F2603" i="9"/>
  <c r="F2604" i="9"/>
  <c r="F2605" i="9"/>
  <c r="F2606" i="9"/>
  <c r="F2607" i="9"/>
  <c r="F2608" i="9"/>
  <c r="F2609" i="9"/>
  <c r="F2610" i="9"/>
  <c r="F2611" i="9"/>
  <c r="F2612" i="9"/>
  <c r="F2613" i="9"/>
  <c r="F2614" i="9"/>
  <c r="F2615" i="9"/>
  <c r="F2616" i="9"/>
  <c r="F2617" i="9"/>
  <c r="F2618" i="9"/>
  <c r="F2619" i="9"/>
  <c r="F2620" i="9"/>
  <c r="F2621" i="9"/>
  <c r="F2622" i="9"/>
  <c r="F2623" i="9"/>
  <c r="F2624" i="9"/>
  <c r="F2625" i="9"/>
  <c r="F2626" i="9"/>
  <c r="F2627" i="9"/>
  <c r="F2628" i="9"/>
  <c r="F2629" i="9"/>
  <c r="F2630" i="9"/>
  <c r="F2631" i="9"/>
  <c r="F2632" i="9"/>
  <c r="F2633" i="9"/>
  <c r="F2634" i="9"/>
  <c r="F2635" i="9"/>
  <c r="F2636" i="9"/>
  <c r="F2637" i="9"/>
  <c r="F2638" i="9"/>
  <c r="F2639" i="9"/>
  <c r="F2640" i="9"/>
  <c r="F2641" i="9"/>
  <c r="F2642" i="9"/>
  <c r="F2643" i="9"/>
  <c r="F2644" i="9"/>
  <c r="F2645" i="9"/>
  <c r="F2646" i="9"/>
  <c r="F2647" i="9"/>
  <c r="F2648" i="9"/>
  <c r="F2649" i="9"/>
  <c r="F2650" i="9"/>
  <c r="F2651" i="9"/>
  <c r="F2652" i="9"/>
  <c r="F2653" i="9"/>
  <c r="F2654" i="9"/>
  <c r="F2655" i="9"/>
  <c r="F2656" i="9"/>
  <c r="F2657" i="9"/>
  <c r="F2658" i="9"/>
  <c r="F2659" i="9"/>
  <c r="F2660" i="9"/>
  <c r="F2661" i="9"/>
  <c r="F2662" i="9"/>
  <c r="F2663" i="9"/>
  <c r="F2664" i="9"/>
  <c r="F2665" i="9"/>
  <c r="F2666" i="9"/>
  <c r="F2667" i="9"/>
  <c r="F2668" i="9"/>
  <c r="F2669" i="9"/>
  <c r="F2670" i="9"/>
  <c r="F2671" i="9"/>
  <c r="F2672" i="9"/>
  <c r="F2673" i="9"/>
  <c r="F2674" i="9"/>
  <c r="F2675" i="9"/>
  <c r="F2676" i="9"/>
  <c r="F2677" i="9"/>
  <c r="F2678" i="9"/>
  <c r="F2679" i="9"/>
  <c r="F2680" i="9"/>
  <c r="F2681" i="9"/>
  <c r="F2682" i="9"/>
  <c r="F2683" i="9"/>
  <c r="F2684" i="9"/>
  <c r="F2685" i="9"/>
  <c r="F2686" i="9"/>
  <c r="F2687" i="9"/>
  <c r="F2688" i="9"/>
  <c r="F2689" i="9"/>
  <c r="F2690" i="9"/>
  <c r="F2691" i="9"/>
  <c r="F2692" i="9"/>
  <c r="F2693" i="9"/>
  <c r="F2694" i="9"/>
  <c r="F2695" i="9"/>
  <c r="F2696" i="9"/>
  <c r="F2697" i="9"/>
  <c r="F2698" i="9"/>
  <c r="F2699" i="9"/>
  <c r="F2700" i="9"/>
  <c r="F2701" i="9"/>
  <c r="F2702" i="9"/>
  <c r="F2703" i="9"/>
  <c r="F2704" i="9"/>
  <c r="F2705" i="9"/>
  <c r="F2706" i="9"/>
  <c r="F2707" i="9"/>
  <c r="F2708" i="9"/>
  <c r="F2709" i="9"/>
  <c r="F2710" i="9"/>
  <c r="F2711" i="9"/>
  <c r="F2712" i="9"/>
  <c r="F2713" i="9"/>
  <c r="F2714" i="9"/>
  <c r="F2715" i="9"/>
  <c r="F2716" i="9"/>
  <c r="F2717" i="9"/>
  <c r="F2718" i="9"/>
  <c r="F2719" i="9"/>
  <c r="F2720" i="9"/>
  <c r="F2721" i="9"/>
  <c r="F2722" i="9"/>
  <c r="F2723" i="9"/>
  <c r="F2724" i="9"/>
  <c r="F2725" i="9"/>
  <c r="F2726" i="9"/>
  <c r="F2727" i="9"/>
  <c r="F2728" i="9"/>
  <c r="F2729" i="9"/>
  <c r="F2730" i="9"/>
  <c r="F2731" i="9"/>
  <c r="F2732" i="9"/>
  <c r="F2733" i="9"/>
  <c r="F2734" i="9"/>
  <c r="F2735" i="9"/>
  <c r="F2736" i="9"/>
  <c r="F2737" i="9"/>
  <c r="F2738" i="9"/>
  <c r="F2739" i="9"/>
  <c r="F2740" i="9"/>
  <c r="F2741" i="9"/>
  <c r="F2742" i="9"/>
  <c r="F2743" i="9"/>
  <c r="F2744" i="9"/>
  <c r="F2745" i="9"/>
  <c r="F2746" i="9"/>
  <c r="F2747" i="9"/>
  <c r="F2748" i="9"/>
  <c r="F2749" i="9"/>
  <c r="F2750" i="9"/>
  <c r="F2751" i="9"/>
  <c r="F2752" i="9"/>
  <c r="F2753" i="9"/>
  <c r="F2754" i="9"/>
  <c r="F2755" i="9"/>
  <c r="F2756" i="9"/>
  <c r="F2757" i="9"/>
  <c r="F2758" i="9"/>
  <c r="F2759" i="9"/>
  <c r="F2760" i="9"/>
  <c r="F2761" i="9"/>
  <c r="F2762" i="9"/>
  <c r="F2763" i="9"/>
  <c r="F2764" i="9"/>
  <c r="F2765" i="9"/>
  <c r="F2766" i="9"/>
  <c r="F2767" i="9"/>
  <c r="F2768" i="9"/>
  <c r="F2769" i="9"/>
  <c r="F2770" i="9"/>
  <c r="F2771" i="9"/>
  <c r="F2772" i="9"/>
  <c r="F2773" i="9"/>
  <c r="F2774" i="9"/>
  <c r="F2775" i="9"/>
  <c r="F2776" i="9"/>
  <c r="F2777" i="9"/>
  <c r="F2778" i="9"/>
  <c r="F2779" i="9"/>
  <c r="F2780" i="9"/>
  <c r="F2781" i="9"/>
  <c r="F2782" i="9"/>
  <c r="F2783" i="9"/>
  <c r="F2784" i="9"/>
  <c r="F2785" i="9"/>
  <c r="F2786" i="9"/>
  <c r="F2787" i="9"/>
  <c r="F2788" i="9"/>
  <c r="F2789" i="9"/>
  <c r="F2790" i="9"/>
  <c r="F2791" i="9"/>
  <c r="F2792" i="9"/>
  <c r="F2793" i="9"/>
  <c r="F2794" i="9"/>
  <c r="F2795" i="9"/>
  <c r="F2796" i="9"/>
  <c r="F2797" i="9"/>
  <c r="F2798" i="9"/>
  <c r="F2799" i="9"/>
  <c r="F2800" i="9"/>
  <c r="F2801" i="9"/>
  <c r="F2802" i="9"/>
  <c r="F2803" i="9"/>
  <c r="F2804" i="9"/>
  <c r="F2805" i="9"/>
  <c r="F2806" i="9"/>
  <c r="F2807" i="9"/>
  <c r="F2808" i="9"/>
  <c r="F2809" i="9"/>
  <c r="F2810" i="9"/>
  <c r="F2811" i="9"/>
  <c r="F2812" i="9"/>
  <c r="F2813" i="9"/>
  <c r="F2814" i="9"/>
  <c r="F2815" i="9"/>
  <c r="F2816" i="9"/>
  <c r="F2817" i="9"/>
  <c r="F2818" i="9"/>
  <c r="F2819" i="9"/>
  <c r="F2820" i="9"/>
  <c r="F2821" i="9"/>
  <c r="F2822" i="9"/>
  <c r="F2823" i="9"/>
  <c r="F2824" i="9"/>
  <c r="F2825" i="9"/>
  <c r="F2826" i="9"/>
  <c r="F2827" i="9"/>
  <c r="F2828" i="9"/>
  <c r="F2829" i="9"/>
  <c r="F2830" i="9"/>
  <c r="F2831" i="9"/>
  <c r="F2832" i="9"/>
  <c r="F2833" i="9"/>
  <c r="F2834" i="9"/>
  <c r="F2835" i="9"/>
  <c r="F2836" i="9"/>
  <c r="F2837" i="9"/>
  <c r="F2838" i="9"/>
  <c r="F2839" i="9"/>
  <c r="F2840" i="9"/>
  <c r="F2841" i="9"/>
  <c r="F2842" i="9"/>
  <c r="F2843" i="9"/>
  <c r="F2844" i="9"/>
  <c r="F2845" i="9"/>
  <c r="F2846" i="9"/>
  <c r="F2847" i="9"/>
  <c r="F2848" i="9"/>
  <c r="F2849" i="9"/>
  <c r="F2850" i="9"/>
  <c r="F2851" i="9"/>
  <c r="F2852" i="9"/>
  <c r="F2853" i="9"/>
  <c r="F2854" i="9"/>
  <c r="F2855" i="9"/>
  <c r="F2856" i="9"/>
  <c r="F2857" i="9"/>
  <c r="F2858" i="9"/>
  <c r="F2859" i="9"/>
  <c r="F2860" i="9"/>
  <c r="F2861" i="9"/>
  <c r="F2862" i="9"/>
  <c r="F2863" i="9"/>
  <c r="F2864" i="9"/>
  <c r="F2865" i="9"/>
  <c r="F2866" i="9"/>
  <c r="F2867" i="9"/>
  <c r="F2868" i="9"/>
  <c r="F2869" i="9"/>
  <c r="F2870" i="9"/>
  <c r="F2871" i="9"/>
  <c r="F2872" i="9"/>
  <c r="F2873" i="9"/>
  <c r="F2874" i="9"/>
  <c r="F2875" i="9"/>
  <c r="F2876" i="9"/>
  <c r="F2877" i="9"/>
  <c r="F2878" i="9"/>
  <c r="F2879" i="9"/>
  <c r="F2880" i="9"/>
  <c r="F2881" i="9"/>
  <c r="F2882" i="9"/>
  <c r="F2883" i="9"/>
  <c r="F2884" i="9"/>
  <c r="F2885" i="9"/>
  <c r="F2886" i="9"/>
  <c r="F2887" i="9"/>
  <c r="F2888" i="9"/>
  <c r="F2889" i="9"/>
  <c r="F2890" i="9"/>
  <c r="F2891" i="9"/>
  <c r="F2892" i="9"/>
  <c r="F2893" i="9"/>
  <c r="F2894" i="9"/>
  <c r="F2895" i="9"/>
  <c r="F2896" i="9"/>
  <c r="F2897" i="9"/>
  <c r="F2898" i="9"/>
  <c r="F2899" i="9"/>
  <c r="F2900" i="9"/>
  <c r="F2901" i="9"/>
  <c r="F2902" i="9"/>
  <c r="F2903" i="9"/>
  <c r="F2904" i="9"/>
  <c r="F2905" i="9"/>
  <c r="F2906" i="9"/>
  <c r="F2907" i="9"/>
  <c r="F2908" i="9"/>
  <c r="F2909" i="9"/>
  <c r="F2910" i="9"/>
  <c r="F2911" i="9"/>
  <c r="F2912" i="9"/>
  <c r="F2913" i="9"/>
  <c r="F2914" i="9"/>
  <c r="F2915" i="9"/>
  <c r="F2916" i="9"/>
  <c r="F2917" i="9"/>
  <c r="F2918" i="9"/>
  <c r="F2919" i="9"/>
  <c r="F2920" i="9"/>
  <c r="F2921" i="9"/>
  <c r="F2922" i="9"/>
  <c r="F2923" i="9"/>
  <c r="F2924" i="9"/>
  <c r="F2925" i="9"/>
  <c r="F2926" i="9"/>
  <c r="F2927" i="9"/>
  <c r="F2928" i="9"/>
  <c r="F2929" i="9"/>
  <c r="F2930" i="9"/>
  <c r="F2931" i="9"/>
  <c r="F2932" i="9"/>
  <c r="F2933" i="9"/>
  <c r="F2934" i="9"/>
  <c r="F2935" i="9"/>
  <c r="F2936" i="9"/>
  <c r="F2937" i="9"/>
  <c r="F2938" i="9"/>
  <c r="F2939" i="9"/>
  <c r="F2940" i="9"/>
  <c r="F2941" i="9"/>
  <c r="F2942" i="9"/>
  <c r="F2943" i="9"/>
  <c r="F2944" i="9"/>
  <c r="F2945" i="9"/>
  <c r="F2946" i="9"/>
  <c r="F2947" i="9"/>
  <c r="F2948" i="9"/>
  <c r="F2949" i="9"/>
  <c r="F2950" i="9"/>
  <c r="F2951" i="9"/>
  <c r="F2952" i="9"/>
  <c r="F2953" i="9"/>
  <c r="F2954" i="9"/>
  <c r="F2955" i="9"/>
  <c r="F2956" i="9"/>
  <c r="F2957" i="9"/>
  <c r="F2958" i="9"/>
  <c r="F2959" i="9"/>
  <c r="F2960" i="9"/>
  <c r="F2961" i="9"/>
  <c r="F2962" i="9"/>
  <c r="F2963" i="9"/>
  <c r="F2964" i="9"/>
  <c r="F2965" i="9"/>
  <c r="F2966" i="9"/>
  <c r="F2967" i="9"/>
  <c r="F2968" i="9"/>
  <c r="F2969" i="9"/>
  <c r="F2970" i="9"/>
  <c r="F2971" i="9"/>
  <c r="F2972" i="9"/>
  <c r="F2973" i="9"/>
  <c r="F2974" i="9"/>
  <c r="F2975" i="9"/>
  <c r="F2976" i="9"/>
  <c r="F2977" i="9"/>
  <c r="F2978" i="9"/>
  <c r="F2979" i="9"/>
  <c r="F2980" i="9"/>
  <c r="F2981" i="9"/>
  <c r="F2982" i="9"/>
  <c r="F2983" i="9"/>
  <c r="F2984" i="9"/>
  <c r="F2985" i="9"/>
  <c r="F2986" i="9"/>
  <c r="F2987" i="9"/>
  <c r="F2988" i="9"/>
  <c r="F2989" i="9"/>
  <c r="F2990" i="9"/>
  <c r="F2991" i="9"/>
  <c r="F2992" i="9"/>
  <c r="F2993" i="9"/>
  <c r="F2994" i="9"/>
  <c r="F2995" i="9"/>
  <c r="F2996" i="9"/>
  <c r="F2997" i="9"/>
  <c r="F2998" i="9"/>
  <c r="F2999" i="9"/>
  <c r="F3000" i="9"/>
  <c r="F3001" i="9"/>
  <c r="F3002" i="9"/>
  <c r="F3003" i="9"/>
  <c r="F3004" i="9"/>
  <c r="F3005" i="9"/>
  <c r="F3006" i="9"/>
  <c r="F3007" i="9"/>
  <c r="F3008" i="9"/>
  <c r="F3009" i="9"/>
  <c r="F3010" i="9"/>
  <c r="F3011" i="9"/>
  <c r="F3012" i="9"/>
  <c r="F3013" i="9"/>
  <c r="F3014" i="9"/>
  <c r="F3015" i="9"/>
  <c r="F3016" i="9"/>
  <c r="F3017" i="9"/>
  <c r="F3018" i="9"/>
  <c r="F3019" i="9"/>
  <c r="F3020" i="9"/>
  <c r="F3021" i="9"/>
  <c r="F3022" i="9"/>
  <c r="F3023" i="9"/>
  <c r="F3024" i="9"/>
  <c r="F3025" i="9"/>
  <c r="F3026" i="9"/>
  <c r="F3027" i="9"/>
  <c r="F3028" i="9"/>
  <c r="F3029" i="9"/>
  <c r="F3030" i="9"/>
  <c r="F3031" i="9"/>
  <c r="F3032" i="9"/>
  <c r="F3033" i="9"/>
  <c r="F3034" i="9"/>
  <c r="F3035" i="9"/>
  <c r="F3036" i="9"/>
  <c r="F3037" i="9"/>
  <c r="F3038" i="9"/>
  <c r="F3039" i="9"/>
  <c r="F3040" i="9"/>
  <c r="F3041" i="9"/>
  <c r="F3042" i="9"/>
  <c r="F3043" i="9"/>
  <c r="F3044" i="9"/>
  <c r="F3045" i="9"/>
  <c r="F3046" i="9"/>
  <c r="F3047" i="9"/>
  <c r="F3048" i="9"/>
  <c r="F3049" i="9"/>
  <c r="F3050" i="9"/>
  <c r="F3051" i="9"/>
  <c r="F3052" i="9"/>
  <c r="F3053" i="9"/>
  <c r="F3054" i="9"/>
  <c r="F3055" i="9"/>
  <c r="F3056" i="9"/>
  <c r="F3057" i="9"/>
  <c r="F3058" i="9"/>
  <c r="F3059" i="9"/>
  <c r="F3060" i="9"/>
  <c r="F3061" i="9"/>
  <c r="F3062" i="9"/>
  <c r="F3063" i="9"/>
  <c r="F3064" i="9"/>
  <c r="F3065" i="9"/>
  <c r="F3066" i="9"/>
  <c r="F3067" i="9"/>
  <c r="F3068" i="9"/>
  <c r="F3069" i="9"/>
  <c r="F3070" i="9"/>
  <c r="F3071" i="9"/>
  <c r="F3072" i="9"/>
  <c r="F3073" i="9"/>
  <c r="F3074" i="9"/>
  <c r="F3075" i="9"/>
  <c r="F3076" i="9"/>
  <c r="F3077" i="9"/>
  <c r="F3078" i="9"/>
  <c r="F3079" i="9"/>
  <c r="F3080" i="9"/>
  <c r="F3081" i="9"/>
  <c r="F3082" i="9"/>
  <c r="F3083" i="9"/>
  <c r="F3084" i="9"/>
  <c r="F3085" i="9"/>
  <c r="F3086" i="9"/>
  <c r="F3087" i="9"/>
  <c r="F3088" i="9"/>
  <c r="F3089" i="9"/>
  <c r="F3090" i="9"/>
  <c r="F3091" i="9"/>
  <c r="F3092" i="9"/>
  <c r="F3093" i="9"/>
  <c r="F3094" i="9"/>
  <c r="F3095" i="9"/>
  <c r="F3096" i="9"/>
  <c r="F3097" i="9"/>
  <c r="F3098" i="9"/>
  <c r="F3099" i="9"/>
  <c r="F3100" i="9"/>
  <c r="F3101" i="9"/>
  <c r="F3102" i="9"/>
  <c r="F3103" i="9"/>
  <c r="F3104" i="9"/>
  <c r="F3105" i="9"/>
  <c r="F3106" i="9"/>
  <c r="F3107" i="9"/>
  <c r="F3108" i="9"/>
  <c r="F3109" i="9"/>
  <c r="F3110" i="9"/>
  <c r="F3111" i="9"/>
  <c r="F3112" i="9"/>
  <c r="F3113" i="9"/>
  <c r="F3114" i="9"/>
  <c r="F3115" i="9"/>
  <c r="F3116" i="9"/>
  <c r="F3117" i="9"/>
  <c r="F3118" i="9"/>
  <c r="F3119" i="9"/>
  <c r="F3120" i="9"/>
  <c r="F3121" i="9"/>
  <c r="F3122" i="9"/>
  <c r="F3123" i="9"/>
  <c r="F3124" i="9"/>
  <c r="F3125" i="9"/>
  <c r="F3126" i="9"/>
  <c r="F3127" i="9"/>
  <c r="F3128" i="9"/>
  <c r="F3129" i="9"/>
  <c r="F3130" i="9"/>
  <c r="F3131" i="9"/>
  <c r="F3132" i="9"/>
  <c r="F3133" i="9"/>
  <c r="F3134" i="9"/>
  <c r="F3135" i="9"/>
  <c r="F3136" i="9"/>
  <c r="F3137" i="9"/>
  <c r="F3138" i="9"/>
  <c r="F3139" i="9"/>
  <c r="F3140" i="9"/>
  <c r="F3141" i="9"/>
  <c r="F3142" i="9"/>
  <c r="F3143" i="9"/>
  <c r="F3144" i="9"/>
  <c r="F3145" i="9"/>
  <c r="F3146" i="9"/>
  <c r="F3147" i="9"/>
  <c r="F3148" i="9"/>
  <c r="F3149" i="9"/>
  <c r="F3150" i="9"/>
  <c r="F3151" i="9"/>
  <c r="F3152" i="9"/>
  <c r="F3153" i="9"/>
  <c r="F3154" i="9"/>
  <c r="F3155" i="9"/>
  <c r="F3156" i="9"/>
  <c r="F3157" i="9"/>
  <c r="F3158" i="9"/>
  <c r="F3159" i="9"/>
  <c r="F3160" i="9"/>
  <c r="F3161" i="9"/>
  <c r="F3162" i="9"/>
  <c r="F3163" i="9"/>
  <c r="F3164" i="9"/>
  <c r="F3165" i="9"/>
  <c r="F3166" i="9"/>
  <c r="F3167" i="9"/>
  <c r="F3168" i="9"/>
  <c r="F3169" i="9"/>
  <c r="F3170" i="9"/>
  <c r="F3171" i="9"/>
  <c r="F3172" i="9"/>
  <c r="F3173" i="9"/>
  <c r="F3174" i="9"/>
  <c r="F3175" i="9"/>
  <c r="F3176" i="9"/>
  <c r="F3177" i="9"/>
  <c r="F3178" i="9"/>
  <c r="F3179" i="9"/>
  <c r="F3180" i="9"/>
  <c r="F3181" i="9"/>
  <c r="F3182" i="9"/>
  <c r="F3183" i="9"/>
  <c r="F3184" i="9"/>
  <c r="F3185" i="9"/>
  <c r="F3186" i="9"/>
  <c r="F3187" i="9"/>
  <c r="F3188" i="9"/>
  <c r="F3189" i="9"/>
  <c r="F3190" i="9"/>
  <c r="F3191" i="9"/>
  <c r="F3192" i="9"/>
  <c r="F3193" i="9"/>
  <c r="F3194" i="9"/>
  <c r="F3195" i="9"/>
  <c r="F3196" i="9"/>
  <c r="F3197" i="9"/>
  <c r="F3198" i="9"/>
  <c r="F3199" i="9"/>
  <c r="F3200" i="9"/>
  <c r="F3201" i="9"/>
  <c r="F3202" i="9"/>
  <c r="F3203" i="9"/>
  <c r="F3204" i="9"/>
  <c r="F3205" i="9"/>
  <c r="F3206" i="9"/>
  <c r="F3207" i="9"/>
  <c r="F3208" i="9"/>
  <c r="F3209" i="9"/>
  <c r="F3210" i="9"/>
  <c r="F3211" i="9"/>
  <c r="F3212" i="9"/>
  <c r="F3213" i="9"/>
  <c r="F3214" i="9"/>
  <c r="F3215" i="9"/>
  <c r="F3216" i="9"/>
  <c r="F3217" i="9"/>
  <c r="F3218" i="9"/>
  <c r="F3219" i="9"/>
  <c r="F3220" i="9"/>
  <c r="F3221" i="9"/>
  <c r="F3222" i="9"/>
  <c r="F3223" i="9"/>
  <c r="F3224" i="9"/>
  <c r="F3225" i="9"/>
  <c r="F3226" i="9"/>
  <c r="F3227" i="9"/>
  <c r="F3228" i="9"/>
  <c r="F3229" i="9"/>
  <c r="F3230" i="9"/>
  <c r="F3231" i="9"/>
  <c r="F3232" i="9"/>
  <c r="F3233" i="9"/>
  <c r="F3234" i="9"/>
  <c r="F3235" i="9"/>
  <c r="F3236" i="9"/>
  <c r="F3237" i="9"/>
  <c r="F3238" i="9"/>
  <c r="F3239" i="9"/>
  <c r="F3240" i="9"/>
  <c r="F3241" i="9"/>
  <c r="F3242" i="9"/>
  <c r="F3243" i="9"/>
  <c r="F3244" i="9"/>
  <c r="F3245" i="9"/>
  <c r="F3246" i="9"/>
  <c r="F3247" i="9"/>
  <c r="F3248" i="9"/>
  <c r="F3249" i="9"/>
  <c r="F3250" i="9"/>
  <c r="F3251" i="9"/>
  <c r="F3252" i="9"/>
  <c r="F3253" i="9"/>
  <c r="F3254" i="9"/>
  <c r="F3255" i="9"/>
  <c r="F3256" i="9"/>
  <c r="F3257" i="9"/>
  <c r="F3258" i="9"/>
  <c r="F3259" i="9"/>
  <c r="F3260" i="9"/>
  <c r="F3261" i="9"/>
  <c r="F3262" i="9"/>
  <c r="F3263" i="9"/>
  <c r="F3264" i="9"/>
  <c r="F3265" i="9"/>
  <c r="F3266" i="9"/>
  <c r="F3267" i="9"/>
  <c r="F3268" i="9"/>
  <c r="F3269" i="9"/>
  <c r="F3270" i="9"/>
  <c r="F3271" i="9"/>
  <c r="F3272" i="9"/>
  <c r="F3273" i="9"/>
  <c r="F3274" i="9"/>
  <c r="F3275" i="9"/>
  <c r="F3276" i="9"/>
  <c r="F3277" i="9"/>
  <c r="F3278" i="9"/>
  <c r="F3279" i="9"/>
  <c r="F3280" i="9"/>
  <c r="F3281" i="9"/>
  <c r="F3282" i="9"/>
  <c r="F3283" i="9"/>
  <c r="F3284" i="9"/>
  <c r="F3285" i="9"/>
  <c r="F3286" i="9"/>
  <c r="F3287" i="9"/>
  <c r="F3288" i="9"/>
  <c r="F3289" i="9"/>
  <c r="F3290" i="9"/>
  <c r="F3291" i="9"/>
  <c r="F3292" i="9"/>
  <c r="F3293" i="9"/>
  <c r="F3294" i="9"/>
  <c r="F3295" i="9"/>
  <c r="F3296" i="9"/>
  <c r="F3297" i="9"/>
  <c r="F3298" i="9"/>
  <c r="F3299" i="9"/>
  <c r="F3300" i="9"/>
  <c r="F3301" i="9"/>
  <c r="F3302" i="9"/>
  <c r="F3303" i="9"/>
  <c r="F3304" i="9"/>
  <c r="F3305" i="9"/>
  <c r="F3306" i="9"/>
  <c r="F3307" i="9"/>
  <c r="F3308" i="9"/>
  <c r="F3309" i="9"/>
  <c r="F3310" i="9"/>
  <c r="F3311" i="9"/>
  <c r="F3312" i="9"/>
  <c r="F3313" i="9"/>
  <c r="F3314" i="9"/>
  <c r="F3315" i="9"/>
  <c r="F3316" i="9"/>
  <c r="F3317" i="9"/>
  <c r="F3318" i="9"/>
  <c r="F3319" i="9"/>
  <c r="F3320" i="9"/>
  <c r="F3321" i="9"/>
  <c r="F3322" i="9"/>
  <c r="F3323" i="9"/>
  <c r="F3324" i="9"/>
  <c r="F3325" i="9"/>
  <c r="F3326" i="9"/>
  <c r="F3327" i="9"/>
  <c r="F3328" i="9"/>
  <c r="F3329" i="9"/>
  <c r="F3330" i="9"/>
  <c r="F3331" i="9"/>
  <c r="F3332" i="9"/>
  <c r="F3333" i="9"/>
  <c r="F3334" i="9"/>
  <c r="F3335" i="9"/>
  <c r="F3336" i="9"/>
  <c r="F3337" i="9"/>
  <c r="F3338" i="9"/>
  <c r="F3339" i="9"/>
  <c r="F3340" i="9"/>
  <c r="F3341" i="9"/>
  <c r="F3342" i="9"/>
  <c r="F3343" i="9"/>
  <c r="F3344" i="9"/>
  <c r="F3345" i="9"/>
  <c r="F3346" i="9"/>
  <c r="F3347" i="9"/>
  <c r="F3348" i="9"/>
  <c r="F3349" i="9"/>
  <c r="F3350" i="9"/>
  <c r="F3351" i="9"/>
  <c r="F3352" i="9"/>
  <c r="F3353" i="9"/>
  <c r="F3354" i="9"/>
  <c r="F3355" i="9"/>
  <c r="F3356" i="9"/>
  <c r="F3357" i="9"/>
  <c r="F3358" i="9"/>
  <c r="F3359" i="9"/>
  <c r="F3360" i="9"/>
  <c r="F3361" i="9"/>
  <c r="F3362" i="9"/>
  <c r="F3363" i="9"/>
  <c r="F3364" i="9"/>
  <c r="F3365" i="9"/>
  <c r="F3366" i="9"/>
  <c r="F3367" i="9"/>
  <c r="F3368" i="9"/>
  <c r="F3369" i="9"/>
  <c r="F3370" i="9"/>
  <c r="F3371" i="9"/>
  <c r="F3372" i="9"/>
  <c r="F3373" i="9"/>
  <c r="F3374" i="9"/>
  <c r="F3375" i="9"/>
  <c r="F3376" i="9"/>
  <c r="F3377" i="9"/>
  <c r="F3378" i="9"/>
  <c r="F3379" i="9"/>
  <c r="F3380" i="9"/>
  <c r="F3381" i="9"/>
  <c r="F3382" i="9"/>
  <c r="F3383" i="9"/>
  <c r="F3384" i="9"/>
  <c r="F3385" i="9"/>
  <c r="F3386" i="9"/>
  <c r="F3387" i="9"/>
  <c r="F3388" i="9"/>
  <c r="F3389" i="9"/>
  <c r="F3390" i="9"/>
  <c r="F3391" i="9"/>
  <c r="F3392" i="9"/>
  <c r="F3393" i="9"/>
  <c r="F3394" i="9"/>
  <c r="F3395" i="9"/>
  <c r="F3396" i="9"/>
  <c r="F3397" i="9"/>
  <c r="F3398" i="9"/>
  <c r="F3399" i="9"/>
  <c r="F3400" i="9"/>
  <c r="F3401" i="9"/>
  <c r="F3402" i="9"/>
  <c r="F3403" i="9"/>
  <c r="F3404" i="9"/>
  <c r="F3405" i="9"/>
  <c r="F3406" i="9"/>
  <c r="F3407" i="9"/>
  <c r="F3408" i="9"/>
  <c r="F3409" i="9"/>
  <c r="F3410" i="9"/>
  <c r="F3411" i="9"/>
  <c r="F3412" i="9"/>
  <c r="F3413" i="9"/>
  <c r="F3414" i="9"/>
  <c r="F3415" i="9"/>
  <c r="F3416" i="9"/>
  <c r="F3417" i="9"/>
  <c r="F3418" i="9"/>
  <c r="F3419" i="9"/>
  <c r="F3420" i="9"/>
  <c r="F3421" i="9"/>
  <c r="F3422" i="9"/>
  <c r="F3423" i="9"/>
  <c r="F3424" i="9"/>
  <c r="F3425" i="9"/>
  <c r="F3426" i="9"/>
  <c r="F3427" i="9"/>
  <c r="F3428" i="9"/>
  <c r="F3429" i="9"/>
  <c r="F3430" i="9"/>
  <c r="F3431" i="9"/>
  <c r="F3432" i="9"/>
  <c r="F3433" i="9"/>
  <c r="F3434" i="9"/>
  <c r="F3435" i="9"/>
  <c r="F3436" i="9"/>
  <c r="F3437" i="9"/>
  <c r="F3438" i="9"/>
  <c r="F3439" i="9"/>
  <c r="F3440" i="9"/>
  <c r="F3441" i="9"/>
  <c r="F3442" i="9"/>
  <c r="F3443" i="9"/>
  <c r="F3444" i="9"/>
  <c r="F3445" i="9"/>
  <c r="F3446" i="9"/>
  <c r="F3447" i="9"/>
  <c r="F3448" i="9"/>
  <c r="F3449" i="9"/>
  <c r="F3450" i="9"/>
  <c r="F3451" i="9"/>
  <c r="F3452" i="9"/>
  <c r="F3453" i="9"/>
  <c r="F3454" i="9"/>
  <c r="F3455" i="9"/>
  <c r="F3456" i="9"/>
  <c r="F3457" i="9"/>
  <c r="F3458" i="9"/>
  <c r="F3459" i="9"/>
  <c r="F3460" i="9"/>
  <c r="F3461" i="9"/>
  <c r="F3462" i="9"/>
  <c r="F3463" i="9"/>
  <c r="F3464" i="9"/>
  <c r="F3465" i="9"/>
  <c r="F3466" i="9"/>
  <c r="F3467" i="9"/>
  <c r="F3468" i="9"/>
  <c r="F3469" i="9"/>
  <c r="F3470" i="9"/>
  <c r="F3471" i="9"/>
  <c r="F3472" i="9"/>
  <c r="F3473" i="9"/>
  <c r="F3474" i="9"/>
  <c r="F3475" i="9"/>
  <c r="F3476" i="9"/>
  <c r="F3477" i="9"/>
  <c r="F3478" i="9"/>
  <c r="F3479" i="9"/>
  <c r="F3480" i="9"/>
  <c r="F3481" i="9"/>
  <c r="F3482" i="9"/>
  <c r="F3483" i="9"/>
  <c r="F3484" i="9"/>
  <c r="F3485" i="9"/>
  <c r="F3486" i="9"/>
  <c r="F3487" i="9"/>
  <c r="F3488" i="9"/>
  <c r="F3489" i="9"/>
  <c r="F3490" i="9"/>
  <c r="F3491" i="9"/>
  <c r="F3492" i="9"/>
  <c r="F3493" i="9"/>
  <c r="F3494" i="9"/>
  <c r="F3495" i="9"/>
  <c r="F3496" i="9"/>
  <c r="F3497" i="9"/>
  <c r="F3498" i="9"/>
  <c r="F3499" i="9"/>
  <c r="F3500" i="9"/>
  <c r="F3501" i="9"/>
  <c r="F3502" i="9"/>
  <c r="F3503" i="9"/>
  <c r="F3504" i="9"/>
  <c r="F3505" i="9"/>
  <c r="F3506" i="9"/>
  <c r="F3507" i="9"/>
  <c r="F3508" i="9"/>
  <c r="F3509" i="9"/>
  <c r="F3510" i="9"/>
  <c r="F3511" i="9"/>
  <c r="F3512" i="9"/>
  <c r="F3513" i="9"/>
  <c r="F3514" i="9"/>
  <c r="F3515" i="9"/>
  <c r="F3516" i="9"/>
  <c r="F3517" i="9"/>
  <c r="F3518" i="9"/>
  <c r="F3519" i="9"/>
  <c r="F3520" i="9"/>
  <c r="F3521" i="9"/>
  <c r="F3522" i="9"/>
  <c r="F3523" i="9"/>
  <c r="F3524" i="9"/>
  <c r="F3525" i="9"/>
  <c r="F3526" i="9"/>
  <c r="F3527" i="9"/>
  <c r="F3528" i="9"/>
  <c r="F3529" i="9"/>
  <c r="F3530" i="9"/>
  <c r="F3531" i="9"/>
  <c r="F3532" i="9"/>
  <c r="F3533" i="9"/>
  <c r="F3534" i="9"/>
  <c r="F3535" i="9"/>
  <c r="F3536" i="9"/>
  <c r="F3537" i="9"/>
  <c r="F3538" i="9"/>
  <c r="F3539" i="9"/>
  <c r="F3540" i="9"/>
  <c r="F3541" i="9"/>
  <c r="F3542" i="9"/>
  <c r="F3543" i="9"/>
  <c r="F3544" i="9"/>
  <c r="F3545" i="9"/>
  <c r="F3546" i="9"/>
  <c r="F3547" i="9"/>
  <c r="F3548" i="9"/>
  <c r="F3549" i="9"/>
  <c r="F3550" i="9"/>
  <c r="F3551" i="9"/>
  <c r="F3552" i="9"/>
  <c r="F3553" i="9"/>
  <c r="F3554" i="9"/>
  <c r="F3555" i="9"/>
  <c r="F3556" i="9"/>
  <c r="F3557" i="9"/>
  <c r="F3558" i="9"/>
  <c r="F3559" i="9"/>
  <c r="F3560" i="9"/>
  <c r="F3561" i="9"/>
  <c r="F3562" i="9"/>
  <c r="F3563" i="9"/>
  <c r="F3564" i="9"/>
  <c r="F3565" i="9"/>
  <c r="F3566" i="9"/>
  <c r="F3567" i="9"/>
  <c r="F3568" i="9"/>
  <c r="F3569" i="9"/>
  <c r="F3570" i="9"/>
  <c r="F3571" i="9"/>
  <c r="F3572" i="9"/>
  <c r="F3573" i="9"/>
  <c r="F3574" i="9"/>
  <c r="F3575" i="9"/>
  <c r="F3576" i="9"/>
  <c r="F3577" i="9"/>
  <c r="F3578" i="9"/>
  <c r="F3579" i="9"/>
  <c r="F3580" i="9"/>
  <c r="F3581" i="9"/>
  <c r="F3582" i="9"/>
  <c r="F3583" i="9"/>
  <c r="F3584" i="9"/>
  <c r="F3585" i="9"/>
  <c r="F3586" i="9"/>
  <c r="F3587" i="9"/>
  <c r="F3588" i="9"/>
  <c r="F3589" i="9"/>
  <c r="F3590" i="9"/>
  <c r="F3591" i="9"/>
  <c r="F3592" i="9"/>
  <c r="F3593" i="9"/>
  <c r="F3594" i="9"/>
  <c r="F3595" i="9"/>
  <c r="F3596" i="9"/>
  <c r="F3597" i="9"/>
  <c r="F3598" i="9"/>
  <c r="F3599" i="9"/>
  <c r="F3600" i="9"/>
  <c r="F3601" i="9"/>
  <c r="F3602" i="9"/>
  <c r="F3603" i="9"/>
  <c r="F3604" i="9"/>
  <c r="F3605" i="9"/>
  <c r="F3606" i="9"/>
  <c r="F3607" i="9"/>
  <c r="F3608" i="9"/>
  <c r="F3609" i="9"/>
  <c r="F3610" i="9"/>
  <c r="F3611" i="9"/>
  <c r="F3612" i="9"/>
  <c r="F3613" i="9"/>
  <c r="F3614" i="9"/>
  <c r="F3615" i="9"/>
  <c r="F3616" i="9"/>
  <c r="F3617" i="9"/>
  <c r="F3618" i="9"/>
  <c r="F3619" i="9"/>
  <c r="F3620" i="9"/>
  <c r="F3621" i="9"/>
  <c r="F3622" i="9"/>
  <c r="F3623" i="9"/>
  <c r="F3624" i="9"/>
  <c r="F3625" i="9"/>
  <c r="F3626" i="9"/>
  <c r="F3627" i="9"/>
  <c r="F3628" i="9"/>
  <c r="F3629" i="9"/>
  <c r="F3630" i="9"/>
  <c r="F3631" i="9"/>
  <c r="F3632" i="9"/>
  <c r="F3633" i="9"/>
  <c r="F3634" i="9"/>
  <c r="F3635" i="9"/>
  <c r="F3636" i="9"/>
  <c r="F3637" i="9"/>
  <c r="F3638" i="9"/>
  <c r="F3639" i="9"/>
  <c r="F3640" i="9"/>
  <c r="F3641" i="9"/>
  <c r="F3642" i="9"/>
  <c r="F3643" i="9"/>
  <c r="F3644" i="9"/>
  <c r="F3645" i="9"/>
  <c r="F3646" i="9"/>
  <c r="F3647" i="9"/>
  <c r="F3648" i="9"/>
  <c r="F3649" i="9"/>
  <c r="F3650" i="9"/>
  <c r="F3651" i="9"/>
  <c r="F3652" i="9"/>
  <c r="F3653" i="9"/>
  <c r="F3654" i="9"/>
  <c r="F3655" i="9"/>
  <c r="F3656" i="9"/>
  <c r="F3657" i="9"/>
  <c r="F3658" i="9"/>
  <c r="F3659" i="9"/>
  <c r="F3660" i="9"/>
  <c r="F3661" i="9"/>
  <c r="F3662" i="9"/>
  <c r="F3663" i="9"/>
  <c r="F3664" i="9"/>
  <c r="F3665" i="9"/>
  <c r="F3666" i="9"/>
  <c r="F3667" i="9"/>
  <c r="F3668" i="9"/>
  <c r="F3669" i="9"/>
  <c r="F3670" i="9"/>
  <c r="F3671" i="9"/>
  <c r="F3672" i="9"/>
  <c r="F3673" i="9"/>
  <c r="F3674" i="9"/>
  <c r="F3675" i="9"/>
  <c r="F3676" i="9"/>
  <c r="F3677" i="9"/>
  <c r="F3678" i="9"/>
  <c r="F3679" i="9"/>
  <c r="F3680" i="9"/>
  <c r="F3681" i="9"/>
  <c r="F3682" i="9"/>
  <c r="F3683" i="9"/>
  <c r="F3684" i="9"/>
  <c r="F3685" i="9"/>
  <c r="F3686" i="9"/>
  <c r="F3687" i="9"/>
  <c r="F3688" i="9"/>
  <c r="F3689" i="9"/>
  <c r="F3690" i="9"/>
  <c r="F3691" i="9"/>
  <c r="F3692" i="9"/>
  <c r="F3693" i="9"/>
  <c r="F3694" i="9"/>
  <c r="F3695" i="9"/>
  <c r="F3696" i="9"/>
  <c r="F3697" i="9"/>
  <c r="F3698" i="9"/>
  <c r="F3699" i="9"/>
  <c r="F3700" i="9"/>
  <c r="F3701" i="9"/>
  <c r="F3702" i="9"/>
  <c r="F3703" i="9"/>
  <c r="F3704" i="9"/>
  <c r="F3705" i="9"/>
  <c r="F3706" i="9"/>
  <c r="F3707" i="9"/>
  <c r="F3708" i="9"/>
  <c r="F3709" i="9"/>
  <c r="F3710" i="9"/>
  <c r="F3711" i="9"/>
  <c r="F3712" i="9"/>
  <c r="F3713" i="9"/>
  <c r="F3714" i="9"/>
  <c r="F3715" i="9"/>
  <c r="F3716" i="9"/>
  <c r="F3717" i="9"/>
  <c r="F3718" i="9"/>
  <c r="F3719" i="9"/>
  <c r="F3720" i="9"/>
  <c r="F3721" i="9"/>
  <c r="F3722" i="9"/>
  <c r="F3723" i="9"/>
  <c r="F3724" i="9"/>
  <c r="F3725" i="9"/>
  <c r="F3726" i="9"/>
  <c r="F3727" i="9"/>
  <c r="F3728" i="9"/>
  <c r="F3729" i="9"/>
  <c r="F3730" i="9"/>
  <c r="F3731" i="9"/>
  <c r="F3732" i="9"/>
  <c r="F3733" i="9"/>
  <c r="F3734" i="9"/>
  <c r="F3735" i="9"/>
  <c r="F3736" i="9"/>
  <c r="F3737" i="9"/>
  <c r="F3738" i="9"/>
  <c r="F3739" i="9"/>
  <c r="F3740" i="9"/>
  <c r="F3741" i="9"/>
  <c r="F3742" i="9"/>
  <c r="F3743" i="9"/>
  <c r="F3744" i="9"/>
  <c r="F3745" i="9"/>
  <c r="F3746" i="9"/>
  <c r="F3747" i="9"/>
  <c r="F3748" i="9"/>
  <c r="F3749" i="9"/>
  <c r="F3750" i="9"/>
  <c r="F3751" i="9"/>
  <c r="F3752" i="9"/>
  <c r="F3753" i="9"/>
  <c r="F3754" i="9"/>
  <c r="F3755" i="9"/>
  <c r="F3756" i="9"/>
  <c r="F3757" i="9"/>
  <c r="F3758" i="9"/>
  <c r="F3759" i="9"/>
  <c r="F3760" i="9"/>
  <c r="F3761" i="9"/>
  <c r="F3762" i="9"/>
  <c r="F3763" i="9"/>
  <c r="F3764" i="9"/>
  <c r="F3765" i="9"/>
  <c r="F3766" i="9"/>
  <c r="F3767" i="9"/>
  <c r="F3768" i="9"/>
  <c r="F3769" i="9"/>
  <c r="F3770" i="9"/>
  <c r="F3771" i="9"/>
  <c r="F3772" i="9"/>
  <c r="F3773" i="9"/>
  <c r="F3774" i="9"/>
  <c r="F3775" i="9"/>
  <c r="F3776" i="9"/>
  <c r="F3777" i="9"/>
  <c r="F3778" i="9"/>
  <c r="F3779" i="9"/>
  <c r="F3780" i="9"/>
  <c r="F3781" i="9"/>
  <c r="F3782" i="9"/>
  <c r="F3783" i="9"/>
  <c r="F3784" i="9"/>
  <c r="F3785" i="9"/>
  <c r="F3786" i="9"/>
  <c r="F3787" i="9"/>
  <c r="F3788" i="9"/>
  <c r="F3789" i="9"/>
  <c r="F3790" i="9"/>
  <c r="F3791" i="9"/>
  <c r="F3792" i="9"/>
  <c r="F3793" i="9"/>
  <c r="F3794" i="9"/>
  <c r="F3795" i="9"/>
  <c r="F3796" i="9"/>
  <c r="F3797" i="9"/>
  <c r="F3798" i="9"/>
  <c r="F3799" i="9"/>
  <c r="F3800" i="9"/>
  <c r="F3801" i="9"/>
  <c r="F3802" i="9"/>
  <c r="F3803" i="9"/>
  <c r="F3804" i="9"/>
  <c r="F3805" i="9"/>
  <c r="F3806" i="9"/>
  <c r="F3807" i="9"/>
  <c r="F3808" i="9"/>
  <c r="F3809" i="9"/>
  <c r="F3810" i="9"/>
  <c r="F3811" i="9"/>
  <c r="F3812" i="9"/>
  <c r="F3813" i="9"/>
  <c r="F3814" i="9"/>
  <c r="F3815" i="9"/>
  <c r="F3816" i="9"/>
  <c r="F3817" i="9"/>
  <c r="F3818" i="9"/>
  <c r="F3819" i="9"/>
  <c r="F3820" i="9"/>
  <c r="F3821" i="9"/>
  <c r="F3822" i="9"/>
  <c r="F3823" i="9"/>
  <c r="F3824" i="9"/>
  <c r="F3825" i="9"/>
  <c r="F3826" i="9"/>
  <c r="F3827" i="9"/>
  <c r="F3828" i="9"/>
  <c r="F3829" i="9"/>
  <c r="F3830" i="9"/>
  <c r="F3831" i="9"/>
  <c r="F3832" i="9"/>
  <c r="F3833" i="9"/>
  <c r="F3834" i="9"/>
  <c r="F3835" i="9"/>
  <c r="F3836" i="9"/>
  <c r="F3837" i="9"/>
  <c r="F3838" i="9"/>
  <c r="F3839" i="9"/>
  <c r="F3840" i="9"/>
  <c r="F3841" i="9"/>
  <c r="F3842" i="9"/>
  <c r="F3843" i="9"/>
  <c r="F3844" i="9"/>
  <c r="F3845" i="9"/>
  <c r="F3846" i="9"/>
  <c r="F3847" i="9"/>
  <c r="F3848" i="9"/>
  <c r="F3849" i="9"/>
  <c r="F3850" i="9"/>
  <c r="F3851" i="9"/>
  <c r="F3852" i="9"/>
  <c r="F3853" i="9"/>
  <c r="F3854" i="9"/>
  <c r="F3855" i="9"/>
  <c r="F3856" i="9"/>
  <c r="F3857" i="9"/>
  <c r="F3858" i="9"/>
  <c r="F3859" i="9"/>
  <c r="F3860" i="9"/>
  <c r="F3861" i="9"/>
  <c r="F3862" i="9"/>
  <c r="F3863" i="9"/>
  <c r="F3864" i="9"/>
  <c r="F3865" i="9"/>
  <c r="F3866" i="9"/>
  <c r="F3867" i="9"/>
  <c r="F3868" i="9"/>
  <c r="F3869" i="9"/>
  <c r="F3870" i="9"/>
  <c r="F3871" i="9"/>
  <c r="F3872" i="9"/>
  <c r="F3873" i="9"/>
  <c r="F3874" i="9"/>
  <c r="F3875" i="9"/>
  <c r="F3876" i="9"/>
  <c r="F3877" i="9"/>
  <c r="F3878" i="9"/>
  <c r="F3879" i="9"/>
  <c r="F3880" i="9"/>
  <c r="F3881" i="9"/>
  <c r="F3882" i="9"/>
  <c r="F3883" i="9"/>
  <c r="F3884" i="9"/>
  <c r="F3885" i="9"/>
  <c r="F3886" i="9"/>
  <c r="F3887" i="9"/>
  <c r="F3888" i="9"/>
  <c r="F3889" i="9"/>
  <c r="F3890" i="9"/>
  <c r="F3891" i="9"/>
  <c r="F3892" i="9"/>
  <c r="F3893" i="9"/>
  <c r="F3894" i="9"/>
  <c r="F3895" i="9"/>
  <c r="F3896" i="9"/>
  <c r="F3897" i="9"/>
  <c r="F3898" i="9"/>
  <c r="F3899" i="9"/>
  <c r="F3900" i="9"/>
  <c r="F3901" i="9"/>
  <c r="F3902" i="9"/>
  <c r="F3903" i="9"/>
  <c r="F3904" i="9"/>
  <c r="F3905" i="9"/>
  <c r="F3906" i="9"/>
  <c r="F3907" i="9"/>
  <c r="F3908" i="9"/>
  <c r="F3909" i="9"/>
  <c r="F3910" i="9"/>
  <c r="F3911" i="9"/>
  <c r="F3912" i="9"/>
  <c r="F3913" i="9"/>
  <c r="F3914" i="9"/>
  <c r="F3915" i="9"/>
  <c r="F3916" i="9"/>
  <c r="F3917" i="9"/>
  <c r="F3918" i="9"/>
  <c r="F3919" i="9"/>
  <c r="F3920" i="9"/>
  <c r="F3921" i="9"/>
  <c r="F3922" i="9"/>
  <c r="F3923" i="9"/>
  <c r="F3924" i="9"/>
  <c r="F3925" i="9"/>
  <c r="F3926" i="9"/>
  <c r="F3927" i="9"/>
  <c r="F3928" i="9"/>
  <c r="F3929" i="9"/>
  <c r="F3930" i="9"/>
  <c r="F3931" i="9"/>
  <c r="F3932" i="9"/>
  <c r="F3933" i="9"/>
  <c r="F3934" i="9"/>
  <c r="F3935" i="9"/>
  <c r="F3936" i="9"/>
  <c r="F3937" i="9"/>
  <c r="F3938" i="9"/>
  <c r="F3939" i="9"/>
  <c r="F3940" i="9"/>
  <c r="F3941" i="9"/>
  <c r="F3942" i="9"/>
  <c r="F3943" i="9"/>
  <c r="F3944" i="9"/>
  <c r="F3945" i="9"/>
  <c r="F3946" i="9"/>
  <c r="F3947" i="9"/>
  <c r="F3948" i="9"/>
  <c r="F3949" i="9"/>
  <c r="F3950" i="9"/>
  <c r="F3951" i="9"/>
  <c r="F3952" i="9"/>
  <c r="F3953" i="9"/>
  <c r="F3954" i="9"/>
  <c r="F3955" i="9"/>
  <c r="F3956" i="9"/>
  <c r="F3957" i="9"/>
  <c r="F3958" i="9"/>
  <c r="F3959" i="9"/>
  <c r="F3960" i="9"/>
  <c r="F3961" i="9"/>
  <c r="F3962" i="9"/>
  <c r="F3963" i="9"/>
  <c r="F3964" i="9"/>
  <c r="F3965" i="9"/>
  <c r="F3966" i="9"/>
  <c r="F3967" i="9"/>
  <c r="F3968" i="9"/>
  <c r="F3969" i="9"/>
  <c r="F3970" i="9"/>
  <c r="F3971" i="9"/>
  <c r="F3972" i="9"/>
  <c r="F3973" i="9"/>
  <c r="F3974" i="9"/>
  <c r="F3975" i="9"/>
  <c r="F3976" i="9"/>
  <c r="F3977" i="9"/>
  <c r="F3978" i="9"/>
  <c r="F3979" i="9"/>
  <c r="F3980" i="9"/>
  <c r="F3981" i="9"/>
  <c r="F3982" i="9"/>
  <c r="F3983" i="9"/>
  <c r="F3984" i="9"/>
  <c r="F3985" i="9"/>
  <c r="F3986" i="9"/>
  <c r="F3987" i="9"/>
  <c r="F3988" i="9"/>
  <c r="F3989" i="9"/>
  <c r="F3990" i="9"/>
  <c r="F3991" i="9"/>
  <c r="F3992" i="9"/>
  <c r="F3993" i="9"/>
  <c r="F3994" i="9"/>
  <c r="F3995" i="9"/>
  <c r="F3996" i="9"/>
  <c r="F3997" i="9"/>
  <c r="F3998" i="9"/>
  <c r="F3999" i="9"/>
  <c r="F4000" i="9"/>
  <c r="F4001" i="9"/>
  <c r="F4002" i="9"/>
  <c r="F4003" i="9"/>
  <c r="F4004" i="9"/>
  <c r="F4005" i="9"/>
  <c r="F4006" i="9"/>
  <c r="F4007" i="9"/>
  <c r="F4008" i="9"/>
  <c r="F4009" i="9"/>
  <c r="F4010" i="9"/>
  <c r="F4011" i="9"/>
  <c r="F4012" i="9"/>
  <c r="F4013" i="9"/>
  <c r="F4014" i="9"/>
  <c r="F4015" i="9"/>
  <c r="F4016" i="9"/>
  <c r="F4017" i="9"/>
  <c r="F4018" i="9"/>
  <c r="F4019" i="9"/>
  <c r="F4020" i="9"/>
  <c r="F4021" i="9"/>
  <c r="F4022" i="9"/>
  <c r="F4023" i="9"/>
  <c r="F4024" i="9"/>
  <c r="F4025" i="9"/>
  <c r="F4026" i="9"/>
  <c r="F4027" i="9"/>
  <c r="F4028" i="9"/>
  <c r="F4029" i="9"/>
  <c r="F4030" i="9"/>
  <c r="F4031" i="9"/>
  <c r="F4032" i="9"/>
  <c r="F4033" i="9"/>
  <c r="F4034" i="9"/>
  <c r="F4035" i="9"/>
  <c r="F4036" i="9"/>
  <c r="F4037" i="9"/>
  <c r="F4038" i="9"/>
  <c r="F4039" i="9"/>
  <c r="F4040" i="9"/>
  <c r="F4041" i="9"/>
  <c r="F4042" i="9"/>
  <c r="F4043" i="9"/>
  <c r="F4044" i="9"/>
  <c r="F4045" i="9"/>
  <c r="F4046" i="9"/>
  <c r="F4047" i="9"/>
  <c r="F4048" i="9"/>
  <c r="F4049" i="9"/>
  <c r="F4050" i="9"/>
  <c r="F4051" i="9"/>
  <c r="F4052" i="9"/>
  <c r="F4053" i="9"/>
  <c r="F4054" i="9"/>
  <c r="F4055" i="9"/>
  <c r="F4056" i="9"/>
  <c r="F4057" i="9"/>
  <c r="F4058" i="9"/>
  <c r="F4059" i="9"/>
  <c r="F4060" i="9"/>
  <c r="F4061" i="9"/>
  <c r="F4062" i="9"/>
  <c r="F4063" i="9"/>
  <c r="F4064" i="9"/>
  <c r="F4065" i="9"/>
  <c r="F4066" i="9"/>
  <c r="F4067" i="9"/>
  <c r="F4068" i="9"/>
  <c r="F4069" i="9"/>
  <c r="F4070" i="9"/>
  <c r="F4071" i="9"/>
  <c r="F4072" i="9"/>
  <c r="F4073" i="9"/>
  <c r="F4074" i="9"/>
  <c r="F4075" i="9"/>
  <c r="F4076" i="9"/>
  <c r="F4077" i="9"/>
  <c r="F4078" i="9"/>
  <c r="F4079" i="9"/>
  <c r="F4080" i="9"/>
  <c r="F4081" i="9"/>
  <c r="F4082" i="9"/>
  <c r="F4083" i="9"/>
  <c r="F4084" i="9"/>
  <c r="F4085" i="9"/>
  <c r="F4086" i="9"/>
  <c r="F4087" i="9"/>
  <c r="F4088" i="9"/>
  <c r="F4089" i="9"/>
  <c r="F4090" i="9"/>
  <c r="F4091" i="9"/>
  <c r="F4092" i="9"/>
  <c r="F4093" i="9"/>
  <c r="F4094" i="9"/>
  <c r="F4095" i="9"/>
  <c r="F4096" i="9"/>
  <c r="F4097" i="9"/>
  <c r="F4098" i="9"/>
  <c r="F4099" i="9"/>
  <c r="F4100" i="9"/>
  <c r="F4101" i="9"/>
  <c r="F4102" i="9"/>
  <c r="F2" i="9"/>
  <c r="E2" i="11"/>
  <c r="E510" i="11"/>
  <c r="E509" i="11"/>
  <c r="E508" i="11"/>
  <c r="E507" i="11"/>
  <c r="E506" i="11"/>
  <c r="E505" i="11"/>
  <c r="E504" i="11"/>
  <c r="E503" i="11"/>
  <c r="E502" i="11"/>
  <c r="E501" i="11"/>
  <c r="E500" i="11"/>
  <c r="E499" i="11"/>
  <c r="E498" i="11"/>
  <c r="E497" i="11"/>
  <c r="E496" i="11"/>
  <c r="E495" i="11"/>
  <c r="E494" i="11"/>
  <c r="E493" i="11"/>
  <c r="E492" i="11"/>
  <c r="E491" i="11"/>
  <c r="E490" i="11"/>
  <c r="E489" i="11"/>
  <c r="E488" i="11"/>
  <c r="E487" i="11"/>
  <c r="E486" i="11"/>
  <c r="E485" i="11"/>
  <c r="E484" i="11"/>
  <c r="E483" i="11"/>
  <c r="E482" i="11"/>
  <c r="E481" i="11"/>
  <c r="E480" i="11"/>
  <c r="E479" i="11"/>
  <c r="E478" i="11"/>
  <c r="E477" i="11"/>
  <c r="E476" i="11"/>
  <c r="E475" i="11"/>
  <c r="E474" i="11"/>
  <c r="E473" i="11"/>
  <c r="E472" i="11"/>
  <c r="E471" i="11"/>
  <c r="E470" i="11"/>
  <c r="E469" i="11"/>
  <c r="E468" i="11"/>
  <c r="E467" i="11"/>
  <c r="E466" i="11"/>
  <c r="E465" i="11"/>
  <c r="E464" i="11"/>
  <c r="E463" i="11"/>
  <c r="E462" i="11"/>
  <c r="E461" i="11"/>
  <c r="E460" i="11"/>
  <c r="E459" i="11"/>
  <c r="E458" i="11"/>
  <c r="E457" i="11"/>
  <c r="E456" i="11"/>
  <c r="E455" i="11"/>
  <c r="E454" i="11"/>
  <c r="E453" i="11"/>
  <c r="E452" i="11"/>
  <c r="E451" i="11"/>
  <c r="E450" i="11"/>
  <c r="E449" i="11"/>
  <c r="E448" i="11"/>
  <c r="E447" i="11"/>
  <c r="E446" i="11"/>
  <c r="E445" i="11"/>
  <c r="E444" i="11"/>
  <c r="E443" i="11"/>
  <c r="E442" i="11"/>
  <c r="E441" i="11"/>
  <c r="E440" i="11"/>
  <c r="E439" i="11"/>
  <c r="E438" i="11"/>
  <c r="E437" i="11"/>
  <c r="E436" i="11"/>
  <c r="E435" i="11"/>
  <c r="E434" i="11"/>
  <c r="E433" i="11"/>
  <c r="E432" i="11"/>
  <c r="E431" i="11"/>
  <c r="E430" i="11"/>
  <c r="E429" i="11"/>
  <c r="E428" i="11"/>
  <c r="E427" i="11"/>
  <c r="E426" i="11"/>
  <c r="E425" i="11"/>
  <c r="E424" i="11"/>
  <c r="E423" i="11"/>
  <c r="E422" i="11"/>
  <c r="E421" i="11"/>
  <c r="E420" i="11"/>
  <c r="E419" i="11"/>
  <c r="E418" i="11"/>
  <c r="E417" i="11"/>
  <c r="E416" i="11"/>
  <c r="E415" i="11"/>
  <c r="E414" i="11"/>
  <c r="E413" i="11"/>
  <c r="E412" i="11"/>
  <c r="E411" i="11"/>
  <c r="E410" i="11"/>
  <c r="E409" i="11"/>
  <c r="E408" i="11"/>
  <c r="E407" i="11"/>
  <c r="E406" i="11"/>
  <c r="E405" i="11"/>
  <c r="E404" i="11"/>
  <c r="E403" i="11"/>
  <c r="E402" i="11"/>
  <c r="E401" i="11"/>
  <c r="E400" i="11"/>
  <c r="E399" i="11"/>
  <c r="E398" i="11"/>
  <c r="E397" i="11"/>
  <c r="E396" i="11"/>
  <c r="E395" i="11"/>
  <c r="E394" i="11"/>
  <c r="E393" i="11"/>
  <c r="E392" i="11"/>
  <c r="E391" i="11"/>
  <c r="E390" i="11"/>
  <c r="E389" i="11"/>
  <c r="E388" i="11"/>
  <c r="E387" i="11"/>
  <c r="E386" i="11"/>
  <c r="E385" i="11"/>
  <c r="E384" i="11"/>
  <c r="E383" i="11"/>
  <c r="E382" i="11"/>
  <c r="E381" i="11"/>
  <c r="E380" i="11"/>
  <c r="E379" i="11"/>
  <c r="E378" i="11"/>
  <c r="E377" i="11"/>
  <c r="E376" i="11"/>
  <c r="E375" i="11"/>
  <c r="E374" i="11"/>
  <c r="E373" i="11"/>
  <c r="E372" i="11"/>
  <c r="E371" i="11"/>
  <c r="E370" i="11"/>
  <c r="E369" i="11"/>
  <c r="E368" i="11"/>
  <c r="E367" i="11"/>
  <c r="E366" i="11"/>
  <c r="E365" i="11"/>
  <c r="E364" i="11"/>
  <c r="E363" i="11"/>
  <c r="E362" i="11"/>
  <c r="E361" i="11"/>
  <c r="E360" i="11"/>
  <c r="E359" i="11"/>
  <c r="E358" i="11"/>
  <c r="E357" i="11"/>
  <c r="E356" i="11"/>
  <c r="E355" i="11"/>
  <c r="E354" i="11"/>
  <c r="E353" i="11"/>
  <c r="E352" i="11"/>
  <c r="E351" i="11"/>
  <c r="E350" i="11"/>
  <c r="E349" i="11"/>
  <c r="E348" i="11"/>
  <c r="E347" i="11"/>
  <c r="E346" i="11"/>
  <c r="E345" i="11"/>
  <c r="E344" i="11"/>
  <c r="E343" i="11"/>
  <c r="E342" i="11"/>
  <c r="E341" i="11"/>
  <c r="E340" i="11"/>
  <c r="E339" i="11"/>
  <c r="E338" i="11"/>
  <c r="E337" i="11"/>
  <c r="E336" i="11"/>
  <c r="E335" i="11"/>
  <c r="E334" i="11"/>
  <c r="E333" i="11"/>
  <c r="E332" i="11"/>
  <c r="E331" i="11"/>
  <c r="E330" i="11"/>
  <c r="E329" i="11"/>
  <c r="E328" i="11"/>
  <c r="E327" i="11"/>
  <c r="E326" i="11"/>
  <c r="E325" i="11"/>
  <c r="E324" i="11"/>
  <c r="E323" i="11"/>
  <c r="E322" i="11"/>
  <c r="E321" i="11"/>
  <c r="E320" i="11"/>
  <c r="E319" i="11"/>
  <c r="E318" i="11"/>
  <c r="E317" i="11"/>
  <c r="E316" i="11"/>
  <c r="E315" i="11"/>
  <c r="E314" i="11"/>
  <c r="E313" i="11"/>
  <c r="E312" i="11"/>
  <c r="E311" i="11"/>
  <c r="E310" i="11"/>
  <c r="E309" i="11"/>
  <c r="E308" i="11"/>
  <c r="E307" i="11"/>
  <c r="E306" i="11"/>
  <c r="E305" i="11"/>
  <c r="E304" i="11"/>
  <c r="E303" i="11"/>
  <c r="E302" i="11"/>
  <c r="E301" i="11"/>
  <c r="E300" i="11"/>
  <c r="E299" i="11"/>
  <c r="E298" i="11"/>
  <c r="E297" i="11"/>
  <c r="E296" i="11"/>
  <c r="E295" i="11"/>
  <c r="E294" i="11"/>
  <c r="E293" i="11"/>
  <c r="E292" i="11"/>
  <c r="E291" i="11"/>
  <c r="E290" i="11"/>
  <c r="E289" i="11"/>
  <c r="E288" i="11"/>
  <c r="E287" i="11"/>
  <c r="E286" i="11"/>
  <c r="E285" i="11"/>
  <c r="E284" i="11"/>
  <c r="E283" i="11"/>
  <c r="E282" i="11"/>
  <c r="E281" i="11"/>
  <c r="E280" i="11"/>
  <c r="E279" i="11"/>
  <c r="E278" i="11"/>
  <c r="E277" i="11"/>
  <c r="E276" i="11"/>
  <c r="E275" i="11"/>
  <c r="E274" i="11"/>
  <c r="E273" i="11"/>
  <c r="E272" i="11"/>
  <c r="E271" i="11"/>
  <c r="E270" i="11"/>
  <c r="E269" i="11"/>
  <c r="E268" i="11"/>
  <c r="E267" i="11"/>
  <c r="E266" i="11"/>
  <c r="E265" i="11"/>
  <c r="E264" i="11"/>
  <c r="E263" i="11"/>
  <c r="E262" i="11"/>
  <c r="E261" i="11"/>
  <c r="E260" i="11"/>
  <c r="E259" i="11"/>
  <c r="E258" i="11"/>
  <c r="E257" i="11"/>
  <c r="E256" i="11"/>
  <c r="E255" i="11"/>
  <c r="E254" i="11"/>
  <c r="E253" i="11"/>
  <c r="E252" i="11"/>
  <c r="E251" i="11"/>
  <c r="E250" i="11"/>
  <c r="E249" i="11"/>
  <c r="E248" i="11"/>
  <c r="E247" i="11"/>
  <c r="E246" i="11"/>
  <c r="E245" i="11"/>
  <c r="E244" i="11"/>
  <c r="E243" i="11"/>
  <c r="E242" i="11"/>
  <c r="E241" i="11"/>
  <c r="E240" i="11"/>
  <c r="E239" i="11"/>
  <c r="E238" i="11"/>
  <c r="E237" i="11"/>
  <c r="E236" i="11"/>
  <c r="E235" i="11"/>
  <c r="E234" i="11"/>
  <c r="E233" i="11"/>
  <c r="E232" i="11"/>
  <c r="E231" i="11"/>
  <c r="E230" i="11"/>
  <c r="E229" i="11"/>
  <c r="E228" i="11"/>
  <c r="E227" i="11"/>
  <c r="E226" i="11"/>
  <c r="E225" i="11"/>
  <c r="E224" i="11"/>
  <c r="E223" i="11"/>
  <c r="E222" i="11"/>
  <c r="E221" i="11"/>
  <c r="E220" i="11"/>
  <c r="E219" i="11"/>
  <c r="E218" i="11"/>
  <c r="E217" i="11"/>
  <c r="E216" i="11"/>
  <c r="E215" i="11"/>
  <c r="E214" i="11"/>
  <c r="E213" i="11"/>
  <c r="E212" i="11"/>
  <c r="E211" i="11"/>
  <c r="E210" i="11"/>
  <c r="E209" i="11"/>
  <c r="E208" i="11"/>
  <c r="E207" i="11"/>
  <c r="E206" i="11"/>
  <c r="E205" i="11"/>
  <c r="E204" i="11"/>
  <c r="E203" i="11"/>
  <c r="E202" i="11"/>
  <c r="E201" i="11"/>
  <c r="E200" i="11"/>
  <c r="E199" i="11"/>
  <c r="E198" i="11"/>
  <c r="E197" i="11"/>
  <c r="E196" i="11"/>
  <c r="E195" i="11"/>
  <c r="E194" i="11"/>
  <c r="E193" i="11"/>
  <c r="E192" i="11"/>
  <c r="E191" i="11"/>
  <c r="E190" i="11"/>
  <c r="E189" i="11"/>
  <c r="E188" i="11"/>
  <c r="E187" i="11"/>
  <c r="E186" i="11"/>
  <c r="E185" i="11"/>
  <c r="E184" i="11"/>
  <c r="E183" i="11"/>
  <c r="E182" i="11"/>
  <c r="E181" i="11"/>
  <c r="E180" i="11"/>
  <c r="E179" i="11"/>
  <c r="E178" i="11"/>
  <c r="E177" i="11"/>
  <c r="E176" i="11"/>
  <c r="E175" i="11"/>
  <c r="E174" i="11"/>
  <c r="E173" i="11"/>
  <c r="E172" i="11"/>
  <c r="E171" i="11"/>
  <c r="E170" i="11"/>
  <c r="E169" i="11"/>
  <c r="E168" i="11"/>
  <c r="E167" i="11"/>
  <c r="E166" i="11"/>
  <c r="E165" i="11"/>
  <c r="E164" i="11"/>
  <c r="E163" i="11"/>
  <c r="E162" i="11"/>
  <c r="E161" i="11"/>
  <c r="E160" i="11"/>
  <c r="E159" i="11"/>
  <c r="E158" i="11"/>
  <c r="E157" i="11"/>
  <c r="E156" i="11"/>
  <c r="E155" i="11"/>
  <c r="E154" i="11"/>
  <c r="E153" i="11"/>
  <c r="E152" i="11"/>
  <c r="E151" i="11"/>
  <c r="E150" i="11"/>
  <c r="E149" i="11"/>
  <c r="E148" i="11"/>
  <c r="E147" i="11"/>
  <c r="E146" i="11"/>
  <c r="E145" i="11"/>
  <c r="E144" i="11"/>
  <c r="E143" i="11"/>
  <c r="E142" i="11"/>
  <c r="E141" i="11"/>
  <c r="E140" i="11"/>
  <c r="E139" i="11"/>
  <c r="E138" i="11"/>
  <c r="E137" i="11"/>
  <c r="E136" i="11"/>
  <c r="E135" i="11"/>
  <c r="E134" i="11"/>
  <c r="E133" i="11"/>
  <c r="E132" i="11"/>
  <c r="E131" i="11"/>
  <c r="E130" i="11"/>
  <c r="E129" i="11"/>
  <c r="E128" i="11"/>
  <c r="E127" i="11"/>
  <c r="E126" i="11"/>
  <c r="E125" i="11"/>
  <c r="E124" i="11"/>
  <c r="E123" i="11"/>
  <c r="E122" i="11"/>
  <c r="E121" i="11"/>
  <c r="E120" i="11"/>
  <c r="E119" i="11"/>
  <c r="E118" i="11"/>
  <c r="E117" i="11"/>
  <c r="E116" i="11"/>
  <c r="E115" i="11"/>
  <c r="E114" i="11"/>
  <c r="E113" i="11"/>
  <c r="E112" i="11"/>
  <c r="E111" i="11"/>
  <c r="E110" i="11"/>
  <c r="E109" i="11"/>
  <c r="E108" i="11"/>
  <c r="E107" i="11"/>
  <c r="E106" i="11"/>
  <c r="E105" i="11"/>
  <c r="E104" i="11"/>
  <c r="E103" i="11"/>
  <c r="E102" i="11"/>
  <c r="E101" i="11"/>
  <c r="E100" i="11"/>
  <c r="E99" i="11"/>
  <c r="E98" i="11"/>
  <c r="E97" i="11"/>
  <c r="E96" i="11"/>
  <c r="E95" i="11"/>
  <c r="E94" i="11"/>
  <c r="E93" i="11"/>
  <c r="E92" i="11"/>
  <c r="E91" i="11"/>
  <c r="E90" i="11"/>
  <c r="E89" i="11"/>
  <c r="E88" i="11"/>
  <c r="E87" i="11"/>
  <c r="E86" i="11"/>
  <c r="E85" i="11"/>
  <c r="E84" i="11"/>
  <c r="E83" i="11"/>
  <c r="E82" i="11"/>
  <c r="E81" i="11"/>
  <c r="E80" i="11"/>
  <c r="E79" i="11"/>
  <c r="E78" i="11"/>
  <c r="E77" i="11"/>
  <c r="E76" i="11"/>
  <c r="E75" i="11"/>
  <c r="E74" i="11"/>
  <c r="E73" i="11"/>
  <c r="E72" i="11"/>
  <c r="E71" i="11"/>
  <c r="E70" i="11"/>
  <c r="E69" i="11"/>
  <c r="E68" i="11"/>
  <c r="E67" i="11"/>
  <c r="E66" i="11"/>
  <c r="E65" i="11"/>
  <c r="E64" i="11"/>
  <c r="E63" i="11"/>
  <c r="E62" i="11"/>
  <c r="E61" i="11"/>
  <c r="E60" i="11"/>
  <c r="E59" i="11"/>
  <c r="E58" i="11"/>
  <c r="E57" i="11"/>
  <c r="E56" i="11"/>
  <c r="E55" i="11"/>
  <c r="E54" i="11"/>
  <c r="E53" i="11"/>
  <c r="E52" i="11"/>
  <c r="E51" i="11"/>
  <c r="E50" i="11"/>
  <c r="E49" i="11"/>
  <c r="E48" i="11"/>
  <c r="E47" i="11"/>
  <c r="E46" i="11"/>
  <c r="E45" i="11"/>
  <c r="E44" i="11"/>
  <c r="E43" i="11"/>
  <c r="E42" i="11"/>
  <c r="E41" i="11"/>
  <c r="E40" i="11"/>
  <c r="E39" i="11"/>
  <c r="E38" i="11"/>
  <c r="E37" i="11"/>
  <c r="E36" i="11"/>
  <c r="E35" i="11"/>
  <c r="E34" i="11"/>
  <c r="E33" i="11"/>
  <c r="E32" i="11"/>
  <c r="E31" i="11"/>
  <c r="E30" i="11"/>
  <c r="E29" i="11"/>
  <c r="E28" i="11"/>
  <c r="E27" i="11"/>
  <c r="E26" i="11"/>
  <c r="E25" i="11"/>
  <c r="E24" i="11"/>
  <c r="E23" i="11"/>
  <c r="E22" i="11"/>
  <c r="E21" i="11"/>
  <c r="E20" i="11"/>
  <c r="E19" i="11"/>
  <c r="E18" i="11"/>
  <c r="E17" i="11"/>
  <c r="E16" i="11"/>
  <c r="E15" i="11"/>
  <c r="E14" i="11"/>
  <c r="E13" i="11"/>
  <c r="E12" i="11"/>
  <c r="E11" i="11"/>
  <c r="E10" i="11"/>
  <c r="E9" i="11"/>
  <c r="E8" i="11"/>
  <c r="E7" i="11"/>
  <c r="E6" i="11"/>
  <c r="E5" i="11"/>
  <c r="E4" i="11"/>
  <c r="E3" i="11"/>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F3" i="10"/>
  <c r="F2" i="10"/>
  <c r="I19" i="14" l="1"/>
  <c r="I15" i="14" s="1"/>
  <c r="J12" i="14"/>
  <c r="J19" i="14" s="1"/>
  <c r="J15" i="14" s="1"/>
  <c r="I20" i="14"/>
  <c r="I16" i="14" l="1"/>
  <c r="K12" i="14"/>
  <c r="J20" i="14"/>
  <c r="I17" i="14"/>
  <c r="I22" i="14" s="1"/>
  <c r="I23" i="14" l="1"/>
  <c r="I21" i="14" s="1"/>
  <c r="J14" i="14" s="1"/>
  <c r="L12" i="14"/>
  <c r="K19" i="14"/>
  <c r="K15" i="14" s="1"/>
  <c r="K20" i="14"/>
  <c r="J16" i="14" l="1"/>
  <c r="J23" i="14" s="1"/>
  <c r="M12" i="14"/>
  <c r="L19" i="14"/>
  <c r="L15" i="14" s="1"/>
  <c r="L20" i="14"/>
  <c r="M19" i="14" l="1"/>
  <c r="M15" i="14" s="1"/>
  <c r="M20" i="14"/>
  <c r="N12" i="14"/>
  <c r="J17" i="14" l="1"/>
  <c r="J22" i="14" s="1"/>
  <c r="O12" i="14"/>
  <c r="N20" i="14"/>
  <c r="N19" i="14"/>
  <c r="N15" i="14" s="1"/>
  <c r="P12" i="14" l="1"/>
  <c r="O19" i="14"/>
  <c r="O15" i="14" s="1"/>
  <c r="O20" i="14"/>
  <c r="J21" i="14" l="1"/>
  <c r="K14" i="14" s="1"/>
  <c r="P19" i="14"/>
  <c r="P15" i="14" s="1"/>
  <c r="P20" i="14"/>
  <c r="K16" i="14" l="1"/>
  <c r="K23" i="14" s="1"/>
  <c r="K21" i="14" s="1"/>
  <c r="K17" i="14"/>
  <c r="K22" i="14" l="1"/>
  <c r="L14" i="14" l="1"/>
  <c r="L16" i="14" l="1"/>
  <c r="L23" i="14" s="1"/>
  <c r="L21" i="14" s="1"/>
  <c r="L17" i="14"/>
  <c r="L22" i="14" l="1"/>
  <c r="M14" i="14" l="1"/>
  <c r="M17" i="14" l="1"/>
  <c r="M16" i="14"/>
  <c r="M23" i="14" s="1"/>
  <c r="M21" i="14" s="1"/>
  <c r="M22" i="14" l="1"/>
  <c r="N14" i="14" l="1"/>
  <c r="N17" i="14" l="1"/>
  <c r="N16" i="14"/>
  <c r="N23" i="14" s="1"/>
  <c r="N22" i="14" l="1"/>
  <c r="N21" i="14"/>
  <c r="O14" i="14" l="1"/>
  <c r="O16" i="14" l="1"/>
  <c r="O23" i="14" s="1"/>
  <c r="O17" i="14"/>
  <c r="O22" i="14" l="1"/>
  <c r="O21" i="14"/>
  <c r="P14" i="14" l="1"/>
  <c r="H26" i="14" l="1"/>
  <c r="P17" i="14"/>
  <c r="I18" i="14" s="1"/>
  <c r="P16" i="14"/>
  <c r="P23" i="14" s="1"/>
  <c r="C13" i="14" s="1" a="1"/>
  <c r="J18" i="14" l="1"/>
  <c r="K18" i="14"/>
  <c r="L18" i="14"/>
  <c r="M18" i="14"/>
  <c r="N18" i="14"/>
  <c r="P18" i="14"/>
  <c r="O18" i="14"/>
  <c r="B13" i="14"/>
  <c r="C17" i="14"/>
  <c r="C18" i="14" s="1"/>
  <c r="P21" i="14"/>
  <c r="D13" i="14" s="1" a="1"/>
  <c r="P22" i="14"/>
  <c r="H25" i="14" l="1"/>
  <c r="D5" i="8"/>
  <c r="D2" i="8"/>
  <c r="D7" i="8"/>
  <c r="D3" i="8"/>
  <c r="D9" i="8"/>
  <c r="D4" i="8"/>
  <c r="D8" i="8"/>
  <c r="D6" i="8"/>
  <c r="E2" i="8" l="1"/>
  <c r="E7" i="8"/>
  <c r="E9" i="8"/>
  <c r="E3" i="8"/>
  <c r="E4" i="8"/>
  <c r="E8" i="8"/>
  <c r="E5" i="8"/>
  <c r="E6" i="8"/>
  <c r="C19" i="14" l="1"/>
  <c r="C20"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F2BADF1D-2223-4BAE-887A-99CE6290DF76}">
      <text>
        <r>
          <rPr>
            <sz val="11"/>
            <color rgb="FF000000"/>
            <rFont val="Calibri"/>
            <family val="2"/>
          </rPr>
          <t xml:space="preserve">======
</t>
        </r>
        <r>
          <rPr>
            <sz val="11"/>
            <color rgb="FF000000"/>
            <rFont val="Calibri"/>
            <family val="2"/>
          </rPr>
          <t xml:space="preserve">ID#AAAAsfJ7C40
</t>
        </r>
        <r>
          <rPr>
            <sz val="11"/>
            <color rgb="FF000000"/>
            <rFont val="Calibri"/>
            <family val="2"/>
          </rPr>
          <t xml:space="preserve">Luciana Dias    (2023-03-06 15:40:46)
</t>
        </r>
        <r>
          <rPr>
            <sz val="11"/>
            <color rgb="FF000000"/>
            <rFont val="Calibri"/>
            <family val="2"/>
          </rPr>
          <t xml:space="preserve">pourquoi utiliser shop et forecast dans les titres d'onglet, et pas magasins et prévisions? @marie.morey@openclassrooms.com
</t>
        </r>
        <r>
          <rPr>
            <sz val="11"/>
            <color rgb="FF000000"/>
            <rFont val="Calibri"/>
            <family val="2"/>
          </rPr>
          <t xml:space="preserve">------
</t>
        </r>
        <r>
          <rPr>
            <sz val="11"/>
            <color rgb="FF000000"/>
            <rFont val="Calibri"/>
            <family val="2"/>
          </rPr>
          <t xml:space="preserve">ID#AAAAso-ElTQ
</t>
        </r>
        <r>
          <rPr>
            <sz val="11"/>
            <color rgb="FF000000"/>
            <rFont val="Calibri"/>
            <family val="2"/>
          </rPr>
          <t xml:space="preserve">Marie Morey    (2023-03-09 15:21:32)
</t>
        </r>
        <r>
          <rPr>
            <sz val="11"/>
            <color rgb="FF000000"/>
            <rFont val="Calibri"/>
            <family val="2"/>
          </rPr>
          <t>@luciana.dias@openclassrooms.com : je pense que cela correspond à la réalité terrain; les extractions de bases de données contiennent souvent des tables en anglais. On traduit déjà beaucoup; je pense qu'on peut laisser ici.</t>
        </r>
      </text>
    </comment>
    <comment ref="F1" authorId="0" shapeId="0" xr:uid="{A4784CE0-28AA-4F0D-8953-45B1FDD8F737}">
      <text>
        <r>
          <rPr>
            <sz val="11"/>
            <color rgb="FF000000"/>
            <rFont val="Calibri"/>
            <family val="2"/>
          </rPr>
          <t xml:space="preserve">======
</t>
        </r>
        <r>
          <rPr>
            <sz val="11"/>
            <color rgb="FF000000"/>
            <rFont val="Calibri"/>
            <family val="2"/>
          </rPr>
          <t xml:space="preserve">ID#AAAAsfJ7C40
</t>
        </r>
        <r>
          <rPr>
            <sz val="11"/>
            <color rgb="FF000000"/>
            <rFont val="Calibri"/>
            <family val="2"/>
          </rPr>
          <t xml:space="preserve">Luciana Dias    (2023-03-06 15:40:46)
</t>
        </r>
        <r>
          <rPr>
            <sz val="11"/>
            <color rgb="FF000000"/>
            <rFont val="Calibri"/>
            <family val="2"/>
          </rPr>
          <t xml:space="preserve">pourquoi utiliser shop et forecast dans les titres d'onglet, et pas magasins et prévisions? @marie.morey@openclassrooms.com
</t>
        </r>
        <r>
          <rPr>
            <sz val="11"/>
            <color rgb="FF000000"/>
            <rFont val="Calibri"/>
            <family val="2"/>
          </rPr>
          <t xml:space="preserve">------
</t>
        </r>
        <r>
          <rPr>
            <sz val="11"/>
            <color rgb="FF000000"/>
            <rFont val="Calibri"/>
            <family val="2"/>
          </rPr>
          <t xml:space="preserve">ID#AAAAso-ElTQ
</t>
        </r>
        <r>
          <rPr>
            <sz val="11"/>
            <color rgb="FF000000"/>
            <rFont val="Calibri"/>
            <family val="2"/>
          </rPr>
          <t xml:space="preserve">Marie Morey    (2023-03-09 15:21:32)
</t>
        </r>
        <r>
          <rPr>
            <sz val="11"/>
            <color rgb="FF000000"/>
            <rFont val="Calibri"/>
            <family val="2"/>
          </rPr>
          <t>@luciana.dias@openclassrooms.com : je pense que cela correspond à la réalité terrain; les extractions de bases de données contiennent souvent des tables en anglais. On traduit déjà beaucoup; je pense qu'on peut laisser ici.</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<sst xmlns="http://schemas.openxmlformats.org/spreadsheetml/2006/main" count="5298" uniqueCount="4768">
  <si>
    <t>Stock prévisionnel par article</t>
  </si>
  <si>
    <t>SAISIE</t>
  </si>
  <si>
    <t>INFORMATION</t>
  </si>
  <si>
    <t xml:space="preserve">Date </t>
  </si>
  <si>
    <t>SKU</t>
  </si>
  <si>
    <t>Location ID</t>
  </si>
  <si>
    <t>Libellé du SKU</t>
  </si>
  <si>
    <t>Famille de produit</t>
  </si>
  <si>
    <t>Nom de la boutique</t>
  </si>
  <si>
    <t>Unité de commande</t>
  </si>
  <si>
    <t>Order Lead Time:
délai de livraison de la commande (en jours)</t>
  </si>
  <si>
    <t>COMMANDE À PASSER / PROCHAIN ORDRE PLANIFIÉ</t>
  </si>
  <si>
    <t>DISTRIBUTION RESSOURCE PLANNING</t>
  </si>
  <si>
    <t>Date de passation</t>
  </si>
  <si>
    <t>Date de livraison souhaitée</t>
  </si>
  <si>
    <t>Quantité recommandée</t>
  </si>
  <si>
    <t>Stock Initial</t>
  </si>
  <si>
    <t>Stock projeté</t>
  </si>
  <si>
    <t>Rupture prévisionnelle</t>
  </si>
  <si>
    <t>Couverture de Stock</t>
  </si>
  <si>
    <t>Demande prévisionnelle</t>
  </si>
  <si>
    <t>Ordre Ferme</t>
  </si>
  <si>
    <t xml:space="preserve">Besoin Net </t>
  </si>
  <si>
    <t>Couverture moyenne</t>
  </si>
  <si>
    <t>Variation du stock</t>
  </si>
  <si>
    <r>
      <rPr>
        <b/>
        <sz val="18"/>
        <color theme="1"/>
        <rFont val="Calibri"/>
      </rPr>
      <t xml:space="preserve">Encadré principal: informations importantes </t>
    </r>
    <r>
      <rPr>
        <sz val="11"/>
        <color theme="1"/>
        <rFont val="Calibri"/>
      </rPr>
      <t xml:space="preserve">
</t>
    </r>
    <r>
      <rPr>
        <sz val="13"/>
        <color theme="1"/>
        <rFont val="Calibri"/>
      </rPr>
      <t>-</t>
    </r>
    <r>
      <rPr>
        <b/>
        <sz val="13"/>
        <color theme="1"/>
        <rFont val="Calibri"/>
      </rPr>
      <t>Le stock initial</t>
    </r>
    <r>
      <rPr>
        <sz val="13"/>
        <color theme="1"/>
        <rFont val="Calibri"/>
      </rPr>
      <t xml:space="preserve"> correspond au stock de début de la semaine en cours.
-</t>
    </r>
    <r>
      <rPr>
        <b/>
        <sz val="13"/>
        <color theme="1"/>
        <rFont val="Calibri"/>
      </rPr>
      <t>La rupture prévisionnelle</t>
    </r>
    <r>
      <rPr>
        <sz val="13"/>
        <color theme="1"/>
        <rFont val="Calibri"/>
      </rPr>
      <t xml:space="preserve"> correspond à la quantité en rupture. Cela signifie que le stock et les ordres fermes de la semaine ne permettent pas de couvrir les sorties prévues. S’il n’y a pas de rupture, alors la valeur doit afficher 0.
-</t>
    </r>
    <r>
      <rPr>
        <b/>
        <sz val="13"/>
        <color theme="1"/>
        <rFont val="Calibri"/>
      </rPr>
      <t xml:space="preserve">La couverture de stock </t>
    </r>
    <r>
      <rPr>
        <sz val="13"/>
        <color theme="1"/>
        <rFont val="Calibri"/>
      </rPr>
      <t>représente la durée (en nombre de jours) entre la date de l’en-tête de colonne et la prochaine rupture. Cela signifie que si votre stock vous permet de couvrir ⅔ de votre demande hebdomadaire avant de tomber en rupture, il faudra compter ⅔ de semaine dans votre couverture de stock.
-</t>
    </r>
    <r>
      <rPr>
        <b/>
        <sz val="13"/>
        <color theme="1"/>
        <rFont val="Calibri"/>
      </rPr>
      <t>L'ordre ferme</t>
    </r>
    <r>
      <rPr>
        <sz val="13"/>
        <color theme="1"/>
        <rFont val="Calibri"/>
      </rPr>
      <t xml:space="preserve"> correspond aux commandes déjà passées par le service.
-</t>
    </r>
    <r>
      <rPr>
        <b/>
        <sz val="13"/>
        <color theme="1"/>
        <rFont val="Calibri"/>
      </rPr>
      <t xml:space="preserve">Le besoin net </t>
    </r>
    <r>
      <rPr>
        <sz val="13"/>
        <color theme="1"/>
        <rFont val="Calibri"/>
      </rPr>
      <t xml:space="preserve">correspond ici à la rupture prévisionnelle en absolu. C’est la quantité à réceptionner sur la semaine pour ne pas tomber en rupture. Il doit être réintégré dans le calcul du stock projeté de la semaine suivante, au même titre que les ordres fermes. </t>
    </r>
  </si>
  <si>
    <t>LibSKU</t>
  </si>
  <si>
    <t>LibGFam</t>
  </si>
  <si>
    <t>UnCommande</t>
  </si>
  <si>
    <t>OLeadTime</t>
  </si>
  <si>
    <t>Fournisseur ID</t>
  </si>
  <si>
    <t>TUBE PVC</t>
  </si>
  <si>
    <t>SALLE DE BAINS</t>
  </si>
  <si>
    <t>PIECE</t>
  </si>
  <si>
    <t>COUDE PVC</t>
  </si>
  <si>
    <t>UVC</t>
  </si>
  <si>
    <t>CARTOUCHE SILICONE</t>
  </si>
  <si>
    <t>CLIPS POUR PLINTHE</t>
  </si>
  <si>
    <t>TRINGLE CHROME</t>
  </si>
  <si>
    <t>EQUERRE FIXATION</t>
  </si>
  <si>
    <t>POIGNEE CHROME</t>
  </si>
  <si>
    <t>SACH. PLIANT</t>
  </si>
  <si>
    <t>BONDE LAVABO</t>
  </si>
  <si>
    <t>KIT DE FIXATION</t>
  </si>
  <si>
    <t>BACHE DE PROTECTION</t>
  </si>
  <si>
    <t>MITIGEUR LAVABO</t>
  </si>
  <si>
    <t>BONDE DE DOUCHE</t>
  </si>
  <si>
    <t>BONDE GAIN DE PLACE</t>
  </si>
  <si>
    <t>CAISSON BAS</t>
  </si>
  <si>
    <t>CUISINE</t>
  </si>
  <si>
    <t>EQUERRES</t>
  </si>
  <si>
    <t>SACHET VIS P/1</t>
  </si>
  <si>
    <t xml:space="preserve">POIGNEE ALU </t>
  </si>
  <si>
    <t>ROSACE</t>
  </si>
  <si>
    <t>POIGNEE BLANCHE</t>
  </si>
  <si>
    <t>PIECE PVC</t>
  </si>
  <si>
    <t>POIGNEE BLANCHE RECTO</t>
  </si>
  <si>
    <t>BARILLET PVC</t>
  </si>
  <si>
    <t>SILICONE BLANC</t>
  </si>
  <si>
    <t>ROULEAU IMPRESSION</t>
  </si>
  <si>
    <t>PLANCHE BOIS CLAIR</t>
  </si>
  <si>
    <t>PLANCHE CHENE</t>
  </si>
  <si>
    <t>2*CHARNIERES</t>
  </si>
  <si>
    <t>PLINTHE INOX</t>
  </si>
  <si>
    <t>Lib Location</t>
  </si>
  <si>
    <t>Distance depuis Entrepôt (km)</t>
  </si>
  <si>
    <t>LA ROCHELLE</t>
  </si>
  <si>
    <t>BAYONNE</t>
  </si>
  <si>
    <t>ARCUEIL</t>
  </si>
  <si>
    <t>NICE ARIANE (Est)</t>
  </si>
  <si>
    <t>VALENCIENNES</t>
  </si>
  <si>
    <t>CREIL</t>
  </si>
  <si>
    <t>LE HAVRE</t>
  </si>
  <si>
    <t>AVIGNON</t>
  </si>
  <si>
    <t>NICE VILLENEUVE LOUBET</t>
  </si>
  <si>
    <t>STRASBOURG NORD</t>
  </si>
  <si>
    <t>TOULON</t>
  </si>
  <si>
    <t>ROUEN</t>
  </si>
  <si>
    <t>GOURNAY</t>
  </si>
  <si>
    <t>NANCY</t>
  </si>
  <si>
    <t>BRIVE</t>
  </si>
  <si>
    <t>DIJON</t>
  </si>
  <si>
    <t>REIMS</t>
  </si>
  <si>
    <t>LIMOGES</t>
  </si>
  <si>
    <t>Shop ID</t>
  </si>
  <si>
    <t>Distance</t>
  </si>
  <si>
    <t>Transporteur ID</t>
  </si>
  <si>
    <t>Prix Fixe €</t>
  </si>
  <si>
    <t>€/km au-delà fixe</t>
  </si>
  <si>
    <t>AFF</t>
  </si>
  <si>
    <t>AV</t>
  </si>
  <si>
    <t>C</t>
  </si>
  <si>
    <t>GV</t>
  </si>
  <si>
    <t>NAV</t>
  </si>
  <si>
    <t>PL</t>
  </si>
  <si>
    <t>PALEX</t>
  </si>
  <si>
    <t>POLE</t>
  </si>
  <si>
    <t>Date semaine</t>
  </si>
  <si>
    <t>Demande prévue</t>
  </si>
  <si>
    <t>cle</t>
  </si>
  <si>
    <t>Semaine de reception prévue</t>
  </si>
  <si>
    <t>Quantité Ordre ferme</t>
  </si>
  <si>
    <t>Quantité en Stock</t>
  </si>
  <si>
    <t>Cle</t>
  </si>
  <si>
    <t>Nb : l’ensemble des quantités dans les tables de faits sont consolidées en unité de commande.</t>
  </si>
  <si>
    <t xml:space="preserve">Article </t>
  </si>
  <si>
    <t>Table de dimension</t>
  </si>
  <si>
    <t>Nom</t>
  </si>
  <si>
    <t>Type</t>
  </si>
  <si>
    <t>Desr</t>
  </si>
  <si>
    <t>Int</t>
  </si>
  <si>
    <t>Identifiant article (PK)</t>
  </si>
  <si>
    <t>String</t>
  </si>
  <si>
    <t>Libellé de l'article</t>
  </si>
  <si>
    <t>Famille de l'article</t>
  </si>
  <si>
    <t>Lead Time de l'article</t>
  </si>
  <si>
    <t>Shop</t>
  </si>
  <si>
    <t>Identifiant magasin (PK)</t>
  </si>
  <si>
    <t>Nom/localisation du magasin</t>
  </si>
  <si>
    <t>Distance entre le magasin et l'entrepôt</t>
  </si>
  <si>
    <t>Fournisseurs-Magasin</t>
  </si>
  <si>
    <t>Identifiant Fournisseur (PK)</t>
  </si>
  <si>
    <t>Distance entre le magasin et fournisseur</t>
  </si>
  <si>
    <t>Transporteur</t>
  </si>
  <si>
    <t>Identifiant Transporteur (PK)</t>
  </si>
  <si>
    <t>Float</t>
  </si>
  <si>
    <t>Prix fixe en € pour un transport</t>
  </si>
  <si>
    <t>Prix au km en € au-delà du prix fixe</t>
  </si>
  <si>
    <t>Forecast</t>
  </si>
  <si>
    <t>Table de faits</t>
  </si>
  <si>
    <t>Identifiant boutique (FK)</t>
  </si>
  <si>
    <t>Identifiant article (FK)</t>
  </si>
  <si>
    <t>Date</t>
  </si>
  <si>
    <t>Semaine représentée par la date du lundi (FK)</t>
  </si>
  <si>
    <t>Quantité de vente prévue aggrégée à la semaine</t>
  </si>
  <si>
    <t>Commandes_EnCours</t>
  </si>
  <si>
    <t>Quantité commandée aggrégée la semaine</t>
  </si>
  <si>
    <t>Stock_S_Encours</t>
  </si>
  <si>
    <t>Stock</t>
  </si>
  <si>
    <t>Quantité actuellement en stock (soit le lundi de la premiere semaine d'analyse)</t>
  </si>
  <si>
    <t>PK : primary key (clé primaire)</t>
  </si>
  <si>
    <t>FK : foreign key (clé étrangère)</t>
  </si>
  <si>
    <t>1201-23393-44739</t>
  </si>
  <si>
    <t>1201-23393-44746</t>
  </si>
  <si>
    <t>1201-23393-44753</t>
  </si>
  <si>
    <t>1201-23393-44760</t>
  </si>
  <si>
    <t>1201-23393-44767</t>
  </si>
  <si>
    <t>1201-23393-44774</t>
  </si>
  <si>
    <t>1201-23393-44781</t>
  </si>
  <si>
    <t>1201-23393-44788</t>
  </si>
  <si>
    <t>1201-26764-44739</t>
  </si>
  <si>
    <t>1201-26764-44746</t>
  </si>
  <si>
    <t>1201-26764-44753</t>
  </si>
  <si>
    <t>1201-26764-44760</t>
  </si>
  <si>
    <t>1201-26764-44767</t>
  </si>
  <si>
    <t>1201-26764-44774</t>
  </si>
  <si>
    <t>1201-26764-44781</t>
  </si>
  <si>
    <t>1201-26764-44788</t>
  </si>
  <si>
    <t>1201-53934-44739</t>
  </si>
  <si>
    <t>1201-53934-44746</t>
  </si>
  <si>
    <t>1201-53934-44753</t>
  </si>
  <si>
    <t>1201-53934-44760</t>
  </si>
  <si>
    <t>1201-53934-44767</t>
  </si>
  <si>
    <t>1201-53934-44774</t>
  </si>
  <si>
    <t>1201-53934-44781</t>
  </si>
  <si>
    <t>1201-53934-44788</t>
  </si>
  <si>
    <t>1201-78699-44739</t>
  </si>
  <si>
    <t>1201-78699-44746</t>
  </si>
  <si>
    <t>1201-78699-44753</t>
  </si>
  <si>
    <t>1201-78699-44760</t>
  </si>
  <si>
    <t>1201-78699-44767</t>
  </si>
  <si>
    <t>1201-78699-44774</t>
  </si>
  <si>
    <t>1201-78699-44781</t>
  </si>
  <si>
    <t>1201-78699-44788</t>
  </si>
  <si>
    <t>1201-78869-44739</t>
  </si>
  <si>
    <t>1201-78869-44746</t>
  </si>
  <si>
    <t>1201-78869-44753</t>
  </si>
  <si>
    <t>1201-78869-44760</t>
  </si>
  <si>
    <t>1201-78869-44767</t>
  </si>
  <si>
    <t>1201-78869-44774</t>
  </si>
  <si>
    <t>1201-78869-44781</t>
  </si>
  <si>
    <t>1201-78869-44788</t>
  </si>
  <si>
    <t>1201-115600-44739</t>
  </si>
  <si>
    <t>1201-115600-44746</t>
  </si>
  <si>
    <t>1201-115600-44753</t>
  </si>
  <si>
    <t>1201-115600-44760</t>
  </si>
  <si>
    <t>1201-115600-44767</t>
  </si>
  <si>
    <t>1201-115600-44774</t>
  </si>
  <si>
    <t>1201-115600-44781</t>
  </si>
  <si>
    <t>1201-115600-44788</t>
  </si>
  <si>
    <t>1201-129208-44739</t>
  </si>
  <si>
    <t>1201-129208-44746</t>
  </si>
  <si>
    <t>1201-129208-44753</t>
  </si>
  <si>
    <t>1201-129208-44760</t>
  </si>
  <si>
    <t>1201-129208-44767</t>
  </si>
  <si>
    <t>1201-129208-44774</t>
  </si>
  <si>
    <t>1201-129208-44781</t>
  </si>
  <si>
    <t>1201-129208-44788</t>
  </si>
  <si>
    <t>1201-141622-44739</t>
  </si>
  <si>
    <t>1201-141622-44746</t>
  </si>
  <si>
    <t>1201-141622-44753</t>
  </si>
  <si>
    <t>1201-141622-44760</t>
  </si>
  <si>
    <t>1201-141622-44767</t>
  </si>
  <si>
    <t>1201-141622-44774</t>
  </si>
  <si>
    <t>1201-141622-44781</t>
  </si>
  <si>
    <t>1201-141622-44788</t>
  </si>
  <si>
    <t>1201-141626-44739</t>
  </si>
  <si>
    <t>1201-141626-44746</t>
  </si>
  <si>
    <t>1201-141626-44753</t>
  </si>
  <si>
    <t>1201-141626-44760</t>
  </si>
  <si>
    <t>1201-141626-44767</t>
  </si>
  <si>
    <t>1201-141626-44774</t>
  </si>
  <si>
    <t>1201-141626-44781</t>
  </si>
  <si>
    <t>1201-141626-44788</t>
  </si>
  <si>
    <t>1201-141791-44739</t>
  </si>
  <si>
    <t>1201-141791-44746</t>
  </si>
  <si>
    <t>1201-141791-44753</t>
  </si>
  <si>
    <t>1201-141791-44760</t>
  </si>
  <si>
    <t>1201-141791-44767</t>
  </si>
  <si>
    <t>1201-141791-44774</t>
  </si>
  <si>
    <t>1201-141791-44781</t>
  </si>
  <si>
    <t>1201-141791-44788</t>
  </si>
  <si>
    <t>1201-141846-44739</t>
  </si>
  <si>
    <t>1201-141846-44746</t>
  </si>
  <si>
    <t>1201-141846-44753</t>
  </si>
  <si>
    <t>1201-141846-44760</t>
  </si>
  <si>
    <t>1201-141846-44767</t>
  </si>
  <si>
    <t>1201-141846-44774</t>
  </si>
  <si>
    <t>1201-141846-44781</t>
  </si>
  <si>
    <t>1201-141846-44788</t>
  </si>
  <si>
    <t>1201-141967-44739</t>
  </si>
  <si>
    <t>1201-141967-44746</t>
  </si>
  <si>
    <t>1201-141967-44753</t>
  </si>
  <si>
    <t>1201-141967-44760</t>
  </si>
  <si>
    <t>1201-141967-44767</t>
  </si>
  <si>
    <t>1201-141967-44774</t>
  </si>
  <si>
    <t>1201-141967-44781</t>
  </si>
  <si>
    <t>1201-141967-44788</t>
  </si>
  <si>
    <t>1201-142194-44739</t>
  </si>
  <si>
    <t>1201-142194-44746</t>
  </si>
  <si>
    <t>1201-142194-44753</t>
  </si>
  <si>
    <t>1201-142194-44760</t>
  </si>
  <si>
    <t>1201-142194-44767</t>
  </si>
  <si>
    <t>1201-142194-44774</t>
  </si>
  <si>
    <t>1201-142194-44781</t>
  </si>
  <si>
    <t>1201-142194-44788</t>
  </si>
  <si>
    <t>1201-149729-44739</t>
  </si>
  <si>
    <t>1201-149729-44746</t>
  </si>
  <si>
    <t>1201-149729-44753</t>
  </si>
  <si>
    <t>1201-149729-44760</t>
  </si>
  <si>
    <t>1201-149729-44767</t>
  </si>
  <si>
    <t>1201-149729-44774</t>
  </si>
  <si>
    <t>1201-149729-44781</t>
  </si>
  <si>
    <t>1201-149729-44788</t>
  </si>
  <si>
    <t>1201-149779-44739</t>
  </si>
  <si>
    <t>1201-149779-44746</t>
  </si>
  <si>
    <t>1201-149779-44753</t>
  </si>
  <si>
    <t>1201-149779-44760</t>
  </si>
  <si>
    <t>1201-149779-44767</t>
  </si>
  <si>
    <t>1201-149779-44774</t>
  </si>
  <si>
    <t>1201-149779-44781</t>
  </si>
  <si>
    <t>1201-149779-44788</t>
  </si>
  <si>
    <t>1201-189933-44739</t>
  </si>
  <si>
    <t>1201-189933-44746</t>
  </si>
  <si>
    <t>1201-189933-44753</t>
  </si>
  <si>
    <t>1201-189933-44760</t>
  </si>
  <si>
    <t>1201-189933-44767</t>
  </si>
  <si>
    <t>1201-189933-44774</t>
  </si>
  <si>
    <t>1201-189933-44781</t>
  </si>
  <si>
    <t>1201-189933-44788</t>
  </si>
  <si>
    <t>1201-202577-44739</t>
  </si>
  <si>
    <t>1201-202577-44746</t>
  </si>
  <si>
    <t>1201-202577-44753</t>
  </si>
  <si>
    <t>1201-202577-44760</t>
  </si>
  <si>
    <t>1201-202577-44767</t>
  </si>
  <si>
    <t>1201-202577-44774</t>
  </si>
  <si>
    <t>1201-202577-44781</t>
  </si>
  <si>
    <t>1201-202577-44788</t>
  </si>
  <si>
    <t>1201-234334-44739</t>
  </si>
  <si>
    <t>1201-234334-44746</t>
  </si>
  <si>
    <t>1201-234334-44753</t>
  </si>
  <si>
    <t>1201-234334-44760</t>
  </si>
  <si>
    <t>1201-234334-44767</t>
  </si>
  <si>
    <t>1201-234334-44774</t>
  </si>
  <si>
    <t>1201-234334-44781</t>
  </si>
  <si>
    <t>1201-234334-44788</t>
  </si>
  <si>
    <t>1201-249444-44739</t>
  </si>
  <si>
    <t>1201-249444-44746</t>
  </si>
  <si>
    <t>1201-249444-44753</t>
  </si>
  <si>
    <t>1201-249444-44760</t>
  </si>
  <si>
    <t>1201-249444-44767</t>
  </si>
  <si>
    <t>1201-249444-44774</t>
  </si>
  <si>
    <t>1201-249444-44781</t>
  </si>
  <si>
    <t>1201-249444-44788</t>
  </si>
  <si>
    <t>1201-249795-44739</t>
  </si>
  <si>
    <t>1201-249795-44746</t>
  </si>
  <si>
    <t>1201-249795-44753</t>
  </si>
  <si>
    <t>1201-249795-44760</t>
  </si>
  <si>
    <t>1201-249795-44767</t>
  </si>
  <si>
    <t>1201-249795-44774</t>
  </si>
  <si>
    <t>1201-249795-44781</t>
  </si>
  <si>
    <t>1201-249795-44788</t>
  </si>
  <si>
    <t>1201-250979-44739</t>
  </si>
  <si>
    <t>1201-250979-44746</t>
  </si>
  <si>
    <t>1201-250979-44753</t>
  </si>
  <si>
    <t>1201-250979-44760</t>
  </si>
  <si>
    <t>1201-250979-44767</t>
  </si>
  <si>
    <t>1201-250979-44774</t>
  </si>
  <si>
    <t>1201-250979-44781</t>
  </si>
  <si>
    <t>1201-250979-44788</t>
  </si>
  <si>
    <t>1201-250981-44739</t>
  </si>
  <si>
    <t>1201-250981-44746</t>
  </si>
  <si>
    <t>1201-250981-44753</t>
  </si>
  <si>
    <t>1201-250981-44760</t>
  </si>
  <si>
    <t>1201-250981-44767</t>
  </si>
  <si>
    <t>1201-250981-44774</t>
  </si>
  <si>
    <t>1201-250981-44781</t>
  </si>
  <si>
    <t>1201-250981-44788</t>
  </si>
  <si>
    <t>1201-262294-44739</t>
  </si>
  <si>
    <t>1201-262294-44746</t>
  </si>
  <si>
    <t>1201-262294-44753</t>
  </si>
  <si>
    <t>1201-262294-44760</t>
  </si>
  <si>
    <t>1201-262294-44767</t>
  </si>
  <si>
    <t>1201-262294-44774</t>
  </si>
  <si>
    <t>1201-262294-44781</t>
  </si>
  <si>
    <t>1201-262294-44788</t>
  </si>
  <si>
    <t>1201-268831-44739</t>
  </si>
  <si>
    <t>1201-268831-44746</t>
  </si>
  <si>
    <t>1201-268831-44753</t>
  </si>
  <si>
    <t>1201-268831-44760</t>
  </si>
  <si>
    <t>1201-268831-44767</t>
  </si>
  <si>
    <t>1201-268831-44774</t>
  </si>
  <si>
    <t>1201-268831-44781</t>
  </si>
  <si>
    <t>1201-268831-44788</t>
  </si>
  <si>
    <t>1201-273701-44739</t>
  </si>
  <si>
    <t>1201-273701-44746</t>
  </si>
  <si>
    <t>1201-273701-44753</t>
  </si>
  <si>
    <t>1201-273701-44760</t>
  </si>
  <si>
    <t>1201-273701-44767</t>
  </si>
  <si>
    <t>1201-273701-44774</t>
  </si>
  <si>
    <t>1201-273701-44781</t>
  </si>
  <si>
    <t>1201-273701-44788</t>
  </si>
  <si>
    <t>1201-291726-44739</t>
  </si>
  <si>
    <t>1201-291726-44746</t>
  </si>
  <si>
    <t>1201-291726-44753</t>
  </si>
  <si>
    <t>1201-291726-44760</t>
  </si>
  <si>
    <t>1201-291726-44767</t>
  </si>
  <si>
    <t>1201-291726-44774</t>
  </si>
  <si>
    <t>1201-291726-44781</t>
  </si>
  <si>
    <t>1201-291726-44788</t>
  </si>
  <si>
    <t>1201-291728-44739</t>
  </si>
  <si>
    <t>1201-291728-44746</t>
  </si>
  <si>
    <t>1201-291728-44753</t>
  </si>
  <si>
    <t>1201-291728-44760</t>
  </si>
  <si>
    <t>1201-291728-44767</t>
  </si>
  <si>
    <t>1201-291728-44774</t>
  </si>
  <si>
    <t>1201-291728-44781</t>
  </si>
  <si>
    <t>1201-291728-44788</t>
  </si>
  <si>
    <t>1201-300380-32874</t>
  </si>
  <si>
    <t>1201-300380-44739</t>
  </si>
  <si>
    <t>1201-300380-44746</t>
  </si>
  <si>
    <t>1201-300380-44753</t>
  </si>
  <si>
    <t>1201-300380-44760</t>
  </si>
  <si>
    <t>1201-300380-44767</t>
  </si>
  <si>
    <t>1201-300380-44774</t>
  </si>
  <si>
    <t>1201-300380-44781</t>
  </si>
  <si>
    <t>1201-300380-44788</t>
  </si>
  <si>
    <t>1201-571521-44739</t>
  </si>
  <si>
    <t>1201-571521-44746</t>
  </si>
  <si>
    <t>1201-571521-44753</t>
  </si>
  <si>
    <t>1201-571521-44760</t>
  </si>
  <si>
    <t>1201-571521-44767</t>
  </si>
  <si>
    <t>1201-571521-44774</t>
  </si>
  <si>
    <t>1201-571521-44781</t>
  </si>
  <si>
    <t>1201-571521-44788</t>
  </si>
  <si>
    <t>1201-614993-44739</t>
  </si>
  <si>
    <t>1201-614993-44746</t>
  </si>
  <si>
    <t>1201-614993-44753</t>
  </si>
  <si>
    <t>1201-614993-44760</t>
  </si>
  <si>
    <t>1201-614993-44767</t>
  </si>
  <si>
    <t>1201-614993-44774</t>
  </si>
  <si>
    <t>1201-614993-44781</t>
  </si>
  <si>
    <t>1201-614993-44788</t>
  </si>
  <si>
    <t>1202-23393-44739</t>
  </si>
  <si>
    <t>1202-23393-44746</t>
  </si>
  <si>
    <t>1202-23393-44753</t>
  </si>
  <si>
    <t>1202-23393-44760</t>
  </si>
  <si>
    <t>1202-23393-44767</t>
  </si>
  <si>
    <t>1202-23393-44774</t>
  </si>
  <si>
    <t>1202-23393-44781</t>
  </si>
  <si>
    <t>1202-23393-44788</t>
  </si>
  <si>
    <t>1202-26764-44739</t>
  </si>
  <si>
    <t>1202-26764-44746</t>
  </si>
  <si>
    <t>1202-26764-44753</t>
  </si>
  <si>
    <t>1202-26764-44760</t>
  </si>
  <si>
    <t>1202-26764-44767</t>
  </si>
  <si>
    <t>1202-26764-44774</t>
  </si>
  <si>
    <t>1202-26764-44781</t>
  </si>
  <si>
    <t>1202-26764-44788</t>
  </si>
  <si>
    <t>1202-53934-44739</t>
  </si>
  <si>
    <t>1202-53934-44746</t>
  </si>
  <si>
    <t>1202-53934-44753</t>
  </si>
  <si>
    <t>1202-53934-44760</t>
  </si>
  <si>
    <t>1202-53934-44767</t>
  </si>
  <si>
    <t>1202-53934-44774</t>
  </si>
  <si>
    <t>1202-53934-44781</t>
  </si>
  <si>
    <t>1202-53934-44788</t>
  </si>
  <si>
    <t>1202-78699-44739</t>
  </si>
  <si>
    <t>1202-78699-44746</t>
  </si>
  <si>
    <t>1202-78699-44753</t>
  </si>
  <si>
    <t>1202-78699-44760</t>
  </si>
  <si>
    <t>1202-78699-44767</t>
  </si>
  <si>
    <t>1202-78699-44774</t>
  </si>
  <si>
    <t>1202-78699-44781</t>
  </si>
  <si>
    <t>1202-78699-44788</t>
  </si>
  <si>
    <t>1202-78869-44739</t>
  </si>
  <si>
    <t>1202-78869-44746</t>
  </si>
  <si>
    <t>1202-78869-44753</t>
  </si>
  <si>
    <t>1202-78869-44760</t>
  </si>
  <si>
    <t>1202-78869-44767</t>
  </si>
  <si>
    <t>1202-78869-44774</t>
  </si>
  <si>
    <t>1202-78869-44781</t>
  </si>
  <si>
    <t>1202-78869-44788</t>
  </si>
  <si>
    <t>1202-115600-44739</t>
  </si>
  <si>
    <t>1202-115600-44746</t>
  </si>
  <si>
    <t>1202-115600-44753</t>
  </si>
  <si>
    <t>1202-115600-44760</t>
  </si>
  <si>
    <t>1202-115600-44767</t>
  </si>
  <si>
    <t>1202-115600-44774</t>
  </si>
  <si>
    <t>1202-115600-44781</t>
  </si>
  <si>
    <t>1202-115600-44788</t>
  </si>
  <si>
    <t>1202-129208-44739</t>
  </si>
  <si>
    <t>1202-129208-44746</t>
  </si>
  <si>
    <t>1202-129208-44753</t>
  </si>
  <si>
    <t>1202-129208-44760</t>
  </si>
  <si>
    <t>1202-129208-44767</t>
  </si>
  <si>
    <t>1202-129208-44774</t>
  </si>
  <si>
    <t>1202-129208-44781</t>
  </si>
  <si>
    <t>1202-129208-44788</t>
  </si>
  <si>
    <t>1202-141622-44739</t>
  </si>
  <si>
    <t>1202-141622-44746</t>
  </si>
  <si>
    <t>1202-141622-44753</t>
  </si>
  <si>
    <t>1202-141622-44760</t>
  </si>
  <si>
    <t>1202-141622-44767</t>
  </si>
  <si>
    <t>1202-141622-44774</t>
  </si>
  <si>
    <t>1202-141622-44781</t>
  </si>
  <si>
    <t>1202-141622-44788</t>
  </si>
  <si>
    <t>1202-141626-44739</t>
  </si>
  <si>
    <t>1202-141626-44746</t>
  </si>
  <si>
    <t>1202-141626-44753</t>
  </si>
  <si>
    <t>1202-141626-44760</t>
  </si>
  <si>
    <t>1202-141626-44767</t>
  </si>
  <si>
    <t>1202-141626-44774</t>
  </si>
  <si>
    <t>1202-141626-44781</t>
  </si>
  <si>
    <t>1202-141626-44788</t>
  </si>
  <si>
    <t>1202-141791-44739</t>
  </si>
  <si>
    <t>1202-141791-44746</t>
  </si>
  <si>
    <t>1202-141791-44753</t>
  </si>
  <si>
    <t>1202-141791-44760</t>
  </si>
  <si>
    <t>1202-141791-44767</t>
  </si>
  <si>
    <t>1202-141791-44774</t>
  </si>
  <si>
    <t>1202-141791-44781</t>
  </si>
  <si>
    <t>1202-141791-44788</t>
  </si>
  <si>
    <t>1202-141846-44739</t>
  </si>
  <si>
    <t>1202-141846-44746</t>
  </si>
  <si>
    <t>1202-141846-44753</t>
  </si>
  <si>
    <t>1202-141846-44760</t>
  </si>
  <si>
    <t>1202-141846-44767</t>
  </si>
  <si>
    <t>1202-141846-44774</t>
  </si>
  <si>
    <t>1202-141846-44781</t>
  </si>
  <si>
    <t>1202-141846-44788</t>
  </si>
  <si>
    <t>1202-141967-44739</t>
  </si>
  <si>
    <t>1202-141967-44746</t>
  </si>
  <si>
    <t>1202-141967-44753</t>
  </si>
  <si>
    <t>1202-141967-44760</t>
  </si>
  <si>
    <t>1202-141967-44767</t>
  </si>
  <si>
    <t>1202-141967-44774</t>
  </si>
  <si>
    <t>1202-141967-44781</t>
  </si>
  <si>
    <t>1202-141967-44788</t>
  </si>
  <si>
    <t>1202-142194-44739</t>
  </si>
  <si>
    <t>1202-142194-44746</t>
  </si>
  <si>
    <t>1202-142194-44753</t>
  </si>
  <si>
    <t>1202-142194-44760</t>
  </si>
  <si>
    <t>1202-142194-44767</t>
  </si>
  <si>
    <t>1202-142194-44774</t>
  </si>
  <si>
    <t>1202-142194-44781</t>
  </si>
  <si>
    <t>1202-142194-44788</t>
  </si>
  <si>
    <t>1202-149729-44739</t>
  </si>
  <si>
    <t>1202-149729-44746</t>
  </si>
  <si>
    <t>1202-149729-44753</t>
  </si>
  <si>
    <t>1202-149729-44760</t>
  </si>
  <si>
    <t>1202-149729-44767</t>
  </si>
  <si>
    <t>1202-149729-44774</t>
  </si>
  <si>
    <t>1202-149729-44781</t>
  </si>
  <si>
    <t>1202-149729-44788</t>
  </si>
  <si>
    <t>1202-149779-44739</t>
  </si>
  <si>
    <t>1202-149779-44746</t>
  </si>
  <si>
    <t>1202-149779-44753</t>
  </si>
  <si>
    <t>1202-149779-44760</t>
  </si>
  <si>
    <t>1202-149779-44767</t>
  </si>
  <si>
    <t>1202-149779-44774</t>
  </si>
  <si>
    <t>1202-149779-44781</t>
  </si>
  <si>
    <t>1202-149779-44788</t>
  </si>
  <si>
    <t>1202-189933-44739</t>
  </si>
  <si>
    <t>1202-189933-44746</t>
  </si>
  <si>
    <t>1202-189933-44753</t>
  </si>
  <si>
    <t>1202-189933-44760</t>
  </si>
  <si>
    <t>1202-189933-44767</t>
  </si>
  <si>
    <t>1202-189933-44774</t>
  </si>
  <si>
    <t>1202-189933-44781</t>
  </si>
  <si>
    <t>1202-189933-44788</t>
  </si>
  <si>
    <t>1202-202577-44739</t>
  </si>
  <si>
    <t>1202-202577-44746</t>
  </si>
  <si>
    <t>1202-202577-44753</t>
  </si>
  <si>
    <t>1202-202577-44760</t>
  </si>
  <si>
    <t>1202-202577-44767</t>
  </si>
  <si>
    <t>1202-202577-44774</t>
  </si>
  <si>
    <t>1202-202577-44781</t>
  </si>
  <si>
    <t>1202-202577-44788</t>
  </si>
  <si>
    <t>1202-234334-44739</t>
  </si>
  <si>
    <t>1202-234334-44746</t>
  </si>
  <si>
    <t>1202-234334-44753</t>
  </si>
  <si>
    <t>1202-234334-44760</t>
  </si>
  <si>
    <t>1202-234334-44767</t>
  </si>
  <si>
    <t>1202-234334-44774</t>
  </si>
  <si>
    <t>1202-234334-44781</t>
  </si>
  <si>
    <t>1202-234334-44788</t>
  </si>
  <si>
    <t>1202-249444-44739</t>
  </si>
  <si>
    <t>1202-249444-44746</t>
  </si>
  <si>
    <t>1202-249444-44753</t>
  </si>
  <si>
    <t>1202-249444-44760</t>
  </si>
  <si>
    <t>1202-249444-44767</t>
  </si>
  <si>
    <t>1202-249444-44774</t>
  </si>
  <si>
    <t>1202-249444-44781</t>
  </si>
  <si>
    <t>1202-249444-44788</t>
  </si>
  <si>
    <t>1202-249795-44739</t>
  </si>
  <si>
    <t>1202-249795-44746</t>
  </si>
  <si>
    <t>1202-249795-44753</t>
  </si>
  <si>
    <t>1202-249795-44760</t>
  </si>
  <si>
    <t>1202-249795-44767</t>
  </si>
  <si>
    <t>1202-249795-44774</t>
  </si>
  <si>
    <t>1202-249795-44781</t>
  </si>
  <si>
    <t>1202-249795-44788</t>
  </si>
  <si>
    <t>1202-250979-44739</t>
  </si>
  <si>
    <t>1202-250979-44746</t>
  </si>
  <si>
    <t>1202-250979-44753</t>
  </si>
  <si>
    <t>1202-250979-44760</t>
  </si>
  <si>
    <t>1202-250979-44767</t>
  </si>
  <si>
    <t>1202-250979-44774</t>
  </si>
  <si>
    <t>1202-250979-44781</t>
  </si>
  <si>
    <t>1202-250979-44788</t>
  </si>
  <si>
    <t>1202-250981-44739</t>
  </si>
  <si>
    <t>1202-250981-44746</t>
  </si>
  <si>
    <t>1202-250981-44753</t>
  </si>
  <si>
    <t>1202-250981-44760</t>
  </si>
  <si>
    <t>1202-250981-44767</t>
  </si>
  <si>
    <t>1202-250981-44774</t>
  </si>
  <si>
    <t>1202-250981-44781</t>
  </si>
  <si>
    <t>1202-250981-44788</t>
  </si>
  <si>
    <t>1202-262294-44739</t>
  </si>
  <si>
    <t>1202-262294-44746</t>
  </si>
  <si>
    <t>1202-262294-44753</t>
  </si>
  <si>
    <t>1202-262294-44760</t>
  </si>
  <si>
    <t>1202-262294-44767</t>
  </si>
  <si>
    <t>1202-262294-44774</t>
  </si>
  <si>
    <t>1202-262294-44781</t>
  </si>
  <si>
    <t>1202-262294-44788</t>
  </si>
  <si>
    <t>1202-268831-44739</t>
  </si>
  <si>
    <t>1202-268831-44746</t>
  </si>
  <si>
    <t>1202-268831-44753</t>
  </si>
  <si>
    <t>1202-268831-44760</t>
  </si>
  <si>
    <t>1202-268831-44767</t>
  </si>
  <si>
    <t>1202-268831-44774</t>
  </si>
  <si>
    <t>1202-268831-44781</t>
  </si>
  <si>
    <t>1202-268831-44788</t>
  </si>
  <si>
    <t>1202-273701-44739</t>
  </si>
  <si>
    <t>1202-273701-44746</t>
  </si>
  <si>
    <t>1202-273701-44753</t>
  </si>
  <si>
    <t>1202-273701-44760</t>
  </si>
  <si>
    <t>1202-273701-44767</t>
  </si>
  <si>
    <t>1202-273701-44774</t>
  </si>
  <si>
    <t>1202-273701-44781</t>
  </si>
  <si>
    <t>1202-273701-44788</t>
  </si>
  <si>
    <t>1202-291726-44739</t>
  </si>
  <si>
    <t>1202-291726-44746</t>
  </si>
  <si>
    <t>1202-291726-44753</t>
  </si>
  <si>
    <t>1202-291726-44760</t>
  </si>
  <si>
    <t>1202-291726-44767</t>
  </si>
  <si>
    <t>1202-291726-44774</t>
  </si>
  <si>
    <t>1202-291726-44781</t>
  </si>
  <si>
    <t>1202-291726-44788</t>
  </si>
  <si>
    <t>1202-291728-44739</t>
  </si>
  <si>
    <t>1202-291728-44746</t>
  </si>
  <si>
    <t>1202-291728-44753</t>
  </si>
  <si>
    <t>1202-291728-44760</t>
  </si>
  <si>
    <t>1202-291728-44767</t>
  </si>
  <si>
    <t>1202-291728-44774</t>
  </si>
  <si>
    <t>1202-291728-44781</t>
  </si>
  <si>
    <t>1202-291728-44788</t>
  </si>
  <si>
    <t>1202-300380-44739</t>
  </si>
  <si>
    <t>1202-300380-44746</t>
  </si>
  <si>
    <t>1202-300380-44753</t>
  </si>
  <si>
    <t>1202-300380-44760</t>
  </si>
  <si>
    <t>1202-300380-44767</t>
  </si>
  <si>
    <t>1202-300380-44774</t>
  </si>
  <si>
    <t>1202-300380-44781</t>
  </si>
  <si>
    <t>1202-300380-44788</t>
  </si>
  <si>
    <t>1202-571521-44739</t>
  </si>
  <si>
    <t>1202-571521-44746</t>
  </si>
  <si>
    <t>1202-571521-44753</t>
  </si>
  <si>
    <t>1202-571521-44760</t>
  </si>
  <si>
    <t>1202-571521-44767</t>
  </si>
  <si>
    <t>1202-571521-44774</t>
  </si>
  <si>
    <t>1202-571521-44781</t>
  </si>
  <si>
    <t>1202-571521-44788</t>
  </si>
  <si>
    <t>1202-614993-44739</t>
  </si>
  <si>
    <t>1202-614993-44746</t>
  </si>
  <si>
    <t>1202-614993-44753</t>
  </si>
  <si>
    <t>1202-614993-44760</t>
  </si>
  <si>
    <t>1202-614993-44767</t>
  </si>
  <si>
    <t>1202-614993-44774</t>
  </si>
  <si>
    <t>1202-614993-44781</t>
  </si>
  <si>
    <t>1202-614993-44788</t>
  </si>
  <si>
    <t>1203-23393-44739</t>
  </si>
  <si>
    <t>1203-23393-44746</t>
  </si>
  <si>
    <t>1203-23393-44753</t>
  </si>
  <si>
    <t>1203-23393-44760</t>
  </si>
  <si>
    <t>1203-23393-44767</t>
  </si>
  <si>
    <t>1203-23393-44774</t>
  </si>
  <si>
    <t>1203-23393-44781</t>
  </si>
  <si>
    <t>1203-23393-44788</t>
  </si>
  <si>
    <t>1203-26764-44739</t>
  </si>
  <si>
    <t>1203-26764-44746</t>
  </si>
  <si>
    <t>1203-26764-44753</t>
  </si>
  <si>
    <t>1203-26764-44760</t>
  </si>
  <si>
    <t>1203-26764-44767</t>
  </si>
  <si>
    <t>1203-26764-44774</t>
  </si>
  <si>
    <t>1203-26764-44781</t>
  </si>
  <si>
    <t>1203-26764-44788</t>
  </si>
  <si>
    <t>1203-53934-44739</t>
  </si>
  <si>
    <t>1203-53934-44746</t>
  </si>
  <si>
    <t>1203-53934-44753</t>
  </si>
  <si>
    <t>1203-53934-44760</t>
  </si>
  <si>
    <t>1203-53934-44767</t>
  </si>
  <si>
    <t>1203-53934-44774</t>
  </si>
  <si>
    <t>1203-53934-44781</t>
  </si>
  <si>
    <t>1203-53934-44788</t>
  </si>
  <si>
    <t>1203-78699-44739</t>
  </si>
  <si>
    <t>1203-78699-44746</t>
  </si>
  <si>
    <t>1203-78699-44753</t>
  </si>
  <si>
    <t>1203-78699-44760</t>
  </si>
  <si>
    <t>1203-78699-44767</t>
  </si>
  <si>
    <t>1203-78699-44774</t>
  </si>
  <si>
    <t>1203-78699-44781</t>
  </si>
  <si>
    <t>1203-78699-44788</t>
  </si>
  <si>
    <t>1203-78869-44739</t>
  </si>
  <si>
    <t>1203-78869-44746</t>
  </si>
  <si>
    <t>1203-78869-44753</t>
  </si>
  <si>
    <t>1203-78869-44760</t>
  </si>
  <si>
    <t>1203-78869-44767</t>
  </si>
  <si>
    <t>1203-78869-44774</t>
  </si>
  <si>
    <t>1203-78869-44781</t>
  </si>
  <si>
    <t>1203-78869-44788</t>
  </si>
  <si>
    <t>1203-115600-44739</t>
  </si>
  <si>
    <t>1203-115600-44746</t>
  </si>
  <si>
    <t>1203-115600-44753</t>
  </si>
  <si>
    <t>1203-115600-44760</t>
  </si>
  <si>
    <t>1203-115600-44767</t>
  </si>
  <si>
    <t>1203-115600-44774</t>
  </si>
  <si>
    <t>1203-115600-44781</t>
  </si>
  <si>
    <t>1203-115600-44788</t>
  </si>
  <si>
    <t>1203-129208-32874</t>
  </si>
  <si>
    <t>1203-129208-44739</t>
  </si>
  <si>
    <t>1203-129208-44746</t>
  </si>
  <si>
    <t>1203-129208-44753</t>
  </si>
  <si>
    <t>1203-129208-44760</t>
  </si>
  <si>
    <t>1203-129208-44767</t>
  </si>
  <si>
    <t>1203-129208-44774</t>
  </si>
  <si>
    <t>1203-129208-44781</t>
  </si>
  <si>
    <t>1203-129208-44788</t>
  </si>
  <si>
    <t>1203-141622-44739</t>
  </si>
  <si>
    <t>1203-141622-44746</t>
  </si>
  <si>
    <t>1203-141622-44753</t>
  </si>
  <si>
    <t>1203-141622-44760</t>
  </si>
  <si>
    <t>1203-141622-44767</t>
  </si>
  <si>
    <t>1203-141622-44774</t>
  </si>
  <si>
    <t>1203-141622-44781</t>
  </si>
  <si>
    <t>1203-141622-44788</t>
  </si>
  <si>
    <t>1203-141626-44739</t>
  </si>
  <si>
    <t>1203-141626-44746</t>
  </si>
  <si>
    <t>1203-141626-44753</t>
  </si>
  <si>
    <t>1203-141626-44760</t>
  </si>
  <si>
    <t>1203-141626-44767</t>
  </si>
  <si>
    <t>1203-141626-44774</t>
  </si>
  <si>
    <t>1203-141626-44781</t>
  </si>
  <si>
    <t>1203-141626-44788</t>
  </si>
  <si>
    <t>1203-141791-44739</t>
  </si>
  <si>
    <t>1203-141791-44746</t>
  </si>
  <si>
    <t>1203-141791-44753</t>
  </si>
  <si>
    <t>1203-141791-44760</t>
  </si>
  <si>
    <t>1203-141791-44767</t>
  </si>
  <si>
    <t>1203-141791-44774</t>
  </si>
  <si>
    <t>1203-141791-44781</t>
  </si>
  <si>
    <t>1203-141791-44788</t>
  </si>
  <si>
    <t>1203-141846-44739</t>
  </si>
  <si>
    <t>1203-141846-44746</t>
  </si>
  <si>
    <t>1203-141846-44753</t>
  </si>
  <si>
    <t>1203-141846-44760</t>
  </si>
  <si>
    <t>1203-141846-44767</t>
  </si>
  <si>
    <t>1203-141846-44774</t>
  </si>
  <si>
    <t>1203-141846-44781</t>
  </si>
  <si>
    <t>1203-141846-44788</t>
  </si>
  <si>
    <t>1203-141967-44739</t>
  </si>
  <si>
    <t>1203-141967-44746</t>
  </si>
  <si>
    <t>1203-141967-44753</t>
  </si>
  <si>
    <t>1203-141967-44760</t>
  </si>
  <si>
    <t>1203-141967-44767</t>
  </si>
  <si>
    <t>1203-141967-44774</t>
  </si>
  <si>
    <t>1203-141967-44781</t>
  </si>
  <si>
    <t>1203-141967-44788</t>
  </si>
  <si>
    <t>1203-142194-44739</t>
  </si>
  <si>
    <t>1203-142194-44746</t>
  </si>
  <si>
    <t>1203-142194-44753</t>
  </si>
  <si>
    <t>1203-142194-44760</t>
  </si>
  <si>
    <t>1203-142194-44767</t>
  </si>
  <si>
    <t>1203-142194-44774</t>
  </si>
  <si>
    <t>1203-142194-44781</t>
  </si>
  <si>
    <t>1203-142194-44788</t>
  </si>
  <si>
    <t>1203-149729-44739</t>
  </si>
  <si>
    <t>1203-149729-44746</t>
  </si>
  <si>
    <t>1203-149729-44753</t>
  </si>
  <si>
    <t>1203-149729-44760</t>
  </si>
  <si>
    <t>1203-149729-44767</t>
  </si>
  <si>
    <t>1203-149729-44774</t>
  </si>
  <si>
    <t>1203-149729-44781</t>
  </si>
  <si>
    <t>1203-149729-44788</t>
  </si>
  <si>
    <t>1203-149779-44739</t>
  </si>
  <si>
    <t>1203-149779-44746</t>
  </si>
  <si>
    <t>1203-149779-44753</t>
  </si>
  <si>
    <t>1203-149779-44760</t>
  </si>
  <si>
    <t>1203-149779-44767</t>
  </si>
  <si>
    <t>1203-149779-44774</t>
  </si>
  <si>
    <t>1203-149779-44781</t>
  </si>
  <si>
    <t>1203-149779-44788</t>
  </si>
  <si>
    <t>1203-189933-44739</t>
  </si>
  <si>
    <t>1203-189933-44746</t>
  </si>
  <si>
    <t>1203-189933-44753</t>
  </si>
  <si>
    <t>1203-189933-44760</t>
  </si>
  <si>
    <t>1203-189933-44767</t>
  </si>
  <si>
    <t>1203-189933-44774</t>
  </si>
  <si>
    <t>1203-189933-44781</t>
  </si>
  <si>
    <t>1203-189933-44788</t>
  </si>
  <si>
    <t>1203-202577-44739</t>
  </si>
  <si>
    <t>1203-202577-44746</t>
  </si>
  <si>
    <t>1203-202577-44753</t>
  </si>
  <si>
    <t>1203-202577-44760</t>
  </si>
  <si>
    <t>1203-202577-44767</t>
  </si>
  <si>
    <t>1203-202577-44774</t>
  </si>
  <si>
    <t>1203-202577-44781</t>
  </si>
  <si>
    <t>1203-202577-44788</t>
  </si>
  <si>
    <t>1203-234334-44739</t>
  </si>
  <si>
    <t>1203-234334-44746</t>
  </si>
  <si>
    <t>1203-234334-44753</t>
  </si>
  <si>
    <t>1203-234334-44760</t>
  </si>
  <si>
    <t>1203-234334-44767</t>
  </si>
  <si>
    <t>1203-234334-44774</t>
  </si>
  <si>
    <t>1203-234334-44781</t>
  </si>
  <si>
    <t>1203-234334-44788</t>
  </si>
  <si>
    <t>1203-249444-44739</t>
  </si>
  <si>
    <t>1203-249444-44746</t>
  </si>
  <si>
    <t>1203-249444-44753</t>
  </si>
  <si>
    <t>1203-249444-44760</t>
  </si>
  <si>
    <t>1203-249444-44767</t>
  </si>
  <si>
    <t>1203-249444-44774</t>
  </si>
  <si>
    <t>1203-249444-44781</t>
  </si>
  <si>
    <t>1203-249444-44788</t>
  </si>
  <si>
    <t>1203-249795-44739</t>
  </si>
  <si>
    <t>1203-249795-44746</t>
  </si>
  <si>
    <t>1203-249795-44753</t>
  </si>
  <si>
    <t>1203-249795-44760</t>
  </si>
  <si>
    <t>1203-249795-44767</t>
  </si>
  <si>
    <t>1203-249795-44774</t>
  </si>
  <si>
    <t>1203-249795-44781</t>
  </si>
  <si>
    <t>1203-249795-44788</t>
  </si>
  <si>
    <t>1203-250979-44739</t>
  </si>
  <si>
    <t>1203-250979-44746</t>
  </si>
  <si>
    <t>1203-250979-44753</t>
  </si>
  <si>
    <t>1203-250979-44760</t>
  </si>
  <si>
    <t>1203-250979-44767</t>
  </si>
  <si>
    <t>1203-250979-44774</t>
  </si>
  <si>
    <t>1203-250979-44781</t>
  </si>
  <si>
    <t>1203-250979-44788</t>
  </si>
  <si>
    <t>1203-250981-44739</t>
  </si>
  <si>
    <t>1203-250981-44746</t>
  </si>
  <si>
    <t>1203-250981-44753</t>
  </si>
  <si>
    <t>1203-250981-44760</t>
  </si>
  <si>
    <t>1203-250981-44767</t>
  </si>
  <si>
    <t>1203-250981-44774</t>
  </si>
  <si>
    <t>1203-250981-44781</t>
  </si>
  <si>
    <t>1203-250981-44788</t>
  </si>
  <si>
    <t>1203-262294-44739</t>
  </si>
  <si>
    <t>1203-262294-44746</t>
  </si>
  <si>
    <t>1203-262294-44753</t>
  </si>
  <si>
    <t>1203-262294-44760</t>
  </si>
  <si>
    <t>1203-262294-44767</t>
  </si>
  <si>
    <t>1203-262294-44774</t>
  </si>
  <si>
    <t>1203-262294-44781</t>
  </si>
  <si>
    <t>1203-262294-44788</t>
  </si>
  <si>
    <t>1203-268831-44739</t>
  </si>
  <si>
    <t>1203-268831-44746</t>
  </si>
  <si>
    <t>1203-268831-44753</t>
  </si>
  <si>
    <t>1203-268831-44760</t>
  </si>
  <si>
    <t>1203-268831-44767</t>
  </si>
  <si>
    <t>1203-268831-44774</t>
  </si>
  <si>
    <t>1203-268831-44781</t>
  </si>
  <si>
    <t>1203-268831-44788</t>
  </si>
  <si>
    <t>1203-273701-44739</t>
  </si>
  <si>
    <t>1203-273701-44746</t>
  </si>
  <si>
    <t>1203-273701-44753</t>
  </si>
  <si>
    <t>1203-273701-44760</t>
  </si>
  <si>
    <t>1203-273701-44767</t>
  </si>
  <si>
    <t>1203-273701-44774</t>
  </si>
  <si>
    <t>1203-273701-44781</t>
  </si>
  <si>
    <t>1203-273701-44788</t>
  </si>
  <si>
    <t>1203-291726-44739</t>
  </si>
  <si>
    <t>1203-291726-44746</t>
  </si>
  <si>
    <t>1203-291726-44753</t>
  </si>
  <si>
    <t>1203-291726-44760</t>
  </si>
  <si>
    <t>1203-291726-44767</t>
  </si>
  <si>
    <t>1203-291726-44774</t>
  </si>
  <si>
    <t>1203-291726-44781</t>
  </si>
  <si>
    <t>1203-291726-44788</t>
  </si>
  <si>
    <t>1203-291728-44739</t>
  </si>
  <si>
    <t>1203-291728-44746</t>
  </si>
  <si>
    <t>1203-291728-44753</t>
  </si>
  <si>
    <t>1203-291728-44760</t>
  </si>
  <si>
    <t>1203-291728-44767</t>
  </si>
  <si>
    <t>1203-291728-44774</t>
  </si>
  <si>
    <t>1203-291728-44781</t>
  </si>
  <si>
    <t>1203-291728-44788</t>
  </si>
  <si>
    <t>1203-300380-32874</t>
  </si>
  <si>
    <t>1203-300380-44739</t>
  </si>
  <si>
    <t>1203-300380-44746</t>
  </si>
  <si>
    <t>1203-300380-44753</t>
  </si>
  <si>
    <t>1203-300380-44760</t>
  </si>
  <si>
    <t>1203-300380-44767</t>
  </si>
  <si>
    <t>1203-300380-44774</t>
  </si>
  <si>
    <t>1203-300380-44781</t>
  </si>
  <si>
    <t>1203-300380-44788</t>
  </si>
  <si>
    <t>1203-571521-44739</t>
  </si>
  <si>
    <t>1203-571521-44746</t>
  </si>
  <si>
    <t>1203-571521-44753</t>
  </si>
  <si>
    <t>1203-571521-44760</t>
  </si>
  <si>
    <t>1203-571521-44767</t>
  </si>
  <si>
    <t>1203-571521-44774</t>
  </si>
  <si>
    <t>1203-571521-44781</t>
  </si>
  <si>
    <t>1203-571521-44788</t>
  </si>
  <si>
    <t>1203-614993-44739</t>
  </si>
  <si>
    <t>1203-614993-44746</t>
  </si>
  <si>
    <t>1203-614993-44753</t>
  </si>
  <si>
    <t>1203-614993-44760</t>
  </si>
  <si>
    <t>1203-614993-44767</t>
  </si>
  <si>
    <t>1203-614993-44774</t>
  </si>
  <si>
    <t>1203-614993-44781</t>
  </si>
  <si>
    <t>1203-614993-44788</t>
  </si>
  <si>
    <t>1204-23393-44739</t>
  </si>
  <si>
    <t>1204-23393-44746</t>
  </si>
  <si>
    <t>1204-23393-44753</t>
  </si>
  <si>
    <t>1204-23393-44760</t>
  </si>
  <si>
    <t>1204-23393-44767</t>
  </si>
  <si>
    <t>1204-23393-44774</t>
  </si>
  <si>
    <t>1204-23393-44781</t>
  </si>
  <si>
    <t>1204-23393-44788</t>
  </si>
  <si>
    <t>1204-26764-44739</t>
  </si>
  <si>
    <t>1204-26764-44746</t>
  </si>
  <si>
    <t>1204-26764-44753</t>
  </si>
  <si>
    <t>1204-26764-44760</t>
  </si>
  <si>
    <t>1204-26764-44767</t>
  </si>
  <si>
    <t>1204-26764-44774</t>
  </si>
  <si>
    <t>1204-26764-44781</t>
  </si>
  <si>
    <t>1204-26764-44788</t>
  </si>
  <si>
    <t>1204-53934-44739</t>
  </si>
  <si>
    <t>1204-53934-44746</t>
  </si>
  <si>
    <t>1204-53934-44753</t>
  </si>
  <si>
    <t>1204-53934-44760</t>
  </si>
  <si>
    <t>1204-53934-44767</t>
  </si>
  <si>
    <t>1204-53934-44774</t>
  </si>
  <si>
    <t>1204-53934-44781</t>
  </si>
  <si>
    <t>1204-53934-44788</t>
  </si>
  <si>
    <t>1204-78699-44739</t>
  </si>
  <si>
    <t>1204-78699-44746</t>
  </si>
  <si>
    <t>1204-78699-44753</t>
  </si>
  <si>
    <t>1204-78699-44760</t>
  </si>
  <si>
    <t>1204-78699-44767</t>
  </si>
  <si>
    <t>1204-78699-44774</t>
  </si>
  <si>
    <t>1204-78699-44781</t>
  </si>
  <si>
    <t>1204-78699-44788</t>
  </si>
  <si>
    <t>1204-78869-44739</t>
  </si>
  <si>
    <t>1204-78869-44746</t>
  </si>
  <si>
    <t>1204-78869-44753</t>
  </si>
  <si>
    <t>1204-78869-44760</t>
  </si>
  <si>
    <t>1204-78869-44767</t>
  </si>
  <si>
    <t>1204-78869-44774</t>
  </si>
  <si>
    <t>1204-78869-44781</t>
  </si>
  <si>
    <t>1204-78869-44788</t>
  </si>
  <si>
    <t>1204-115600-44739</t>
  </si>
  <si>
    <t>1204-115600-44746</t>
  </si>
  <si>
    <t>1204-115600-44753</t>
  </si>
  <si>
    <t>1204-115600-44760</t>
  </si>
  <si>
    <t>1204-115600-44767</t>
  </si>
  <si>
    <t>1204-115600-44774</t>
  </si>
  <si>
    <t>1204-115600-44781</t>
  </si>
  <si>
    <t>1204-115600-44788</t>
  </si>
  <si>
    <t>1204-129208-32874</t>
  </si>
  <si>
    <t>1204-129208-44739</t>
  </si>
  <si>
    <t>1204-129208-44746</t>
  </si>
  <si>
    <t>1204-129208-44753</t>
  </si>
  <si>
    <t>1204-129208-44760</t>
  </si>
  <si>
    <t>1204-129208-44767</t>
  </si>
  <si>
    <t>1204-129208-44774</t>
  </si>
  <si>
    <t>1204-129208-44781</t>
  </si>
  <si>
    <t>1204-129208-44788</t>
  </si>
  <si>
    <t>1204-141622-44739</t>
  </si>
  <si>
    <t>1204-141622-44746</t>
  </si>
  <si>
    <t>1204-141622-44753</t>
  </si>
  <si>
    <t>1204-141622-44760</t>
  </si>
  <si>
    <t>1204-141622-44767</t>
  </si>
  <si>
    <t>1204-141622-44774</t>
  </si>
  <si>
    <t>1204-141622-44781</t>
  </si>
  <si>
    <t>1204-141622-44788</t>
  </si>
  <si>
    <t>1204-141626-44739</t>
  </si>
  <si>
    <t>1204-141626-44746</t>
  </si>
  <si>
    <t>1204-141626-44753</t>
  </si>
  <si>
    <t>1204-141626-44760</t>
  </si>
  <si>
    <t>1204-141626-44767</t>
  </si>
  <si>
    <t>1204-141626-44774</t>
  </si>
  <si>
    <t>1204-141626-44781</t>
  </si>
  <si>
    <t>1204-141626-44788</t>
  </si>
  <si>
    <t>1204-141791-44739</t>
  </si>
  <si>
    <t>1204-141791-44746</t>
  </si>
  <si>
    <t>1204-141791-44753</t>
  </si>
  <si>
    <t>1204-141791-44760</t>
  </si>
  <si>
    <t>1204-141791-44767</t>
  </si>
  <si>
    <t>1204-141791-44774</t>
  </si>
  <si>
    <t>1204-141791-44781</t>
  </si>
  <si>
    <t>1204-141791-44788</t>
  </si>
  <si>
    <t>1204-141846-44739</t>
  </si>
  <si>
    <t>1204-141846-44746</t>
  </si>
  <si>
    <t>1204-141846-44753</t>
  </si>
  <si>
    <t>1204-141846-44760</t>
  </si>
  <si>
    <t>1204-141846-44767</t>
  </si>
  <si>
    <t>1204-141846-44774</t>
  </si>
  <si>
    <t>1204-141846-44781</t>
  </si>
  <si>
    <t>1204-141846-44788</t>
  </si>
  <si>
    <t>1204-141967-44739</t>
  </si>
  <si>
    <t>1204-141967-44746</t>
  </si>
  <si>
    <t>1204-141967-44753</t>
  </si>
  <si>
    <t>1204-141967-44760</t>
  </si>
  <si>
    <t>1204-141967-44767</t>
  </si>
  <si>
    <t>1204-141967-44774</t>
  </si>
  <si>
    <t>1204-141967-44781</t>
  </si>
  <si>
    <t>1204-141967-44788</t>
  </si>
  <si>
    <t>1204-142194-44739</t>
  </si>
  <si>
    <t>1204-142194-44746</t>
  </si>
  <si>
    <t>1204-142194-44753</t>
  </si>
  <si>
    <t>1204-142194-44760</t>
  </si>
  <si>
    <t>1204-142194-44767</t>
  </si>
  <si>
    <t>1204-142194-44774</t>
  </si>
  <si>
    <t>1204-142194-44781</t>
  </si>
  <si>
    <t>1204-142194-44788</t>
  </si>
  <si>
    <t>1204-149729-44739</t>
  </si>
  <si>
    <t>1204-149729-44746</t>
  </si>
  <si>
    <t>1204-149729-44753</t>
  </si>
  <si>
    <t>1204-149729-44760</t>
  </si>
  <si>
    <t>1204-149729-44767</t>
  </si>
  <si>
    <t>1204-149729-44774</t>
  </si>
  <si>
    <t>1204-149729-44781</t>
  </si>
  <si>
    <t>1204-149729-44788</t>
  </si>
  <si>
    <t>1204-149779-44739</t>
  </si>
  <si>
    <t>1204-149779-44746</t>
  </si>
  <si>
    <t>1204-149779-44753</t>
  </si>
  <si>
    <t>1204-149779-44760</t>
  </si>
  <si>
    <t>1204-149779-44767</t>
  </si>
  <si>
    <t>1204-149779-44774</t>
  </si>
  <si>
    <t>1204-149779-44781</t>
  </si>
  <si>
    <t>1204-149779-44788</t>
  </si>
  <si>
    <t>1204-189933-44739</t>
  </si>
  <si>
    <t>1204-189933-44746</t>
  </si>
  <si>
    <t>1204-189933-44753</t>
  </si>
  <si>
    <t>1204-189933-44760</t>
  </si>
  <si>
    <t>1204-189933-44767</t>
  </si>
  <si>
    <t>1204-189933-44774</t>
  </si>
  <si>
    <t>1204-189933-44781</t>
  </si>
  <si>
    <t>1204-189933-44788</t>
  </si>
  <si>
    <t>1204-202577-44739</t>
  </si>
  <si>
    <t>1204-202577-44746</t>
  </si>
  <si>
    <t>1204-202577-44753</t>
  </si>
  <si>
    <t>1204-202577-44760</t>
  </si>
  <si>
    <t>1204-202577-44767</t>
  </si>
  <si>
    <t>1204-202577-44774</t>
  </si>
  <si>
    <t>1204-202577-44781</t>
  </si>
  <si>
    <t>1204-202577-44788</t>
  </si>
  <si>
    <t>1204-234334-44739</t>
  </si>
  <si>
    <t>1204-234334-44746</t>
  </si>
  <si>
    <t>1204-234334-44753</t>
  </si>
  <si>
    <t>1204-234334-44760</t>
  </si>
  <si>
    <t>1204-234334-44767</t>
  </si>
  <si>
    <t>1204-234334-44774</t>
  </si>
  <si>
    <t>1204-234334-44781</t>
  </si>
  <si>
    <t>1204-234334-44788</t>
  </si>
  <si>
    <t>1204-249444-44739</t>
  </si>
  <si>
    <t>1204-249444-44746</t>
  </si>
  <si>
    <t>1204-249444-44753</t>
  </si>
  <si>
    <t>1204-249444-44760</t>
  </si>
  <si>
    <t>1204-249444-44767</t>
  </si>
  <si>
    <t>1204-249444-44774</t>
  </si>
  <si>
    <t>1204-249444-44781</t>
  </si>
  <si>
    <t>1204-249444-44788</t>
  </si>
  <si>
    <t>1204-249795-44739</t>
  </si>
  <si>
    <t>1204-249795-44746</t>
  </si>
  <si>
    <t>1204-249795-44753</t>
  </si>
  <si>
    <t>1204-249795-44760</t>
  </si>
  <si>
    <t>1204-249795-44767</t>
  </si>
  <si>
    <t>1204-249795-44774</t>
  </si>
  <si>
    <t>1204-249795-44781</t>
  </si>
  <si>
    <t>1204-249795-44788</t>
  </si>
  <si>
    <t>1204-250979-44739</t>
  </si>
  <si>
    <t>1204-250979-44746</t>
  </si>
  <si>
    <t>1204-250979-44753</t>
  </si>
  <si>
    <t>1204-250979-44760</t>
  </si>
  <si>
    <t>1204-250979-44767</t>
  </si>
  <si>
    <t>1204-250979-44774</t>
  </si>
  <si>
    <t>1204-250979-44781</t>
  </si>
  <si>
    <t>1204-250979-44788</t>
  </si>
  <si>
    <t>1204-250981-44739</t>
  </si>
  <si>
    <t>1204-250981-44746</t>
  </si>
  <si>
    <t>1204-250981-44753</t>
  </si>
  <si>
    <t>1204-250981-44760</t>
  </si>
  <si>
    <t>1204-250981-44767</t>
  </si>
  <si>
    <t>1204-250981-44774</t>
  </si>
  <si>
    <t>1204-250981-44781</t>
  </si>
  <si>
    <t>1204-250981-44788</t>
  </si>
  <si>
    <t>1204-262294-44739</t>
  </si>
  <si>
    <t>1204-262294-44746</t>
  </si>
  <si>
    <t>1204-262294-44753</t>
  </si>
  <si>
    <t>1204-262294-44760</t>
  </si>
  <si>
    <t>1204-262294-44767</t>
  </si>
  <si>
    <t>1204-262294-44774</t>
  </si>
  <si>
    <t>1204-262294-44781</t>
  </si>
  <si>
    <t>1204-262294-44788</t>
  </si>
  <si>
    <t>1204-268831-44739</t>
  </si>
  <si>
    <t>1204-268831-44746</t>
  </si>
  <si>
    <t>1204-268831-44753</t>
  </si>
  <si>
    <t>1204-268831-44760</t>
  </si>
  <si>
    <t>1204-268831-44767</t>
  </si>
  <si>
    <t>1204-268831-44774</t>
  </si>
  <si>
    <t>1204-268831-44781</t>
  </si>
  <si>
    <t>1204-268831-44788</t>
  </si>
  <si>
    <t>1204-273701-44739</t>
  </si>
  <si>
    <t>1204-273701-44746</t>
  </si>
  <si>
    <t>1204-273701-44753</t>
  </si>
  <si>
    <t>1204-273701-44760</t>
  </si>
  <si>
    <t>1204-273701-44767</t>
  </si>
  <si>
    <t>1204-273701-44774</t>
  </si>
  <si>
    <t>1204-273701-44781</t>
  </si>
  <si>
    <t>1204-273701-44788</t>
  </si>
  <si>
    <t>1204-291726-44739</t>
  </si>
  <si>
    <t>1204-291726-44746</t>
  </si>
  <si>
    <t>1204-291726-44753</t>
  </si>
  <si>
    <t>1204-291726-44760</t>
  </si>
  <si>
    <t>1204-291726-44767</t>
  </si>
  <si>
    <t>1204-291726-44774</t>
  </si>
  <si>
    <t>1204-291726-44781</t>
  </si>
  <si>
    <t>1204-291726-44788</t>
  </si>
  <si>
    <t>1204-291728-44739</t>
  </si>
  <si>
    <t>1204-291728-44746</t>
  </si>
  <si>
    <t>1204-291728-44753</t>
  </si>
  <si>
    <t>1204-291728-44760</t>
  </si>
  <si>
    <t>1204-291728-44767</t>
  </si>
  <si>
    <t>1204-291728-44774</t>
  </si>
  <si>
    <t>1204-291728-44781</t>
  </si>
  <si>
    <t>1204-291728-44788</t>
  </si>
  <si>
    <t>1204-300380-44739</t>
  </si>
  <si>
    <t>1204-300380-44746</t>
  </si>
  <si>
    <t>1204-300380-44753</t>
  </si>
  <si>
    <t>1204-300380-44760</t>
  </si>
  <si>
    <t>1204-300380-44767</t>
  </si>
  <si>
    <t>1204-300380-44774</t>
  </si>
  <si>
    <t>1204-300380-44781</t>
  </si>
  <si>
    <t>1204-300380-44788</t>
  </si>
  <si>
    <t>1204-571521-44739</t>
  </si>
  <si>
    <t>1204-571521-44746</t>
  </si>
  <si>
    <t>1204-571521-44753</t>
  </si>
  <si>
    <t>1204-571521-44760</t>
  </si>
  <si>
    <t>1204-571521-44767</t>
  </si>
  <si>
    <t>1204-571521-44774</t>
  </si>
  <si>
    <t>1204-571521-44781</t>
  </si>
  <si>
    <t>1204-571521-44788</t>
  </si>
  <si>
    <t>1204-614993-44739</t>
  </si>
  <si>
    <t>1204-614993-44746</t>
  </si>
  <si>
    <t>1204-614993-44753</t>
  </si>
  <si>
    <t>1204-614993-44760</t>
  </si>
  <si>
    <t>1204-614993-44767</t>
  </si>
  <si>
    <t>1204-614993-44774</t>
  </si>
  <si>
    <t>1204-614993-44781</t>
  </si>
  <si>
    <t>1204-614993-44788</t>
  </si>
  <si>
    <t>1205-23393-44739</t>
  </si>
  <si>
    <t>1205-23393-44746</t>
  </si>
  <si>
    <t>1205-23393-44753</t>
  </si>
  <si>
    <t>1205-23393-44760</t>
  </si>
  <si>
    <t>1205-23393-44767</t>
  </si>
  <si>
    <t>1205-23393-44774</t>
  </si>
  <si>
    <t>1205-23393-44781</t>
  </si>
  <si>
    <t>1205-23393-44788</t>
  </si>
  <si>
    <t>1205-26764-44739</t>
  </si>
  <si>
    <t>1205-26764-44746</t>
  </si>
  <si>
    <t>1205-26764-44753</t>
  </si>
  <si>
    <t>1205-26764-44760</t>
  </si>
  <si>
    <t>1205-26764-44767</t>
  </si>
  <si>
    <t>1205-26764-44774</t>
  </si>
  <si>
    <t>1205-26764-44781</t>
  </si>
  <si>
    <t>1205-26764-44788</t>
  </si>
  <si>
    <t>1205-53934-44739</t>
  </si>
  <si>
    <t>1205-53934-44746</t>
  </si>
  <si>
    <t>1205-53934-44753</t>
  </si>
  <si>
    <t>1205-53934-44760</t>
  </si>
  <si>
    <t>1205-53934-44767</t>
  </si>
  <si>
    <t>1205-53934-44774</t>
  </si>
  <si>
    <t>1205-53934-44781</t>
  </si>
  <si>
    <t>1205-53934-44788</t>
  </si>
  <si>
    <t>1205-78699-44739</t>
  </si>
  <si>
    <t>1205-78699-44746</t>
  </si>
  <si>
    <t>1205-78699-44753</t>
  </si>
  <si>
    <t>1205-78699-44760</t>
  </si>
  <si>
    <t>1205-78699-44767</t>
  </si>
  <si>
    <t>1205-78699-44774</t>
  </si>
  <si>
    <t>1205-78699-44781</t>
  </si>
  <si>
    <t>1205-78699-44788</t>
  </si>
  <si>
    <t>1205-78869-44739</t>
  </si>
  <si>
    <t>1205-78869-44746</t>
  </si>
  <si>
    <t>1205-78869-44753</t>
  </si>
  <si>
    <t>1205-78869-44760</t>
  </si>
  <si>
    <t>1205-78869-44767</t>
  </si>
  <si>
    <t>1205-78869-44774</t>
  </si>
  <si>
    <t>1205-78869-44781</t>
  </si>
  <si>
    <t>1205-78869-44788</t>
  </si>
  <si>
    <t>1205-115600-44739</t>
  </si>
  <si>
    <t>1205-115600-44746</t>
  </si>
  <si>
    <t>1205-115600-44753</t>
  </si>
  <si>
    <t>1205-115600-44760</t>
  </si>
  <si>
    <t>1205-115600-44767</t>
  </si>
  <si>
    <t>1205-115600-44774</t>
  </si>
  <si>
    <t>1205-115600-44781</t>
  </si>
  <si>
    <t>1205-115600-44788</t>
  </si>
  <si>
    <t>1205-129208-44739</t>
  </si>
  <si>
    <t>1205-129208-44746</t>
  </si>
  <si>
    <t>1205-129208-44753</t>
  </si>
  <si>
    <t>1205-129208-44760</t>
  </si>
  <si>
    <t>1205-129208-44767</t>
  </si>
  <si>
    <t>1205-129208-44774</t>
  </si>
  <si>
    <t>1205-129208-44781</t>
  </si>
  <si>
    <t>1205-129208-44788</t>
  </si>
  <si>
    <t>1205-141622-44739</t>
  </si>
  <si>
    <t>1205-141622-44746</t>
  </si>
  <si>
    <t>1205-141622-44753</t>
  </si>
  <si>
    <t>1205-141622-44760</t>
  </si>
  <si>
    <t>1205-141622-44767</t>
  </si>
  <si>
    <t>1205-141622-44774</t>
  </si>
  <si>
    <t>1205-141622-44781</t>
  </si>
  <si>
    <t>1205-141622-44788</t>
  </si>
  <si>
    <t>1205-141626-44739</t>
  </si>
  <si>
    <t>1205-141626-44746</t>
  </si>
  <si>
    <t>1205-141626-44753</t>
  </si>
  <si>
    <t>1205-141626-44760</t>
  </si>
  <si>
    <t>1205-141626-44767</t>
  </si>
  <si>
    <t>1205-141626-44774</t>
  </si>
  <si>
    <t>1205-141626-44781</t>
  </si>
  <si>
    <t>1205-141626-44788</t>
  </si>
  <si>
    <t>1205-141791-44739</t>
  </si>
  <si>
    <t>1205-141791-44746</t>
  </si>
  <si>
    <t>1205-141791-44753</t>
  </si>
  <si>
    <t>1205-141791-44760</t>
  </si>
  <si>
    <t>1205-141791-44767</t>
  </si>
  <si>
    <t>1205-141791-44774</t>
  </si>
  <si>
    <t>1205-141791-44781</t>
  </si>
  <si>
    <t>1205-141791-44788</t>
  </si>
  <si>
    <t>1205-141846-44739</t>
  </si>
  <si>
    <t>1205-141846-44746</t>
  </si>
  <si>
    <t>1205-141846-44753</t>
  </si>
  <si>
    <t>1205-141846-44760</t>
  </si>
  <si>
    <t>1205-141846-44767</t>
  </si>
  <si>
    <t>1205-141846-44774</t>
  </si>
  <si>
    <t>1205-141846-44781</t>
  </si>
  <si>
    <t>1205-141846-44788</t>
  </si>
  <si>
    <t>1205-141967-44739</t>
  </si>
  <si>
    <t>1205-141967-44746</t>
  </si>
  <si>
    <t>1205-141967-44753</t>
  </si>
  <si>
    <t>1205-141967-44760</t>
  </si>
  <si>
    <t>1205-141967-44767</t>
  </si>
  <si>
    <t>1205-141967-44774</t>
  </si>
  <si>
    <t>1205-141967-44781</t>
  </si>
  <si>
    <t>1205-141967-44788</t>
  </si>
  <si>
    <t>1205-142194-44739</t>
  </si>
  <si>
    <t>1205-142194-44746</t>
  </si>
  <si>
    <t>1205-142194-44753</t>
  </si>
  <si>
    <t>1205-142194-44760</t>
  </si>
  <si>
    <t>1205-142194-44767</t>
  </si>
  <si>
    <t>1205-142194-44774</t>
  </si>
  <si>
    <t>1205-142194-44781</t>
  </si>
  <si>
    <t>1205-142194-44788</t>
  </si>
  <si>
    <t>1205-149729-44739</t>
  </si>
  <si>
    <t>1205-149729-44746</t>
  </si>
  <si>
    <t>1205-149729-44753</t>
  </si>
  <si>
    <t>1205-149729-44760</t>
  </si>
  <si>
    <t>1205-149729-44767</t>
  </si>
  <si>
    <t>1205-149729-44774</t>
  </si>
  <si>
    <t>1205-149729-44781</t>
  </si>
  <si>
    <t>1205-149729-44788</t>
  </si>
  <si>
    <t>1205-149779-44739</t>
  </si>
  <si>
    <t>1205-149779-44746</t>
  </si>
  <si>
    <t>1205-149779-44753</t>
  </si>
  <si>
    <t>1205-149779-44760</t>
  </si>
  <si>
    <t>1205-149779-44767</t>
  </si>
  <si>
    <t>1205-149779-44774</t>
  </si>
  <si>
    <t>1205-149779-44781</t>
  </si>
  <si>
    <t>1205-149779-44788</t>
  </si>
  <si>
    <t>1205-189933-44739</t>
  </si>
  <si>
    <t>1205-189933-44746</t>
  </si>
  <si>
    <t>1205-189933-44753</t>
  </si>
  <si>
    <t>1205-189933-44760</t>
  </si>
  <si>
    <t>1205-189933-44767</t>
  </si>
  <si>
    <t>1205-189933-44774</t>
  </si>
  <si>
    <t>1205-189933-44781</t>
  </si>
  <si>
    <t>1205-189933-44788</t>
  </si>
  <si>
    <t>1205-202577-44739</t>
  </si>
  <si>
    <t>1205-202577-44746</t>
  </si>
  <si>
    <t>1205-202577-44753</t>
  </si>
  <si>
    <t>1205-202577-44760</t>
  </si>
  <si>
    <t>1205-202577-44767</t>
  </si>
  <si>
    <t>1205-202577-44774</t>
  </si>
  <si>
    <t>1205-202577-44781</t>
  </si>
  <si>
    <t>1205-202577-44788</t>
  </si>
  <si>
    <t>1205-234334-44739</t>
  </si>
  <si>
    <t>1205-234334-44746</t>
  </si>
  <si>
    <t>1205-234334-44753</t>
  </si>
  <si>
    <t>1205-234334-44760</t>
  </si>
  <si>
    <t>1205-234334-44767</t>
  </si>
  <si>
    <t>1205-234334-44774</t>
  </si>
  <si>
    <t>1205-234334-44781</t>
  </si>
  <si>
    <t>1205-234334-44788</t>
  </si>
  <si>
    <t>1205-249444-44739</t>
  </si>
  <si>
    <t>1205-249444-44746</t>
  </si>
  <si>
    <t>1205-249444-44753</t>
  </si>
  <si>
    <t>1205-249444-44760</t>
  </si>
  <si>
    <t>1205-249444-44767</t>
  </si>
  <si>
    <t>1205-249444-44774</t>
  </si>
  <si>
    <t>1205-249444-44781</t>
  </si>
  <si>
    <t>1205-249444-44788</t>
  </si>
  <si>
    <t>1205-249795-44739</t>
  </si>
  <si>
    <t>1205-249795-44746</t>
  </si>
  <si>
    <t>1205-249795-44753</t>
  </si>
  <si>
    <t>1205-249795-44760</t>
  </si>
  <si>
    <t>1205-249795-44767</t>
  </si>
  <si>
    <t>1205-249795-44774</t>
  </si>
  <si>
    <t>1205-249795-44781</t>
  </si>
  <si>
    <t>1205-249795-44788</t>
  </si>
  <si>
    <t>1205-250979-44739</t>
  </si>
  <si>
    <t>1205-250979-44746</t>
  </si>
  <si>
    <t>1205-250979-44753</t>
  </si>
  <si>
    <t>1205-250979-44760</t>
  </si>
  <si>
    <t>1205-250979-44767</t>
  </si>
  <si>
    <t>1205-250979-44774</t>
  </si>
  <si>
    <t>1205-250979-44781</t>
  </si>
  <si>
    <t>1205-250979-44788</t>
  </si>
  <si>
    <t>1205-250981-44739</t>
  </si>
  <si>
    <t>1205-250981-44746</t>
  </si>
  <si>
    <t>1205-250981-44753</t>
  </si>
  <si>
    <t>1205-250981-44760</t>
  </si>
  <si>
    <t>1205-250981-44767</t>
  </si>
  <si>
    <t>1205-250981-44774</t>
  </si>
  <si>
    <t>1205-250981-44781</t>
  </si>
  <si>
    <t>1205-250981-44788</t>
  </si>
  <si>
    <t>1205-262294-44739</t>
  </si>
  <si>
    <t>1205-262294-44746</t>
  </si>
  <si>
    <t>1205-262294-44753</t>
  </si>
  <si>
    <t>1205-262294-44760</t>
  </si>
  <si>
    <t>1205-262294-44767</t>
  </si>
  <si>
    <t>1205-262294-44774</t>
  </si>
  <si>
    <t>1205-262294-44781</t>
  </si>
  <si>
    <t>1205-262294-44788</t>
  </si>
  <si>
    <t>1205-268831-44739</t>
  </si>
  <si>
    <t>1205-268831-44746</t>
  </si>
  <si>
    <t>1205-268831-44753</t>
  </si>
  <si>
    <t>1205-268831-44760</t>
  </si>
  <si>
    <t>1205-268831-44767</t>
  </si>
  <si>
    <t>1205-268831-44774</t>
  </si>
  <si>
    <t>1205-268831-44781</t>
  </si>
  <si>
    <t>1205-268831-44788</t>
  </si>
  <si>
    <t>1205-273701-44739</t>
  </si>
  <si>
    <t>1205-273701-44746</t>
  </si>
  <si>
    <t>1205-273701-44753</t>
  </si>
  <si>
    <t>1205-273701-44760</t>
  </si>
  <si>
    <t>1205-273701-44767</t>
  </si>
  <si>
    <t>1205-273701-44774</t>
  </si>
  <si>
    <t>1205-273701-44781</t>
  </si>
  <si>
    <t>1205-273701-44788</t>
  </si>
  <si>
    <t>1205-291726-44739</t>
  </si>
  <si>
    <t>1205-291726-44746</t>
  </si>
  <si>
    <t>1205-291726-44753</t>
  </si>
  <si>
    <t>1205-291726-44760</t>
  </si>
  <si>
    <t>1205-291726-44767</t>
  </si>
  <si>
    <t>1205-291726-44774</t>
  </si>
  <si>
    <t>1205-291726-44781</t>
  </si>
  <si>
    <t>1205-291726-44788</t>
  </si>
  <si>
    <t>1205-291728-44739</t>
  </si>
  <si>
    <t>1205-291728-44746</t>
  </si>
  <si>
    <t>1205-291728-44753</t>
  </si>
  <si>
    <t>1205-291728-44760</t>
  </si>
  <si>
    <t>1205-291728-44767</t>
  </si>
  <si>
    <t>1205-291728-44774</t>
  </si>
  <si>
    <t>1205-291728-44781</t>
  </si>
  <si>
    <t>1205-291728-44788</t>
  </si>
  <si>
    <t>1205-300380-44739</t>
  </si>
  <si>
    <t>1205-300380-44746</t>
  </si>
  <si>
    <t>1205-300380-44753</t>
  </si>
  <si>
    <t>1205-300380-44760</t>
  </si>
  <si>
    <t>1205-300380-44767</t>
  </si>
  <si>
    <t>1205-300380-44774</t>
  </si>
  <si>
    <t>1205-300380-44781</t>
  </si>
  <si>
    <t>1205-300380-44788</t>
  </si>
  <si>
    <t>1205-571521-44739</t>
  </si>
  <si>
    <t>1205-571521-44746</t>
  </si>
  <si>
    <t>1205-571521-44753</t>
  </si>
  <si>
    <t>1205-571521-44760</t>
  </si>
  <si>
    <t>1205-571521-44767</t>
  </si>
  <si>
    <t>1205-571521-44774</t>
  </si>
  <si>
    <t>1205-571521-44781</t>
  </si>
  <si>
    <t>1205-571521-44788</t>
  </si>
  <si>
    <t>1205-614993-44739</t>
  </si>
  <si>
    <t>1205-614993-44746</t>
  </si>
  <si>
    <t>1205-614993-44753</t>
  </si>
  <si>
    <t>1205-614993-44760</t>
  </si>
  <si>
    <t>1205-614993-44767</t>
  </si>
  <si>
    <t>1205-614993-44774</t>
  </si>
  <si>
    <t>1205-614993-44781</t>
  </si>
  <si>
    <t>1205-614993-44788</t>
  </si>
  <si>
    <t>1206-23393-32874</t>
  </si>
  <si>
    <t>1206-23393-44739</t>
  </si>
  <si>
    <t>1206-23393-44746</t>
  </si>
  <si>
    <t>1206-23393-44753</t>
  </si>
  <si>
    <t>1206-23393-44760</t>
  </si>
  <si>
    <t>1206-23393-44767</t>
  </si>
  <si>
    <t>1206-23393-44774</t>
  </si>
  <si>
    <t>1206-23393-44781</t>
  </si>
  <si>
    <t>1206-23393-44788</t>
  </si>
  <si>
    <t>1206-26764-44739</t>
  </si>
  <si>
    <t>1206-26764-44746</t>
  </si>
  <si>
    <t>1206-26764-44753</t>
  </si>
  <si>
    <t>1206-26764-44760</t>
  </si>
  <si>
    <t>1206-26764-44767</t>
  </si>
  <si>
    <t>1206-26764-44774</t>
  </si>
  <si>
    <t>1206-26764-44781</t>
  </si>
  <si>
    <t>1206-26764-44788</t>
  </si>
  <si>
    <t>1206-53934-44739</t>
  </si>
  <si>
    <t>1206-53934-44746</t>
  </si>
  <si>
    <t>1206-53934-44753</t>
  </si>
  <si>
    <t>1206-53934-44760</t>
  </si>
  <si>
    <t>1206-53934-44767</t>
  </si>
  <si>
    <t>1206-53934-44774</t>
  </si>
  <si>
    <t>1206-53934-44781</t>
  </si>
  <si>
    <t>1206-53934-44788</t>
  </si>
  <si>
    <t>1206-78699-44739</t>
  </si>
  <si>
    <t>1206-78699-44746</t>
  </si>
  <si>
    <t>1206-78699-44753</t>
  </si>
  <si>
    <t>1206-78699-44760</t>
  </si>
  <si>
    <t>1206-78699-44767</t>
  </si>
  <si>
    <t>1206-78699-44774</t>
  </si>
  <si>
    <t>1206-78699-44781</t>
  </si>
  <si>
    <t>1206-78699-44788</t>
  </si>
  <si>
    <t>1206-78869-44739</t>
  </si>
  <si>
    <t>1206-78869-44746</t>
  </si>
  <si>
    <t>1206-78869-44753</t>
  </si>
  <si>
    <t>1206-78869-44760</t>
  </si>
  <si>
    <t>1206-78869-44767</t>
  </si>
  <si>
    <t>1206-78869-44774</t>
  </si>
  <si>
    <t>1206-78869-44781</t>
  </si>
  <si>
    <t>1206-78869-44788</t>
  </si>
  <si>
    <t>1206-115600-44739</t>
  </si>
  <si>
    <t>1206-115600-44746</t>
  </si>
  <si>
    <t>1206-115600-44753</t>
  </si>
  <si>
    <t>1206-115600-44760</t>
  </si>
  <si>
    <t>1206-115600-44767</t>
  </si>
  <si>
    <t>1206-115600-44774</t>
  </si>
  <si>
    <t>1206-115600-44781</t>
  </si>
  <si>
    <t>1206-115600-44788</t>
  </si>
  <si>
    <t>1206-129208-44739</t>
  </si>
  <si>
    <t>1206-129208-44746</t>
  </si>
  <si>
    <t>1206-129208-44753</t>
  </si>
  <si>
    <t>1206-129208-44760</t>
  </si>
  <si>
    <t>1206-129208-44767</t>
  </si>
  <si>
    <t>1206-129208-44774</t>
  </si>
  <si>
    <t>1206-129208-44781</t>
  </si>
  <si>
    <t>1206-129208-44788</t>
  </si>
  <si>
    <t>1206-141622-44739</t>
  </si>
  <si>
    <t>1206-141622-44746</t>
  </si>
  <si>
    <t>1206-141622-44753</t>
  </si>
  <si>
    <t>1206-141622-44760</t>
  </si>
  <si>
    <t>1206-141622-44767</t>
  </si>
  <si>
    <t>1206-141622-44774</t>
  </si>
  <si>
    <t>1206-141622-44781</t>
  </si>
  <si>
    <t>1206-141622-44788</t>
  </si>
  <si>
    <t>1206-141626-44739</t>
  </si>
  <si>
    <t>1206-141626-44746</t>
  </si>
  <si>
    <t>1206-141626-44753</t>
  </si>
  <si>
    <t>1206-141626-44760</t>
  </si>
  <si>
    <t>1206-141626-44767</t>
  </si>
  <si>
    <t>1206-141626-44774</t>
  </si>
  <si>
    <t>1206-141626-44781</t>
  </si>
  <si>
    <t>1206-141626-44788</t>
  </si>
  <si>
    <t>1206-141791-44739</t>
  </si>
  <si>
    <t>1206-141791-44746</t>
  </si>
  <si>
    <t>1206-141791-44753</t>
  </si>
  <si>
    <t>1206-141791-44760</t>
  </si>
  <si>
    <t>1206-141791-44767</t>
  </si>
  <si>
    <t>1206-141791-44774</t>
  </si>
  <si>
    <t>1206-141791-44781</t>
  </si>
  <si>
    <t>1206-141791-44788</t>
  </si>
  <si>
    <t>1206-141846-44739</t>
  </si>
  <si>
    <t>1206-141846-44746</t>
  </si>
  <si>
    <t>1206-141846-44753</t>
  </si>
  <si>
    <t>1206-141846-44760</t>
  </si>
  <si>
    <t>1206-141846-44767</t>
  </si>
  <si>
    <t>1206-141846-44774</t>
  </si>
  <si>
    <t>1206-141846-44781</t>
  </si>
  <si>
    <t>1206-141846-44788</t>
  </si>
  <si>
    <t>1206-141967-44739</t>
  </si>
  <si>
    <t>1206-141967-44746</t>
  </si>
  <si>
    <t>1206-141967-44753</t>
  </si>
  <si>
    <t>1206-141967-44760</t>
  </si>
  <si>
    <t>1206-141967-44767</t>
  </si>
  <si>
    <t>1206-141967-44774</t>
  </si>
  <si>
    <t>1206-141967-44781</t>
  </si>
  <si>
    <t>1206-141967-44788</t>
  </si>
  <si>
    <t>1206-142194-44739</t>
  </si>
  <si>
    <t>1206-142194-44746</t>
  </si>
  <si>
    <t>1206-142194-44753</t>
  </si>
  <si>
    <t>1206-142194-44760</t>
  </si>
  <si>
    <t>1206-142194-44767</t>
  </si>
  <si>
    <t>1206-142194-44774</t>
  </si>
  <si>
    <t>1206-142194-44781</t>
  </si>
  <si>
    <t>1206-142194-44788</t>
  </si>
  <si>
    <t>1206-149729-44739</t>
  </si>
  <si>
    <t>1206-149729-44746</t>
  </si>
  <si>
    <t>1206-149729-44753</t>
  </si>
  <si>
    <t>1206-149729-44760</t>
  </si>
  <si>
    <t>1206-149729-44767</t>
  </si>
  <si>
    <t>1206-149729-44774</t>
  </si>
  <si>
    <t>1206-149729-44781</t>
  </si>
  <si>
    <t>1206-149729-44788</t>
  </si>
  <si>
    <t>1206-149779-44739</t>
  </si>
  <si>
    <t>1206-149779-44746</t>
  </si>
  <si>
    <t>1206-149779-44753</t>
  </si>
  <si>
    <t>1206-149779-44760</t>
  </si>
  <si>
    <t>1206-149779-44767</t>
  </si>
  <si>
    <t>1206-149779-44774</t>
  </si>
  <si>
    <t>1206-149779-44781</t>
  </si>
  <si>
    <t>1206-149779-44788</t>
  </si>
  <si>
    <t>1206-189933-44739</t>
  </si>
  <si>
    <t>1206-189933-44746</t>
  </si>
  <si>
    <t>1206-189933-44753</t>
  </si>
  <si>
    <t>1206-189933-44760</t>
  </si>
  <si>
    <t>1206-189933-44767</t>
  </si>
  <si>
    <t>1206-189933-44774</t>
  </si>
  <si>
    <t>1206-189933-44781</t>
  </si>
  <si>
    <t>1206-189933-44788</t>
  </si>
  <si>
    <t>1206-202577-44739</t>
  </si>
  <si>
    <t>1206-202577-44746</t>
  </si>
  <si>
    <t>1206-202577-44753</t>
  </si>
  <si>
    <t>1206-202577-44760</t>
  </si>
  <si>
    <t>1206-202577-44767</t>
  </si>
  <si>
    <t>1206-202577-44774</t>
  </si>
  <si>
    <t>1206-202577-44781</t>
  </si>
  <si>
    <t>1206-202577-44788</t>
  </si>
  <si>
    <t>1206-234334-44739</t>
  </si>
  <si>
    <t>1206-234334-44746</t>
  </si>
  <si>
    <t>1206-234334-44753</t>
  </si>
  <si>
    <t>1206-234334-44760</t>
  </si>
  <si>
    <t>1206-234334-44767</t>
  </si>
  <si>
    <t>1206-234334-44774</t>
  </si>
  <si>
    <t>1206-234334-44781</t>
  </si>
  <si>
    <t>1206-234334-44788</t>
  </si>
  <si>
    <t>1206-249444-44739</t>
  </si>
  <si>
    <t>1206-249444-44746</t>
  </si>
  <si>
    <t>1206-249444-44753</t>
  </si>
  <si>
    <t>1206-249444-44760</t>
  </si>
  <si>
    <t>1206-249444-44767</t>
  </si>
  <si>
    <t>1206-249444-44774</t>
  </si>
  <si>
    <t>1206-249444-44781</t>
  </si>
  <si>
    <t>1206-249444-44788</t>
  </si>
  <si>
    <t>1206-249795-44739</t>
  </si>
  <si>
    <t>1206-249795-44746</t>
  </si>
  <si>
    <t>1206-249795-44753</t>
  </si>
  <si>
    <t>1206-249795-44760</t>
  </si>
  <si>
    <t>1206-249795-44767</t>
  </si>
  <si>
    <t>1206-249795-44774</t>
  </si>
  <si>
    <t>1206-249795-44781</t>
  </si>
  <si>
    <t>1206-249795-44788</t>
  </si>
  <si>
    <t>1206-250979-44739</t>
  </si>
  <si>
    <t>1206-250979-44746</t>
  </si>
  <si>
    <t>1206-250979-44753</t>
  </si>
  <si>
    <t>1206-250979-44760</t>
  </si>
  <si>
    <t>1206-250979-44767</t>
  </si>
  <si>
    <t>1206-250979-44774</t>
  </si>
  <si>
    <t>1206-250979-44781</t>
  </si>
  <si>
    <t>1206-250979-44788</t>
  </si>
  <si>
    <t>1206-250981-44739</t>
  </si>
  <si>
    <t>1206-250981-44746</t>
  </si>
  <si>
    <t>1206-250981-44753</t>
  </si>
  <si>
    <t>1206-250981-44760</t>
  </si>
  <si>
    <t>1206-250981-44767</t>
  </si>
  <si>
    <t>1206-250981-44774</t>
  </si>
  <si>
    <t>1206-250981-44781</t>
  </si>
  <si>
    <t>1206-250981-44788</t>
  </si>
  <si>
    <t>1206-262294-44739</t>
  </si>
  <si>
    <t>1206-262294-44746</t>
  </si>
  <si>
    <t>1206-262294-44753</t>
  </si>
  <si>
    <t>1206-262294-44760</t>
  </si>
  <si>
    <t>1206-262294-44767</t>
  </si>
  <si>
    <t>1206-262294-44774</t>
  </si>
  <si>
    <t>1206-262294-44781</t>
  </si>
  <si>
    <t>1206-262294-44788</t>
  </si>
  <si>
    <t>1206-268831-44739</t>
  </si>
  <si>
    <t>1206-268831-44746</t>
  </si>
  <si>
    <t>1206-268831-44753</t>
  </si>
  <si>
    <t>1206-268831-44760</t>
  </si>
  <si>
    <t>1206-268831-44767</t>
  </si>
  <si>
    <t>1206-268831-44774</t>
  </si>
  <si>
    <t>1206-268831-44781</t>
  </si>
  <si>
    <t>1206-268831-44788</t>
  </si>
  <si>
    <t>1206-273701-44739</t>
  </si>
  <si>
    <t>1206-273701-44746</t>
  </si>
  <si>
    <t>1206-273701-44753</t>
  </si>
  <si>
    <t>1206-273701-44760</t>
  </si>
  <si>
    <t>1206-273701-44767</t>
  </si>
  <si>
    <t>1206-273701-44774</t>
  </si>
  <si>
    <t>1206-273701-44781</t>
  </si>
  <si>
    <t>1206-273701-44788</t>
  </si>
  <si>
    <t>1206-291726-44739</t>
  </si>
  <si>
    <t>1206-291726-44746</t>
  </si>
  <si>
    <t>1206-291726-44753</t>
  </si>
  <si>
    <t>1206-291726-44760</t>
  </si>
  <si>
    <t>1206-291726-44767</t>
  </si>
  <si>
    <t>1206-291726-44774</t>
  </si>
  <si>
    <t>1206-291726-44781</t>
  </si>
  <si>
    <t>1206-291726-44788</t>
  </si>
  <si>
    <t>1206-291728-44739</t>
  </si>
  <si>
    <t>1206-291728-44746</t>
  </si>
  <si>
    <t>1206-291728-44753</t>
  </si>
  <si>
    <t>1206-291728-44760</t>
  </si>
  <si>
    <t>1206-291728-44767</t>
  </si>
  <si>
    <t>1206-291728-44774</t>
  </si>
  <si>
    <t>1206-291728-44781</t>
  </si>
  <si>
    <t>1206-291728-44788</t>
  </si>
  <si>
    <t>1206-300380-44739</t>
  </si>
  <si>
    <t>1206-300380-44746</t>
  </si>
  <si>
    <t>1206-300380-44753</t>
  </si>
  <si>
    <t>1206-300380-44760</t>
  </si>
  <si>
    <t>1206-300380-44767</t>
  </si>
  <si>
    <t>1206-300380-44774</t>
  </si>
  <si>
    <t>1206-300380-44781</t>
  </si>
  <si>
    <t>1206-300380-44788</t>
  </si>
  <si>
    <t>1206-571521-44739</t>
  </si>
  <si>
    <t>1206-571521-44746</t>
  </si>
  <si>
    <t>1206-571521-44753</t>
  </si>
  <si>
    <t>1206-571521-44760</t>
  </si>
  <si>
    <t>1206-571521-44767</t>
  </si>
  <si>
    <t>1206-571521-44774</t>
  </si>
  <si>
    <t>1206-571521-44781</t>
  </si>
  <si>
    <t>1206-571521-44788</t>
  </si>
  <si>
    <t>1206-614993-44739</t>
  </si>
  <si>
    <t>1206-614993-44746</t>
  </si>
  <si>
    <t>1206-614993-44753</t>
  </si>
  <si>
    <t>1206-614993-44760</t>
  </si>
  <si>
    <t>1206-614993-44767</t>
  </si>
  <si>
    <t>1206-614993-44774</t>
  </si>
  <si>
    <t>1206-614993-44781</t>
  </si>
  <si>
    <t>1206-614993-44788</t>
  </si>
  <si>
    <t>1207-23393-32874</t>
  </si>
  <si>
    <t>1207-23393-44739</t>
  </si>
  <si>
    <t>1207-23393-44746</t>
  </si>
  <si>
    <t>1207-23393-44753</t>
  </si>
  <si>
    <t>1207-23393-44760</t>
  </si>
  <si>
    <t>1207-23393-44767</t>
  </si>
  <si>
    <t>1207-23393-44774</t>
  </si>
  <si>
    <t>1207-23393-44781</t>
  </si>
  <si>
    <t>1207-23393-44788</t>
  </si>
  <si>
    <t>1207-26764-44739</t>
  </si>
  <si>
    <t>1207-26764-44746</t>
  </si>
  <si>
    <t>1207-26764-44753</t>
  </si>
  <si>
    <t>1207-26764-44760</t>
  </si>
  <si>
    <t>1207-26764-44767</t>
  </si>
  <si>
    <t>1207-26764-44774</t>
  </si>
  <si>
    <t>1207-26764-44781</t>
  </si>
  <si>
    <t>1207-26764-44788</t>
  </si>
  <si>
    <t>1207-53934-44739</t>
  </si>
  <si>
    <t>1207-53934-44746</t>
  </si>
  <si>
    <t>1207-53934-44753</t>
  </si>
  <si>
    <t>1207-53934-44760</t>
  </si>
  <si>
    <t>1207-53934-44767</t>
  </si>
  <si>
    <t>1207-53934-44774</t>
  </si>
  <si>
    <t>1207-53934-44781</t>
  </si>
  <si>
    <t>1207-53934-44788</t>
  </si>
  <si>
    <t>1207-78699-44739</t>
  </si>
  <si>
    <t>1207-78699-44746</t>
  </si>
  <si>
    <t>1207-78699-44753</t>
  </si>
  <si>
    <t>1207-78699-44760</t>
  </si>
  <si>
    <t>1207-78699-44767</t>
  </si>
  <si>
    <t>1207-78699-44774</t>
  </si>
  <si>
    <t>1207-78699-44781</t>
  </si>
  <si>
    <t>1207-78699-44788</t>
  </si>
  <si>
    <t>1207-78869-44739</t>
  </si>
  <si>
    <t>1207-78869-44746</t>
  </si>
  <si>
    <t>1207-78869-44753</t>
  </si>
  <si>
    <t>1207-78869-44760</t>
  </si>
  <si>
    <t>1207-78869-44767</t>
  </si>
  <si>
    <t>1207-78869-44774</t>
  </si>
  <si>
    <t>1207-78869-44781</t>
  </si>
  <si>
    <t>1207-78869-44788</t>
  </si>
  <si>
    <t>1207-115600-32874</t>
  </si>
  <si>
    <t>1207-115600-44739</t>
  </si>
  <si>
    <t>1207-115600-44746</t>
  </si>
  <si>
    <t>1207-115600-44753</t>
  </si>
  <si>
    <t>1207-115600-44760</t>
  </si>
  <si>
    <t>1207-115600-44767</t>
  </si>
  <si>
    <t>1207-115600-44774</t>
  </si>
  <si>
    <t>1207-115600-44781</t>
  </si>
  <si>
    <t>1207-115600-44788</t>
  </si>
  <si>
    <t>1207-129208-44739</t>
  </si>
  <si>
    <t>1207-129208-44746</t>
  </si>
  <si>
    <t>1207-129208-44753</t>
  </si>
  <si>
    <t>1207-129208-44760</t>
  </si>
  <si>
    <t>1207-129208-44767</t>
  </si>
  <si>
    <t>1207-129208-44774</t>
  </si>
  <si>
    <t>1207-129208-44781</t>
  </si>
  <si>
    <t>1207-129208-44788</t>
  </si>
  <si>
    <t>1207-141622-44739</t>
  </si>
  <si>
    <t>1207-141622-44746</t>
  </si>
  <si>
    <t>1207-141622-44753</t>
  </si>
  <si>
    <t>1207-141622-44760</t>
  </si>
  <si>
    <t>1207-141622-44767</t>
  </si>
  <si>
    <t>1207-141622-44774</t>
  </si>
  <si>
    <t>1207-141622-44781</t>
  </si>
  <si>
    <t>1207-141622-44788</t>
  </si>
  <si>
    <t>1207-141626-44739</t>
  </si>
  <si>
    <t>1207-141626-44746</t>
  </si>
  <si>
    <t>1207-141626-44753</t>
  </si>
  <si>
    <t>1207-141626-44760</t>
  </si>
  <si>
    <t>1207-141626-44767</t>
  </si>
  <si>
    <t>1207-141626-44774</t>
  </si>
  <si>
    <t>1207-141626-44781</t>
  </si>
  <si>
    <t>1207-141626-44788</t>
  </si>
  <si>
    <t>1207-141791-44739</t>
  </si>
  <si>
    <t>1207-141791-44746</t>
  </si>
  <si>
    <t>1207-141791-44753</t>
  </si>
  <si>
    <t>1207-141791-44760</t>
  </si>
  <si>
    <t>1207-141791-44767</t>
  </si>
  <si>
    <t>1207-141791-44774</t>
  </si>
  <si>
    <t>1207-141791-44781</t>
  </si>
  <si>
    <t>1207-141791-44788</t>
  </si>
  <si>
    <t>1207-141846-44739</t>
  </si>
  <si>
    <t>1207-141846-44746</t>
  </si>
  <si>
    <t>1207-141846-44753</t>
  </si>
  <si>
    <t>1207-141846-44760</t>
  </si>
  <si>
    <t>1207-141846-44767</t>
  </si>
  <si>
    <t>1207-141846-44774</t>
  </si>
  <si>
    <t>1207-141846-44781</t>
  </si>
  <si>
    <t>1207-141846-44788</t>
  </si>
  <si>
    <t>1207-141967-44739</t>
  </si>
  <si>
    <t>1207-141967-44746</t>
  </si>
  <si>
    <t>1207-141967-44753</t>
  </si>
  <si>
    <t>1207-141967-44760</t>
  </si>
  <si>
    <t>1207-141967-44767</t>
  </si>
  <si>
    <t>1207-141967-44774</t>
  </si>
  <si>
    <t>1207-141967-44781</t>
  </si>
  <si>
    <t>1207-141967-44788</t>
  </si>
  <si>
    <t>1207-142194-44739</t>
  </si>
  <si>
    <t>1207-142194-44746</t>
  </si>
  <si>
    <t>1207-142194-44753</t>
  </si>
  <si>
    <t>1207-142194-44760</t>
  </si>
  <si>
    <t>1207-142194-44767</t>
  </si>
  <si>
    <t>1207-142194-44774</t>
  </si>
  <si>
    <t>1207-142194-44781</t>
  </si>
  <si>
    <t>1207-142194-44788</t>
  </si>
  <si>
    <t>1207-149729-44739</t>
  </si>
  <si>
    <t>1207-149729-44746</t>
  </si>
  <si>
    <t>1207-149729-44753</t>
  </si>
  <si>
    <t>1207-149729-44760</t>
  </si>
  <si>
    <t>1207-149729-44767</t>
  </si>
  <si>
    <t>1207-149729-44774</t>
  </si>
  <si>
    <t>1207-149729-44781</t>
  </si>
  <si>
    <t>1207-149729-44788</t>
  </si>
  <si>
    <t>1207-149779-44739</t>
  </si>
  <si>
    <t>1207-149779-44746</t>
  </si>
  <si>
    <t>1207-149779-44753</t>
  </si>
  <si>
    <t>1207-149779-44760</t>
  </si>
  <si>
    <t>1207-149779-44767</t>
  </si>
  <si>
    <t>1207-149779-44774</t>
  </si>
  <si>
    <t>1207-149779-44781</t>
  </si>
  <si>
    <t>1207-149779-44788</t>
  </si>
  <si>
    <t>1207-189933-44739</t>
  </si>
  <si>
    <t>1207-189933-44746</t>
  </si>
  <si>
    <t>1207-189933-44753</t>
  </si>
  <si>
    <t>1207-189933-44760</t>
  </si>
  <si>
    <t>1207-189933-44767</t>
  </si>
  <si>
    <t>1207-189933-44774</t>
  </si>
  <si>
    <t>1207-189933-44781</t>
  </si>
  <si>
    <t>1207-189933-44788</t>
  </si>
  <si>
    <t>1207-202577-44739</t>
  </si>
  <si>
    <t>1207-202577-44746</t>
  </si>
  <si>
    <t>1207-202577-44753</t>
  </si>
  <si>
    <t>1207-202577-44760</t>
  </si>
  <si>
    <t>1207-202577-44767</t>
  </si>
  <si>
    <t>1207-202577-44774</t>
  </si>
  <si>
    <t>1207-202577-44781</t>
  </si>
  <si>
    <t>1207-202577-44788</t>
  </si>
  <si>
    <t>1207-234334-44739</t>
  </si>
  <si>
    <t>1207-234334-44746</t>
  </si>
  <si>
    <t>1207-234334-44753</t>
  </si>
  <si>
    <t>1207-234334-44760</t>
  </si>
  <si>
    <t>1207-234334-44767</t>
  </si>
  <si>
    <t>1207-234334-44774</t>
  </si>
  <si>
    <t>1207-234334-44781</t>
  </si>
  <si>
    <t>1207-234334-44788</t>
  </si>
  <si>
    <t>1207-249444-44739</t>
  </si>
  <si>
    <t>1207-249444-44746</t>
  </si>
  <si>
    <t>1207-249444-44753</t>
  </si>
  <si>
    <t>1207-249444-44760</t>
  </si>
  <si>
    <t>1207-249444-44767</t>
  </si>
  <si>
    <t>1207-249444-44774</t>
  </si>
  <si>
    <t>1207-249444-44781</t>
  </si>
  <si>
    <t>1207-249444-44788</t>
  </si>
  <si>
    <t>1207-249795-44739</t>
  </si>
  <si>
    <t>1207-249795-44746</t>
  </si>
  <si>
    <t>1207-249795-44753</t>
  </si>
  <si>
    <t>1207-249795-44760</t>
  </si>
  <si>
    <t>1207-249795-44767</t>
  </si>
  <si>
    <t>1207-249795-44774</t>
  </si>
  <si>
    <t>1207-249795-44781</t>
  </si>
  <si>
    <t>1207-249795-44788</t>
  </si>
  <si>
    <t>1207-250979-44739</t>
  </si>
  <si>
    <t>1207-250979-44746</t>
  </si>
  <si>
    <t>1207-250979-44753</t>
  </si>
  <si>
    <t>1207-250979-44760</t>
  </si>
  <si>
    <t>1207-250979-44767</t>
  </si>
  <si>
    <t>1207-250979-44774</t>
  </si>
  <si>
    <t>1207-250979-44781</t>
  </si>
  <si>
    <t>1207-250979-44788</t>
  </si>
  <si>
    <t>1207-250981-44739</t>
  </si>
  <si>
    <t>1207-250981-44746</t>
  </si>
  <si>
    <t>1207-250981-44753</t>
  </si>
  <si>
    <t>1207-250981-44760</t>
  </si>
  <si>
    <t>1207-250981-44767</t>
  </si>
  <si>
    <t>1207-250981-44774</t>
  </si>
  <si>
    <t>1207-250981-44781</t>
  </si>
  <si>
    <t>1207-250981-44788</t>
  </si>
  <si>
    <t>1207-262294-44739</t>
  </si>
  <si>
    <t>1207-262294-44746</t>
  </si>
  <si>
    <t>1207-262294-44753</t>
  </si>
  <si>
    <t>1207-262294-44760</t>
  </si>
  <si>
    <t>1207-262294-44767</t>
  </si>
  <si>
    <t>1207-262294-44774</t>
  </si>
  <si>
    <t>1207-262294-44781</t>
  </si>
  <si>
    <t>1207-262294-44788</t>
  </si>
  <si>
    <t>1207-268831-44739</t>
  </si>
  <si>
    <t>1207-268831-44746</t>
  </si>
  <si>
    <t>1207-268831-44753</t>
  </si>
  <si>
    <t>1207-268831-44760</t>
  </si>
  <si>
    <t>1207-268831-44767</t>
  </si>
  <si>
    <t>1207-268831-44774</t>
  </si>
  <si>
    <t>1207-268831-44781</t>
  </si>
  <si>
    <t>1207-268831-44788</t>
  </si>
  <si>
    <t>1207-273701-44739</t>
  </si>
  <si>
    <t>1207-273701-44746</t>
  </si>
  <si>
    <t>1207-273701-44753</t>
  </si>
  <si>
    <t>1207-273701-44760</t>
  </si>
  <si>
    <t>1207-273701-44767</t>
  </si>
  <si>
    <t>1207-273701-44774</t>
  </si>
  <si>
    <t>1207-273701-44781</t>
  </si>
  <si>
    <t>1207-273701-44788</t>
  </si>
  <si>
    <t>1207-291726-44739</t>
  </si>
  <si>
    <t>1207-291726-44746</t>
  </si>
  <si>
    <t>1207-291726-44753</t>
  </si>
  <si>
    <t>1207-291726-44760</t>
  </si>
  <si>
    <t>1207-291726-44767</t>
  </si>
  <si>
    <t>1207-291726-44774</t>
  </si>
  <si>
    <t>1207-291726-44781</t>
  </si>
  <si>
    <t>1207-291726-44788</t>
  </si>
  <si>
    <t>1207-291728-44739</t>
  </si>
  <si>
    <t>1207-291728-44746</t>
  </si>
  <si>
    <t>1207-291728-44753</t>
  </si>
  <si>
    <t>1207-291728-44760</t>
  </si>
  <si>
    <t>1207-291728-44767</t>
  </si>
  <si>
    <t>1207-291728-44774</t>
  </si>
  <si>
    <t>1207-291728-44781</t>
  </si>
  <si>
    <t>1207-291728-44788</t>
  </si>
  <si>
    <t>1207-300380-44739</t>
  </si>
  <si>
    <t>1207-300380-44746</t>
  </si>
  <si>
    <t>1207-300380-44753</t>
  </si>
  <si>
    <t>1207-300380-44760</t>
  </si>
  <si>
    <t>1207-300380-44767</t>
  </si>
  <si>
    <t>1207-300380-44774</t>
  </si>
  <si>
    <t>1207-300380-44781</t>
  </si>
  <si>
    <t>1207-300380-44788</t>
  </si>
  <si>
    <t>1207-571521-44739</t>
  </si>
  <si>
    <t>1207-571521-44746</t>
  </si>
  <si>
    <t>1207-571521-44753</t>
  </si>
  <si>
    <t>1207-571521-44760</t>
  </si>
  <si>
    <t>1207-571521-44767</t>
  </si>
  <si>
    <t>1207-571521-44774</t>
  </si>
  <si>
    <t>1207-571521-44781</t>
  </si>
  <si>
    <t>1207-571521-44788</t>
  </si>
  <si>
    <t>1207-614993-44739</t>
  </si>
  <si>
    <t>1207-614993-44746</t>
  </si>
  <si>
    <t>1207-614993-44753</t>
  </si>
  <si>
    <t>1207-614993-44760</t>
  </si>
  <si>
    <t>1207-614993-44767</t>
  </si>
  <si>
    <t>1207-614993-44774</t>
  </si>
  <si>
    <t>1207-614993-44781</t>
  </si>
  <si>
    <t>1207-614993-44788</t>
  </si>
  <si>
    <t>1208-23393-44739</t>
  </si>
  <si>
    <t>1208-23393-44746</t>
  </si>
  <si>
    <t>1208-23393-44753</t>
  </si>
  <si>
    <t>1208-23393-44760</t>
  </si>
  <si>
    <t>1208-23393-44767</t>
  </si>
  <si>
    <t>1208-23393-44774</t>
  </si>
  <si>
    <t>1208-23393-44781</t>
  </si>
  <si>
    <t>1208-23393-44788</t>
  </si>
  <si>
    <t>1208-26764-44739</t>
  </si>
  <si>
    <t>1208-26764-44746</t>
  </si>
  <si>
    <t>1208-26764-44753</t>
  </si>
  <si>
    <t>1208-26764-44760</t>
  </si>
  <si>
    <t>1208-26764-44767</t>
  </si>
  <si>
    <t>1208-26764-44774</t>
  </si>
  <si>
    <t>1208-26764-44781</t>
  </si>
  <si>
    <t>1208-26764-44788</t>
  </si>
  <si>
    <t>1208-78869-44739</t>
  </si>
  <si>
    <t>1208-78869-44746</t>
  </si>
  <si>
    <t>1208-78869-44753</t>
  </si>
  <si>
    <t>1208-78869-44760</t>
  </si>
  <si>
    <t>1208-78869-44767</t>
  </si>
  <si>
    <t>1208-78869-44774</t>
  </si>
  <si>
    <t>1208-78869-44781</t>
  </si>
  <si>
    <t>1208-78869-44788</t>
  </si>
  <si>
    <t>1208-141622-44739</t>
  </si>
  <si>
    <t>1208-141622-44746</t>
  </si>
  <si>
    <t>1208-141622-44753</t>
  </si>
  <si>
    <t>1208-141622-44760</t>
  </si>
  <si>
    <t>1208-141622-44767</t>
  </si>
  <si>
    <t>1208-141622-44774</t>
  </si>
  <si>
    <t>1208-141622-44781</t>
  </si>
  <si>
    <t>1208-141622-44788</t>
  </si>
  <si>
    <t>1208-141626-44739</t>
  </si>
  <si>
    <t>1208-141626-44746</t>
  </si>
  <si>
    <t>1208-141626-44753</t>
  </si>
  <si>
    <t>1208-141626-44760</t>
  </si>
  <si>
    <t>1208-141626-44767</t>
  </si>
  <si>
    <t>1208-141626-44774</t>
  </si>
  <si>
    <t>1208-141626-44781</t>
  </si>
  <si>
    <t>1208-141626-44788</t>
  </si>
  <si>
    <t>1208-141967-44739</t>
  </si>
  <si>
    <t>1208-141967-44746</t>
  </si>
  <si>
    <t>1208-141967-44753</t>
  </si>
  <si>
    <t>1208-141967-44760</t>
  </si>
  <si>
    <t>1208-141967-44767</t>
  </si>
  <si>
    <t>1208-141967-44774</t>
  </si>
  <si>
    <t>1208-141967-44781</t>
  </si>
  <si>
    <t>1208-141967-44788</t>
  </si>
  <si>
    <t>1208-142194-44739</t>
  </si>
  <si>
    <t>1208-142194-44746</t>
  </si>
  <si>
    <t>1208-142194-44753</t>
  </si>
  <si>
    <t>1208-142194-44760</t>
  </si>
  <si>
    <t>1208-142194-44767</t>
  </si>
  <si>
    <t>1208-142194-44774</t>
  </si>
  <si>
    <t>1208-142194-44781</t>
  </si>
  <si>
    <t>1208-142194-44788</t>
  </si>
  <si>
    <t>1208-149779-44739</t>
  </si>
  <si>
    <t>1208-149779-44746</t>
  </si>
  <si>
    <t>1208-149779-44753</t>
  </si>
  <si>
    <t>1208-149779-44760</t>
  </si>
  <si>
    <t>1208-149779-44767</t>
  </si>
  <si>
    <t>1208-149779-44774</t>
  </si>
  <si>
    <t>1208-149779-44781</t>
  </si>
  <si>
    <t>1208-149779-44788</t>
  </si>
  <si>
    <t>1208-189933-44739</t>
  </si>
  <si>
    <t>1208-189933-44746</t>
  </si>
  <si>
    <t>1208-189933-44753</t>
  </si>
  <si>
    <t>1208-189933-44760</t>
  </si>
  <si>
    <t>1208-189933-44767</t>
  </si>
  <si>
    <t>1208-189933-44774</t>
  </si>
  <si>
    <t>1208-189933-44781</t>
  </si>
  <si>
    <t>1208-189933-44788</t>
  </si>
  <si>
    <t>1208-202577-44739</t>
  </si>
  <si>
    <t>1208-202577-44746</t>
  </si>
  <si>
    <t>1208-202577-44753</t>
  </si>
  <si>
    <t>1208-202577-44760</t>
  </si>
  <si>
    <t>1208-202577-44767</t>
  </si>
  <si>
    <t>1208-202577-44774</t>
  </si>
  <si>
    <t>1208-202577-44781</t>
  </si>
  <si>
    <t>1208-202577-44788</t>
  </si>
  <si>
    <t>1208-234334-44739</t>
  </si>
  <si>
    <t>1208-234334-44746</t>
  </si>
  <si>
    <t>1208-234334-44753</t>
  </si>
  <si>
    <t>1208-234334-44760</t>
  </si>
  <si>
    <t>1208-234334-44767</t>
  </si>
  <si>
    <t>1208-234334-44774</t>
  </si>
  <si>
    <t>1208-234334-44781</t>
  </si>
  <si>
    <t>1208-234334-44788</t>
  </si>
  <si>
    <t>1208-249444-44739</t>
  </si>
  <si>
    <t>1208-249444-44746</t>
  </si>
  <si>
    <t>1208-249444-44753</t>
  </si>
  <si>
    <t>1208-249444-44760</t>
  </si>
  <si>
    <t>1208-249444-44767</t>
  </si>
  <si>
    <t>1208-249444-44774</t>
  </si>
  <si>
    <t>1208-249444-44781</t>
  </si>
  <si>
    <t>1208-249444-44788</t>
  </si>
  <si>
    <t>1208-249795-44739</t>
  </si>
  <si>
    <t>1208-249795-44746</t>
  </si>
  <si>
    <t>1208-249795-44753</t>
  </si>
  <si>
    <t>1208-249795-44760</t>
  </si>
  <si>
    <t>1208-249795-44767</t>
  </si>
  <si>
    <t>1208-249795-44774</t>
  </si>
  <si>
    <t>1208-249795-44781</t>
  </si>
  <si>
    <t>1208-249795-44788</t>
  </si>
  <si>
    <t>1208-250979-44739</t>
  </si>
  <si>
    <t>1208-250979-44746</t>
  </si>
  <si>
    <t>1208-250979-44753</t>
  </si>
  <si>
    <t>1208-250979-44760</t>
  </si>
  <si>
    <t>1208-250979-44767</t>
  </si>
  <si>
    <t>1208-250979-44774</t>
  </si>
  <si>
    <t>1208-250979-44781</t>
  </si>
  <si>
    <t>1208-250979-44788</t>
  </si>
  <si>
    <t>1208-250981-44739</t>
  </si>
  <si>
    <t>1208-250981-44746</t>
  </si>
  <si>
    <t>1208-250981-44753</t>
  </si>
  <si>
    <t>1208-250981-44760</t>
  </si>
  <si>
    <t>1208-250981-44767</t>
  </si>
  <si>
    <t>1208-250981-44774</t>
  </si>
  <si>
    <t>1208-250981-44781</t>
  </si>
  <si>
    <t>1208-250981-44788</t>
  </si>
  <si>
    <t>1208-262294-44739</t>
  </si>
  <si>
    <t>1208-262294-44746</t>
  </si>
  <si>
    <t>1208-262294-44753</t>
  </si>
  <si>
    <t>1208-262294-44760</t>
  </si>
  <si>
    <t>1208-262294-44767</t>
  </si>
  <si>
    <t>1208-262294-44774</t>
  </si>
  <si>
    <t>1208-262294-44781</t>
  </si>
  <si>
    <t>1208-262294-44788</t>
  </si>
  <si>
    <t>1208-291726-44739</t>
  </si>
  <si>
    <t>1208-291726-44746</t>
  </si>
  <si>
    <t>1208-291726-44753</t>
  </si>
  <si>
    <t>1208-291726-44760</t>
  </si>
  <si>
    <t>1208-291726-44767</t>
  </si>
  <si>
    <t>1208-291726-44774</t>
  </si>
  <si>
    <t>1208-291726-44781</t>
  </si>
  <si>
    <t>1208-291726-44788</t>
  </si>
  <si>
    <t>1208-291728-44739</t>
  </si>
  <si>
    <t>1208-291728-44746</t>
  </si>
  <si>
    <t>1208-291728-44753</t>
  </si>
  <si>
    <t>1208-291728-44760</t>
  </si>
  <si>
    <t>1208-291728-44767</t>
  </si>
  <si>
    <t>1208-291728-44774</t>
  </si>
  <si>
    <t>1208-291728-44781</t>
  </si>
  <si>
    <t>1208-291728-44788</t>
  </si>
  <si>
    <t>1209-23393-32874</t>
  </si>
  <si>
    <t>1209-23393-44739</t>
  </si>
  <si>
    <t>1209-23393-44746</t>
  </si>
  <si>
    <t>1209-23393-44753</t>
  </si>
  <si>
    <t>1209-23393-44760</t>
  </si>
  <si>
    <t>1209-23393-44767</t>
  </si>
  <si>
    <t>1209-23393-44774</t>
  </si>
  <si>
    <t>1209-23393-44781</t>
  </si>
  <si>
    <t>1209-23393-44788</t>
  </si>
  <si>
    <t>1209-26764-44739</t>
  </si>
  <si>
    <t>1209-26764-44746</t>
  </si>
  <si>
    <t>1209-26764-44753</t>
  </si>
  <si>
    <t>1209-26764-44760</t>
  </si>
  <si>
    <t>1209-26764-44767</t>
  </si>
  <si>
    <t>1209-26764-44774</t>
  </si>
  <si>
    <t>1209-26764-44781</t>
  </si>
  <si>
    <t>1209-26764-44788</t>
  </si>
  <si>
    <t>1209-53934-44739</t>
  </si>
  <si>
    <t>1209-53934-44746</t>
  </si>
  <si>
    <t>1209-53934-44753</t>
  </si>
  <si>
    <t>1209-53934-44760</t>
  </si>
  <si>
    <t>1209-53934-44767</t>
  </si>
  <si>
    <t>1209-53934-44774</t>
  </si>
  <si>
    <t>1209-53934-44781</t>
  </si>
  <si>
    <t>1209-53934-44788</t>
  </si>
  <si>
    <t>1209-115600-32874</t>
  </si>
  <si>
    <t>1209-115600-44739</t>
  </si>
  <si>
    <t>1209-115600-44746</t>
  </si>
  <si>
    <t>1209-115600-44753</t>
  </si>
  <si>
    <t>1209-115600-44760</t>
  </si>
  <si>
    <t>1209-115600-44767</t>
  </si>
  <si>
    <t>1209-115600-44774</t>
  </si>
  <si>
    <t>1209-115600-44781</t>
  </si>
  <si>
    <t>1209-115600-44788</t>
  </si>
  <si>
    <t>1209-129208-44739</t>
  </si>
  <si>
    <t>1209-129208-44746</t>
  </si>
  <si>
    <t>1209-129208-44753</t>
  </si>
  <si>
    <t>1209-129208-44760</t>
  </si>
  <si>
    <t>1209-129208-44767</t>
  </si>
  <si>
    <t>1209-129208-44774</t>
  </si>
  <si>
    <t>1209-129208-44781</t>
  </si>
  <si>
    <t>1209-129208-44788</t>
  </si>
  <si>
    <t>1209-141622-44739</t>
  </si>
  <si>
    <t>1209-141622-44746</t>
  </si>
  <si>
    <t>1209-141622-44753</t>
  </si>
  <si>
    <t>1209-141622-44760</t>
  </si>
  <si>
    <t>1209-141622-44767</t>
  </si>
  <si>
    <t>1209-141622-44774</t>
  </si>
  <si>
    <t>1209-141622-44781</t>
  </si>
  <si>
    <t>1209-141622-44788</t>
  </si>
  <si>
    <t>1209-141626-44739</t>
  </si>
  <si>
    <t>1209-141626-44746</t>
  </si>
  <si>
    <t>1209-141626-44753</t>
  </si>
  <si>
    <t>1209-141626-44760</t>
  </si>
  <si>
    <t>1209-141626-44767</t>
  </si>
  <si>
    <t>1209-141626-44774</t>
  </si>
  <si>
    <t>1209-141626-44781</t>
  </si>
  <si>
    <t>1209-141626-44788</t>
  </si>
  <si>
    <t>1209-141791-44739</t>
  </si>
  <si>
    <t>1209-141791-44746</t>
  </si>
  <si>
    <t>1209-141791-44753</t>
  </si>
  <si>
    <t>1209-141791-44760</t>
  </si>
  <si>
    <t>1209-141791-44767</t>
  </si>
  <si>
    <t>1209-141791-44774</t>
  </si>
  <si>
    <t>1209-141791-44781</t>
  </si>
  <si>
    <t>1209-141791-44788</t>
  </si>
  <si>
    <t>1209-141967-44739</t>
  </si>
  <si>
    <t>1209-141967-44746</t>
  </si>
  <si>
    <t>1209-141967-44753</t>
  </si>
  <si>
    <t>1209-141967-44760</t>
  </si>
  <si>
    <t>1209-141967-44767</t>
  </si>
  <si>
    <t>1209-141967-44774</t>
  </si>
  <si>
    <t>1209-141967-44781</t>
  </si>
  <si>
    <t>1209-141967-44788</t>
  </si>
  <si>
    <t>1209-142194-44739</t>
  </si>
  <si>
    <t>1209-142194-44746</t>
  </si>
  <si>
    <t>1209-142194-44753</t>
  </si>
  <si>
    <t>1209-142194-44760</t>
  </si>
  <si>
    <t>1209-142194-44767</t>
  </si>
  <si>
    <t>1209-142194-44774</t>
  </si>
  <si>
    <t>1209-142194-44781</t>
  </si>
  <si>
    <t>1209-142194-44788</t>
  </si>
  <si>
    <t>1209-189933-44739</t>
  </si>
  <si>
    <t>1209-189933-44746</t>
  </si>
  <si>
    <t>1209-189933-44753</t>
  </si>
  <si>
    <t>1209-189933-44760</t>
  </si>
  <si>
    <t>1209-189933-44767</t>
  </si>
  <si>
    <t>1209-189933-44774</t>
  </si>
  <si>
    <t>1209-189933-44781</t>
  </si>
  <si>
    <t>1209-189933-44788</t>
  </si>
  <si>
    <t>1209-202577-44739</t>
  </si>
  <si>
    <t>1209-202577-44746</t>
  </si>
  <si>
    <t>1209-202577-44753</t>
  </si>
  <si>
    <t>1209-202577-44760</t>
  </si>
  <si>
    <t>1209-202577-44767</t>
  </si>
  <si>
    <t>1209-202577-44774</t>
  </si>
  <si>
    <t>1209-202577-44781</t>
  </si>
  <si>
    <t>1209-202577-44788</t>
  </si>
  <si>
    <t>1209-249444-44739</t>
  </si>
  <si>
    <t>1209-249444-44746</t>
  </si>
  <si>
    <t>1209-249444-44753</t>
  </si>
  <si>
    <t>1209-249444-44760</t>
  </si>
  <si>
    <t>1209-249444-44767</t>
  </si>
  <si>
    <t>1209-249444-44774</t>
  </si>
  <si>
    <t>1209-249444-44781</t>
  </si>
  <si>
    <t>1209-249444-44788</t>
  </si>
  <si>
    <t>1209-249795-44739</t>
  </si>
  <si>
    <t>1209-249795-44746</t>
  </si>
  <si>
    <t>1209-249795-44753</t>
  </si>
  <si>
    <t>1209-249795-44760</t>
  </si>
  <si>
    <t>1209-249795-44767</t>
  </si>
  <si>
    <t>1209-249795-44774</t>
  </si>
  <si>
    <t>1209-249795-44781</t>
  </si>
  <si>
    <t>1209-249795-44788</t>
  </si>
  <si>
    <t>1209-250979-44739</t>
  </si>
  <si>
    <t>1209-250979-44746</t>
  </si>
  <si>
    <t>1209-250979-44753</t>
  </si>
  <si>
    <t>1209-250979-44760</t>
  </si>
  <si>
    <t>1209-250979-44767</t>
  </si>
  <si>
    <t>1209-250979-44774</t>
  </si>
  <si>
    <t>1209-250979-44781</t>
  </si>
  <si>
    <t>1209-250979-44788</t>
  </si>
  <si>
    <t>1209-250981-44739</t>
  </si>
  <si>
    <t>1209-250981-44746</t>
  </si>
  <si>
    <t>1209-250981-44753</t>
  </si>
  <si>
    <t>1209-250981-44760</t>
  </si>
  <si>
    <t>1209-250981-44767</t>
  </si>
  <si>
    <t>1209-250981-44774</t>
  </si>
  <si>
    <t>1209-250981-44781</t>
  </si>
  <si>
    <t>1209-250981-44788</t>
  </si>
  <si>
    <t>1209-262294-44739</t>
  </si>
  <si>
    <t>1209-262294-44746</t>
  </si>
  <si>
    <t>1209-262294-44753</t>
  </si>
  <si>
    <t>1209-262294-44760</t>
  </si>
  <si>
    <t>1209-262294-44767</t>
  </si>
  <si>
    <t>1209-262294-44774</t>
  </si>
  <si>
    <t>1209-262294-44781</t>
  </si>
  <si>
    <t>1209-262294-44788</t>
  </si>
  <si>
    <t>1209-268831-44739</t>
  </si>
  <si>
    <t>1209-268831-44746</t>
  </si>
  <si>
    <t>1209-268831-44753</t>
  </si>
  <si>
    <t>1209-268831-44760</t>
  </si>
  <si>
    <t>1209-268831-44767</t>
  </si>
  <si>
    <t>1209-268831-44774</t>
  </si>
  <si>
    <t>1209-268831-44781</t>
  </si>
  <si>
    <t>1209-268831-44788</t>
  </si>
  <si>
    <t>1209-273701-44739</t>
  </si>
  <si>
    <t>1209-273701-44746</t>
  </si>
  <si>
    <t>1209-273701-44753</t>
  </si>
  <si>
    <t>1209-273701-44760</t>
  </si>
  <si>
    <t>1209-273701-44767</t>
  </si>
  <si>
    <t>1209-273701-44774</t>
  </si>
  <si>
    <t>1209-273701-44781</t>
  </si>
  <si>
    <t>1209-273701-44788</t>
  </si>
  <si>
    <t>1209-291726-44739</t>
  </si>
  <si>
    <t>1209-291726-44746</t>
  </si>
  <si>
    <t>1209-291726-44753</t>
  </si>
  <si>
    <t>1209-291726-44760</t>
  </si>
  <si>
    <t>1209-291726-44767</t>
  </si>
  <si>
    <t>1209-291726-44774</t>
  </si>
  <si>
    <t>1209-291726-44781</t>
  </si>
  <si>
    <t>1209-291726-44788</t>
  </si>
  <si>
    <t>1209-300380-32874</t>
  </si>
  <si>
    <t>1209-300380-44739</t>
  </si>
  <si>
    <t>1209-300380-44746</t>
  </si>
  <si>
    <t>1209-300380-44753</t>
  </si>
  <si>
    <t>1209-300380-44760</t>
  </si>
  <si>
    <t>1209-300380-44767</t>
  </si>
  <si>
    <t>1209-300380-44774</t>
  </si>
  <si>
    <t>1209-300380-44781</t>
  </si>
  <si>
    <t>1209-300380-44788</t>
  </si>
  <si>
    <t>1209-571521-44739</t>
  </si>
  <si>
    <t>1209-571521-44746</t>
  </si>
  <si>
    <t>1209-571521-44753</t>
  </si>
  <si>
    <t>1209-571521-44760</t>
  </si>
  <si>
    <t>1209-571521-44767</t>
  </si>
  <si>
    <t>1209-571521-44774</t>
  </si>
  <si>
    <t>1209-571521-44781</t>
  </si>
  <si>
    <t>1209-571521-44788</t>
  </si>
  <si>
    <t>1210-23393-32874</t>
  </si>
  <si>
    <t>1210-23393-44739</t>
  </si>
  <si>
    <t>1210-23393-44746</t>
  </si>
  <si>
    <t>1210-23393-44753</t>
  </si>
  <si>
    <t>1210-23393-44760</t>
  </si>
  <si>
    <t>1210-23393-44767</t>
  </si>
  <si>
    <t>1210-23393-44774</t>
  </si>
  <si>
    <t>1210-23393-44781</t>
  </si>
  <si>
    <t>1210-23393-44788</t>
  </si>
  <si>
    <t>1210-26764-44739</t>
  </si>
  <si>
    <t>1210-26764-44746</t>
  </si>
  <si>
    <t>1210-26764-44753</t>
  </si>
  <si>
    <t>1210-26764-44760</t>
  </si>
  <si>
    <t>1210-26764-44767</t>
  </si>
  <si>
    <t>1210-26764-44774</t>
  </si>
  <si>
    <t>1210-26764-44781</t>
  </si>
  <si>
    <t>1210-26764-44788</t>
  </si>
  <si>
    <t>1210-53934-44739</t>
  </si>
  <si>
    <t>1210-53934-44746</t>
  </si>
  <si>
    <t>1210-53934-44753</t>
  </si>
  <si>
    <t>1210-53934-44760</t>
  </si>
  <si>
    <t>1210-53934-44767</t>
  </si>
  <si>
    <t>1210-53934-44774</t>
  </si>
  <si>
    <t>1210-53934-44781</t>
  </si>
  <si>
    <t>1210-53934-44788</t>
  </si>
  <si>
    <t>1210-78699-44739</t>
  </si>
  <si>
    <t>1210-78699-44746</t>
  </si>
  <si>
    <t>1210-78699-44753</t>
  </si>
  <si>
    <t>1210-78699-44760</t>
  </si>
  <si>
    <t>1210-78699-44767</t>
  </si>
  <si>
    <t>1210-78699-44774</t>
  </si>
  <si>
    <t>1210-78699-44781</t>
  </si>
  <si>
    <t>1210-78699-44788</t>
  </si>
  <si>
    <t>1210-78869-44739</t>
  </si>
  <si>
    <t>1210-78869-44746</t>
  </si>
  <si>
    <t>1210-78869-44753</t>
  </si>
  <si>
    <t>1210-78869-44760</t>
  </si>
  <si>
    <t>1210-78869-44767</t>
  </si>
  <si>
    <t>1210-78869-44774</t>
  </si>
  <si>
    <t>1210-78869-44781</t>
  </si>
  <si>
    <t>1210-78869-44788</t>
  </si>
  <si>
    <t>1210-115600-32874</t>
  </si>
  <si>
    <t>1210-115600-44739</t>
  </si>
  <si>
    <t>1210-115600-44746</t>
  </si>
  <si>
    <t>1210-115600-44753</t>
  </si>
  <si>
    <t>1210-115600-44760</t>
  </si>
  <si>
    <t>1210-115600-44767</t>
  </si>
  <si>
    <t>1210-115600-44774</t>
  </si>
  <si>
    <t>1210-115600-44781</t>
  </si>
  <si>
    <t>1210-115600-44788</t>
  </si>
  <si>
    <t>1210-129208-44739</t>
  </si>
  <si>
    <t>1210-129208-44746</t>
  </si>
  <si>
    <t>1210-129208-44753</t>
  </si>
  <si>
    <t>1210-129208-44760</t>
  </si>
  <si>
    <t>1210-129208-44767</t>
  </si>
  <si>
    <t>1210-129208-44774</t>
  </si>
  <si>
    <t>1210-129208-44781</t>
  </si>
  <si>
    <t>1210-129208-44788</t>
  </si>
  <si>
    <t>1210-141622-44739</t>
  </si>
  <si>
    <t>1210-141622-44746</t>
  </si>
  <si>
    <t>1210-141622-44753</t>
  </si>
  <si>
    <t>1210-141622-44760</t>
  </si>
  <si>
    <t>1210-141622-44767</t>
  </si>
  <si>
    <t>1210-141622-44774</t>
  </si>
  <si>
    <t>1210-141622-44781</t>
  </si>
  <si>
    <t>1210-141622-44788</t>
  </si>
  <si>
    <t>1210-141626-44739</t>
  </si>
  <si>
    <t>1210-141626-44746</t>
  </si>
  <si>
    <t>1210-141626-44753</t>
  </si>
  <si>
    <t>1210-141626-44760</t>
  </si>
  <si>
    <t>1210-141626-44767</t>
  </si>
  <si>
    <t>1210-141626-44774</t>
  </si>
  <si>
    <t>1210-141626-44781</t>
  </si>
  <si>
    <t>1210-141626-44788</t>
  </si>
  <si>
    <t>1210-141791-44739</t>
  </si>
  <si>
    <t>1210-141791-44746</t>
  </si>
  <si>
    <t>1210-141791-44753</t>
  </si>
  <si>
    <t>1210-141791-44760</t>
  </si>
  <si>
    <t>1210-141791-44767</t>
  </si>
  <si>
    <t>1210-141791-44774</t>
  </si>
  <si>
    <t>1210-141791-44781</t>
  </si>
  <si>
    <t>1210-141791-44788</t>
  </si>
  <si>
    <t>1210-141846-44739</t>
  </si>
  <si>
    <t>1210-141846-44746</t>
  </si>
  <si>
    <t>1210-141846-44753</t>
  </si>
  <si>
    <t>1210-141846-44760</t>
  </si>
  <si>
    <t>1210-141846-44767</t>
  </si>
  <si>
    <t>1210-141846-44774</t>
  </si>
  <si>
    <t>1210-141846-44781</t>
  </si>
  <si>
    <t>1210-141846-44788</t>
  </si>
  <si>
    <t>1210-141967-44739</t>
  </si>
  <si>
    <t>1210-141967-44746</t>
  </si>
  <si>
    <t>1210-141967-44753</t>
  </si>
  <si>
    <t>1210-141967-44760</t>
  </si>
  <si>
    <t>1210-141967-44767</t>
  </si>
  <si>
    <t>1210-141967-44774</t>
  </si>
  <si>
    <t>1210-141967-44781</t>
  </si>
  <si>
    <t>1210-141967-44788</t>
  </si>
  <si>
    <t>1210-142194-44739</t>
  </si>
  <si>
    <t>1210-142194-44746</t>
  </si>
  <si>
    <t>1210-142194-44753</t>
  </si>
  <si>
    <t>1210-142194-44760</t>
  </si>
  <si>
    <t>1210-142194-44767</t>
  </si>
  <si>
    <t>1210-142194-44774</t>
  </si>
  <si>
    <t>1210-142194-44781</t>
  </si>
  <si>
    <t>1210-142194-44788</t>
  </si>
  <si>
    <t>1210-149729-44739</t>
  </si>
  <si>
    <t>1210-149729-44746</t>
  </si>
  <si>
    <t>1210-149729-44753</t>
  </si>
  <si>
    <t>1210-149729-44760</t>
  </si>
  <si>
    <t>1210-149729-44767</t>
  </si>
  <si>
    <t>1210-149729-44774</t>
  </si>
  <si>
    <t>1210-149729-44781</t>
  </si>
  <si>
    <t>1210-149729-44788</t>
  </si>
  <si>
    <t>1210-149779-44739</t>
  </si>
  <si>
    <t>1210-149779-44746</t>
  </si>
  <si>
    <t>1210-149779-44753</t>
  </si>
  <si>
    <t>1210-149779-44760</t>
  </si>
  <si>
    <t>1210-149779-44767</t>
  </si>
  <si>
    <t>1210-149779-44774</t>
  </si>
  <si>
    <t>1210-149779-44781</t>
  </si>
  <si>
    <t>1210-149779-44788</t>
  </si>
  <si>
    <t>1210-189933-44739</t>
  </si>
  <si>
    <t>1210-189933-44746</t>
  </si>
  <si>
    <t>1210-189933-44753</t>
  </si>
  <si>
    <t>1210-189933-44760</t>
  </si>
  <si>
    <t>1210-189933-44767</t>
  </si>
  <si>
    <t>1210-189933-44774</t>
  </si>
  <si>
    <t>1210-189933-44781</t>
  </si>
  <si>
    <t>1210-189933-44788</t>
  </si>
  <si>
    <t>1210-202577-44739</t>
  </si>
  <si>
    <t>1210-202577-44746</t>
  </si>
  <si>
    <t>1210-202577-44753</t>
  </si>
  <si>
    <t>1210-202577-44760</t>
  </si>
  <si>
    <t>1210-202577-44767</t>
  </si>
  <si>
    <t>1210-202577-44774</t>
  </si>
  <si>
    <t>1210-202577-44781</t>
  </si>
  <si>
    <t>1210-202577-44788</t>
  </si>
  <si>
    <t>1210-234334-44739</t>
  </si>
  <si>
    <t>1210-234334-44746</t>
  </si>
  <si>
    <t>1210-234334-44753</t>
  </si>
  <si>
    <t>1210-234334-44760</t>
  </si>
  <si>
    <t>1210-234334-44767</t>
  </si>
  <si>
    <t>1210-234334-44774</t>
  </si>
  <si>
    <t>1210-234334-44781</t>
  </si>
  <si>
    <t>1210-234334-44788</t>
  </si>
  <si>
    <t>1210-249444-44739</t>
  </si>
  <si>
    <t>1210-249444-44746</t>
  </si>
  <si>
    <t>1210-249444-44753</t>
  </si>
  <si>
    <t>1210-249444-44760</t>
  </si>
  <si>
    <t>1210-249444-44767</t>
  </si>
  <si>
    <t>1210-249444-44774</t>
  </si>
  <si>
    <t>1210-249444-44781</t>
  </si>
  <si>
    <t>1210-249444-44788</t>
  </si>
  <si>
    <t>1210-249795-44739</t>
  </si>
  <si>
    <t>1210-249795-44746</t>
  </si>
  <si>
    <t>1210-249795-44753</t>
  </si>
  <si>
    <t>1210-249795-44760</t>
  </si>
  <si>
    <t>1210-249795-44767</t>
  </si>
  <si>
    <t>1210-249795-44774</t>
  </si>
  <si>
    <t>1210-249795-44781</t>
  </si>
  <si>
    <t>1210-249795-44788</t>
  </si>
  <si>
    <t>1210-250979-44739</t>
  </si>
  <si>
    <t>1210-250979-44746</t>
  </si>
  <si>
    <t>1210-250979-44753</t>
  </si>
  <si>
    <t>1210-250979-44760</t>
  </si>
  <si>
    <t>1210-250979-44767</t>
  </si>
  <si>
    <t>1210-250979-44774</t>
  </si>
  <si>
    <t>1210-250979-44781</t>
  </si>
  <si>
    <t>1210-250979-44788</t>
  </si>
  <si>
    <t>1210-250981-44739</t>
  </si>
  <si>
    <t>1210-250981-44746</t>
  </si>
  <si>
    <t>1210-250981-44753</t>
  </si>
  <si>
    <t>1210-250981-44760</t>
  </si>
  <si>
    <t>1210-250981-44767</t>
  </si>
  <si>
    <t>1210-250981-44774</t>
  </si>
  <si>
    <t>1210-250981-44781</t>
  </si>
  <si>
    <t>1210-250981-44788</t>
  </si>
  <si>
    <t>1210-262294-44739</t>
  </si>
  <si>
    <t>1210-262294-44746</t>
  </si>
  <si>
    <t>1210-262294-44753</t>
  </si>
  <si>
    <t>1210-262294-44760</t>
  </si>
  <si>
    <t>1210-262294-44767</t>
  </si>
  <si>
    <t>1210-262294-44774</t>
  </si>
  <si>
    <t>1210-262294-44781</t>
  </si>
  <si>
    <t>1210-262294-44788</t>
  </si>
  <si>
    <t>1210-268831-44739</t>
  </si>
  <si>
    <t>1210-268831-44746</t>
  </si>
  <si>
    <t>1210-268831-44753</t>
  </si>
  <si>
    <t>1210-268831-44760</t>
  </si>
  <si>
    <t>1210-268831-44767</t>
  </si>
  <si>
    <t>1210-268831-44774</t>
  </si>
  <si>
    <t>1210-268831-44781</t>
  </si>
  <si>
    <t>1210-268831-44788</t>
  </si>
  <si>
    <t>1210-273701-44739</t>
  </si>
  <si>
    <t>1210-273701-44746</t>
  </si>
  <si>
    <t>1210-273701-44753</t>
  </si>
  <si>
    <t>1210-273701-44760</t>
  </si>
  <si>
    <t>1210-273701-44767</t>
  </si>
  <si>
    <t>1210-273701-44774</t>
  </si>
  <si>
    <t>1210-273701-44781</t>
  </si>
  <si>
    <t>1210-273701-44788</t>
  </si>
  <si>
    <t>1210-291726-44739</t>
  </si>
  <si>
    <t>1210-291726-44746</t>
  </si>
  <si>
    <t>1210-291726-44753</t>
  </si>
  <si>
    <t>1210-291726-44760</t>
  </si>
  <si>
    <t>1210-291726-44767</t>
  </si>
  <si>
    <t>1210-291726-44774</t>
  </si>
  <si>
    <t>1210-291726-44781</t>
  </si>
  <si>
    <t>1210-291726-44788</t>
  </si>
  <si>
    <t>1210-291728-44739</t>
  </si>
  <si>
    <t>1210-291728-44746</t>
  </si>
  <si>
    <t>1210-291728-44753</t>
  </si>
  <si>
    <t>1210-291728-44760</t>
  </si>
  <si>
    <t>1210-291728-44767</t>
  </si>
  <si>
    <t>1210-291728-44774</t>
  </si>
  <si>
    <t>1210-291728-44781</t>
  </si>
  <si>
    <t>1210-291728-44788</t>
  </si>
  <si>
    <t>1210-300380-32874</t>
  </si>
  <si>
    <t>1210-300380-44739</t>
  </si>
  <si>
    <t>1210-300380-44746</t>
  </si>
  <si>
    <t>1210-300380-44753</t>
  </si>
  <si>
    <t>1210-300380-44760</t>
  </si>
  <si>
    <t>1210-300380-44767</t>
  </si>
  <si>
    <t>1210-300380-44774</t>
  </si>
  <si>
    <t>1210-300380-44781</t>
  </si>
  <si>
    <t>1210-300380-44788</t>
  </si>
  <si>
    <t>1210-571521-44739</t>
  </si>
  <si>
    <t>1210-571521-44746</t>
  </si>
  <si>
    <t>1210-571521-44753</t>
  </si>
  <si>
    <t>1210-571521-44760</t>
  </si>
  <si>
    <t>1210-571521-44767</t>
  </si>
  <si>
    <t>1210-571521-44774</t>
  </si>
  <si>
    <t>1210-571521-44781</t>
  </si>
  <si>
    <t>1210-571521-44788</t>
  </si>
  <si>
    <t>1210-614993-44739</t>
  </si>
  <si>
    <t>1210-614993-44746</t>
  </si>
  <si>
    <t>1210-614993-44753</t>
  </si>
  <si>
    <t>1210-614993-44760</t>
  </si>
  <si>
    <t>1210-614993-44767</t>
  </si>
  <si>
    <t>1210-614993-44774</t>
  </si>
  <si>
    <t>1210-614993-44781</t>
  </si>
  <si>
    <t>1210-614993-44788</t>
  </si>
  <si>
    <t>1211-23393-32874</t>
  </si>
  <si>
    <t>1211-23393-44739</t>
  </si>
  <si>
    <t>1211-23393-44746</t>
  </si>
  <si>
    <t>1211-23393-44753</t>
  </si>
  <si>
    <t>1211-23393-44760</t>
  </si>
  <si>
    <t>1211-23393-44767</t>
  </si>
  <si>
    <t>1211-23393-44774</t>
  </si>
  <si>
    <t>1211-23393-44781</t>
  </si>
  <si>
    <t>1211-23393-44788</t>
  </si>
  <si>
    <t>1211-26764-44739</t>
  </si>
  <si>
    <t>1211-26764-44746</t>
  </si>
  <si>
    <t>1211-26764-44753</t>
  </si>
  <si>
    <t>1211-26764-44760</t>
  </si>
  <si>
    <t>1211-26764-44767</t>
  </si>
  <si>
    <t>1211-26764-44774</t>
  </si>
  <si>
    <t>1211-26764-44781</t>
  </si>
  <si>
    <t>1211-26764-44788</t>
  </si>
  <si>
    <t>1211-53934-44739</t>
  </si>
  <si>
    <t>1211-53934-44746</t>
  </si>
  <si>
    <t>1211-53934-44753</t>
  </si>
  <si>
    <t>1211-53934-44760</t>
  </si>
  <si>
    <t>1211-53934-44767</t>
  </si>
  <si>
    <t>1211-53934-44774</t>
  </si>
  <si>
    <t>1211-53934-44781</t>
  </si>
  <si>
    <t>1211-53934-44788</t>
  </si>
  <si>
    <t>1211-78699-44739</t>
  </si>
  <si>
    <t>1211-78699-44746</t>
  </si>
  <si>
    <t>1211-78699-44753</t>
  </si>
  <si>
    <t>1211-78699-44760</t>
  </si>
  <si>
    <t>1211-78699-44767</t>
  </si>
  <si>
    <t>1211-78699-44774</t>
  </si>
  <si>
    <t>1211-78699-44781</t>
  </si>
  <si>
    <t>1211-78699-44788</t>
  </si>
  <si>
    <t>1211-78869-44739</t>
  </si>
  <si>
    <t>1211-78869-44746</t>
  </si>
  <si>
    <t>1211-78869-44753</t>
  </si>
  <si>
    <t>1211-78869-44760</t>
  </si>
  <si>
    <t>1211-78869-44767</t>
  </si>
  <si>
    <t>1211-78869-44774</t>
  </si>
  <si>
    <t>1211-78869-44781</t>
  </si>
  <si>
    <t>1211-78869-44788</t>
  </si>
  <si>
    <t>1211-115600-44739</t>
  </si>
  <si>
    <t>1211-115600-44746</t>
  </si>
  <si>
    <t>1211-115600-44753</t>
  </si>
  <si>
    <t>1211-115600-44760</t>
  </si>
  <si>
    <t>1211-115600-44767</t>
  </si>
  <si>
    <t>1211-115600-44774</t>
  </si>
  <si>
    <t>1211-115600-44781</t>
  </si>
  <si>
    <t>1211-115600-44788</t>
  </si>
  <si>
    <t>1211-129208-32874</t>
  </si>
  <si>
    <t>1211-129208-44739</t>
  </si>
  <si>
    <t>1211-129208-44746</t>
  </si>
  <si>
    <t>1211-129208-44753</t>
  </si>
  <si>
    <t>1211-129208-44760</t>
  </si>
  <si>
    <t>1211-129208-44767</t>
  </si>
  <si>
    <t>1211-129208-44774</t>
  </si>
  <si>
    <t>1211-129208-44781</t>
  </si>
  <si>
    <t>1211-129208-44788</t>
  </si>
  <si>
    <t>1211-141622-44739</t>
  </si>
  <si>
    <t>1211-141622-44746</t>
  </si>
  <si>
    <t>1211-141622-44753</t>
  </si>
  <si>
    <t>1211-141622-44760</t>
  </si>
  <si>
    <t>1211-141622-44767</t>
  </si>
  <si>
    <t>1211-141622-44774</t>
  </si>
  <si>
    <t>1211-141622-44781</t>
  </si>
  <si>
    <t>1211-141622-44788</t>
  </si>
  <si>
    <t>1211-141626-44739</t>
  </si>
  <si>
    <t>1211-141626-44746</t>
  </si>
  <si>
    <t>1211-141626-44753</t>
  </si>
  <si>
    <t>1211-141626-44760</t>
  </si>
  <si>
    <t>1211-141626-44767</t>
  </si>
  <si>
    <t>1211-141626-44774</t>
  </si>
  <si>
    <t>1211-141626-44781</t>
  </si>
  <si>
    <t>1211-141626-44788</t>
  </si>
  <si>
    <t>1211-141791-44739</t>
  </si>
  <si>
    <t>1211-141791-44746</t>
  </si>
  <si>
    <t>1211-141791-44753</t>
  </si>
  <si>
    <t>1211-141791-44760</t>
  </si>
  <si>
    <t>1211-141791-44767</t>
  </si>
  <si>
    <t>1211-141791-44774</t>
  </si>
  <si>
    <t>1211-141791-44781</t>
  </si>
  <si>
    <t>1211-141791-44788</t>
  </si>
  <si>
    <t>1211-141846-44739</t>
  </si>
  <si>
    <t>1211-141846-44746</t>
  </si>
  <si>
    <t>1211-141846-44753</t>
  </si>
  <si>
    <t>1211-141846-44760</t>
  </si>
  <si>
    <t>1211-141846-44767</t>
  </si>
  <si>
    <t>1211-141846-44774</t>
  </si>
  <si>
    <t>1211-141846-44781</t>
  </si>
  <si>
    <t>1211-141846-44788</t>
  </si>
  <si>
    <t>1211-141967-44739</t>
  </si>
  <si>
    <t>1211-141967-44746</t>
  </si>
  <si>
    <t>1211-141967-44753</t>
  </si>
  <si>
    <t>1211-141967-44760</t>
  </si>
  <si>
    <t>1211-141967-44767</t>
  </si>
  <si>
    <t>1211-141967-44774</t>
  </si>
  <si>
    <t>1211-141967-44781</t>
  </si>
  <si>
    <t>1211-141967-44788</t>
  </si>
  <si>
    <t>1211-142194-44739</t>
  </si>
  <si>
    <t>1211-142194-44746</t>
  </si>
  <si>
    <t>1211-142194-44753</t>
  </si>
  <si>
    <t>1211-142194-44760</t>
  </si>
  <si>
    <t>1211-142194-44767</t>
  </si>
  <si>
    <t>1211-142194-44774</t>
  </si>
  <si>
    <t>1211-142194-44781</t>
  </si>
  <si>
    <t>1211-142194-44788</t>
  </si>
  <si>
    <t>1211-149729-44739</t>
  </si>
  <si>
    <t>1211-149729-44746</t>
  </si>
  <si>
    <t>1211-149729-44753</t>
  </si>
  <si>
    <t>1211-149729-44760</t>
  </si>
  <si>
    <t>1211-149729-44767</t>
  </si>
  <si>
    <t>1211-149729-44774</t>
  </si>
  <si>
    <t>1211-149729-44781</t>
  </si>
  <si>
    <t>1211-149729-44788</t>
  </si>
  <si>
    <t>1211-149779-44739</t>
  </si>
  <si>
    <t>1211-149779-44746</t>
  </si>
  <si>
    <t>1211-149779-44753</t>
  </si>
  <si>
    <t>1211-149779-44760</t>
  </si>
  <si>
    <t>1211-149779-44767</t>
  </si>
  <si>
    <t>1211-149779-44774</t>
  </si>
  <si>
    <t>1211-149779-44781</t>
  </si>
  <si>
    <t>1211-149779-44788</t>
  </si>
  <si>
    <t>1211-189933-44739</t>
  </si>
  <si>
    <t>1211-189933-44746</t>
  </si>
  <si>
    <t>1211-189933-44753</t>
  </si>
  <si>
    <t>1211-189933-44760</t>
  </si>
  <si>
    <t>1211-189933-44767</t>
  </si>
  <si>
    <t>1211-189933-44774</t>
  </si>
  <si>
    <t>1211-189933-44781</t>
  </si>
  <si>
    <t>1211-189933-44788</t>
  </si>
  <si>
    <t>1211-202577-44739</t>
  </si>
  <si>
    <t>1211-202577-44746</t>
  </si>
  <si>
    <t>1211-202577-44753</t>
  </si>
  <si>
    <t>1211-202577-44760</t>
  </si>
  <si>
    <t>1211-202577-44767</t>
  </si>
  <si>
    <t>1211-202577-44774</t>
  </si>
  <si>
    <t>1211-202577-44781</t>
  </si>
  <si>
    <t>1211-202577-44788</t>
  </si>
  <si>
    <t>1211-234334-44739</t>
  </si>
  <si>
    <t>1211-234334-44746</t>
  </si>
  <si>
    <t>1211-234334-44753</t>
  </si>
  <si>
    <t>1211-234334-44760</t>
  </si>
  <si>
    <t>1211-234334-44767</t>
  </si>
  <si>
    <t>1211-234334-44774</t>
  </si>
  <si>
    <t>1211-234334-44781</t>
  </si>
  <si>
    <t>1211-234334-44788</t>
  </si>
  <si>
    <t>1211-249444-44739</t>
  </si>
  <si>
    <t>1211-249444-44746</t>
  </si>
  <si>
    <t>1211-249444-44753</t>
  </si>
  <si>
    <t>1211-249444-44760</t>
  </si>
  <si>
    <t>1211-249444-44767</t>
  </si>
  <si>
    <t>1211-249444-44774</t>
  </si>
  <si>
    <t>1211-249444-44781</t>
  </si>
  <si>
    <t>1211-249444-44788</t>
  </si>
  <si>
    <t>1211-249795-44739</t>
  </si>
  <si>
    <t>1211-249795-44746</t>
  </si>
  <si>
    <t>1211-249795-44753</t>
  </si>
  <si>
    <t>1211-249795-44760</t>
  </si>
  <si>
    <t>1211-249795-44767</t>
  </si>
  <si>
    <t>1211-249795-44774</t>
  </si>
  <si>
    <t>1211-249795-44781</t>
  </si>
  <si>
    <t>1211-249795-44788</t>
  </si>
  <si>
    <t>1211-250979-44739</t>
  </si>
  <si>
    <t>1211-250979-44746</t>
  </si>
  <si>
    <t>1211-250979-44753</t>
  </si>
  <si>
    <t>1211-250979-44760</t>
  </si>
  <si>
    <t>1211-250979-44767</t>
  </si>
  <si>
    <t>1211-250979-44774</t>
  </si>
  <si>
    <t>1211-250979-44781</t>
  </si>
  <si>
    <t>1211-250979-44788</t>
  </si>
  <si>
    <t>1211-250981-44739</t>
  </si>
  <si>
    <t>1211-250981-44746</t>
  </si>
  <si>
    <t>1211-250981-44753</t>
  </si>
  <si>
    <t>1211-250981-44760</t>
  </si>
  <si>
    <t>1211-250981-44767</t>
  </si>
  <si>
    <t>1211-250981-44774</t>
  </si>
  <si>
    <t>1211-250981-44781</t>
  </si>
  <si>
    <t>1211-250981-44788</t>
  </si>
  <si>
    <t>1211-262294-44739</t>
  </si>
  <si>
    <t>1211-262294-44746</t>
  </si>
  <si>
    <t>1211-262294-44753</t>
  </si>
  <si>
    <t>1211-262294-44760</t>
  </si>
  <si>
    <t>1211-262294-44767</t>
  </si>
  <si>
    <t>1211-262294-44774</t>
  </si>
  <si>
    <t>1211-262294-44781</t>
  </si>
  <si>
    <t>1211-262294-44788</t>
  </si>
  <si>
    <t>1211-268831-44739</t>
  </si>
  <si>
    <t>1211-268831-44746</t>
  </si>
  <si>
    <t>1211-268831-44753</t>
  </si>
  <si>
    <t>1211-268831-44760</t>
  </si>
  <si>
    <t>1211-268831-44767</t>
  </si>
  <si>
    <t>1211-268831-44774</t>
  </si>
  <si>
    <t>1211-268831-44781</t>
  </si>
  <si>
    <t>1211-268831-44788</t>
  </si>
  <si>
    <t>1211-273701-44739</t>
  </si>
  <si>
    <t>1211-273701-44746</t>
  </si>
  <si>
    <t>1211-273701-44753</t>
  </si>
  <si>
    <t>1211-273701-44760</t>
  </si>
  <si>
    <t>1211-273701-44767</t>
  </si>
  <si>
    <t>1211-273701-44774</t>
  </si>
  <si>
    <t>1211-273701-44781</t>
  </si>
  <si>
    <t>1211-273701-44788</t>
  </si>
  <si>
    <t>1211-291726-44739</t>
  </si>
  <si>
    <t>1211-291726-44746</t>
  </si>
  <si>
    <t>1211-291726-44753</t>
  </si>
  <si>
    <t>1211-291726-44760</t>
  </si>
  <si>
    <t>1211-291726-44767</t>
  </si>
  <si>
    <t>1211-291726-44774</t>
  </si>
  <si>
    <t>1211-291726-44781</t>
  </si>
  <si>
    <t>1211-291726-44788</t>
  </si>
  <si>
    <t>1211-291728-44739</t>
  </si>
  <si>
    <t>1211-291728-44746</t>
  </si>
  <si>
    <t>1211-291728-44753</t>
  </si>
  <si>
    <t>1211-291728-44760</t>
  </si>
  <si>
    <t>1211-291728-44767</t>
  </si>
  <si>
    <t>1211-291728-44774</t>
  </si>
  <si>
    <t>1211-291728-44781</t>
  </si>
  <si>
    <t>1211-291728-44788</t>
  </si>
  <si>
    <t>1211-300380-44739</t>
  </si>
  <si>
    <t>1211-300380-44746</t>
  </si>
  <si>
    <t>1211-300380-44753</t>
  </si>
  <si>
    <t>1211-300380-44760</t>
  </si>
  <si>
    <t>1211-300380-44767</t>
  </si>
  <si>
    <t>1211-300380-44774</t>
  </si>
  <si>
    <t>1211-300380-44781</t>
  </si>
  <si>
    <t>1211-300380-44788</t>
  </si>
  <si>
    <t>1211-571521-44739</t>
  </si>
  <si>
    <t>1211-571521-44746</t>
  </si>
  <si>
    <t>1211-571521-44753</t>
  </si>
  <si>
    <t>1211-571521-44760</t>
  </si>
  <si>
    <t>1211-571521-44767</t>
  </si>
  <si>
    <t>1211-571521-44774</t>
  </si>
  <si>
    <t>1211-571521-44781</t>
  </si>
  <si>
    <t>1211-571521-44788</t>
  </si>
  <si>
    <t>1211-614993-44739</t>
  </si>
  <si>
    <t>1211-614993-44746</t>
  </si>
  <si>
    <t>1211-614993-44753</t>
  </si>
  <si>
    <t>1211-614993-44760</t>
  </si>
  <si>
    <t>1211-614993-44767</t>
  </si>
  <si>
    <t>1211-614993-44774</t>
  </si>
  <si>
    <t>1211-614993-44781</t>
  </si>
  <si>
    <t>1211-614993-44788</t>
  </si>
  <si>
    <t>1212-23393-44739</t>
  </si>
  <si>
    <t>1212-23393-44746</t>
  </si>
  <si>
    <t>1212-23393-44753</t>
  </si>
  <si>
    <t>1212-23393-44760</t>
  </si>
  <si>
    <t>1212-23393-44767</t>
  </si>
  <si>
    <t>1212-23393-44774</t>
  </si>
  <si>
    <t>1212-23393-44781</t>
  </si>
  <si>
    <t>1212-23393-44788</t>
  </si>
  <si>
    <t>1212-26764-44739</t>
  </si>
  <si>
    <t>1212-26764-44746</t>
  </si>
  <si>
    <t>1212-26764-44753</t>
  </si>
  <si>
    <t>1212-26764-44760</t>
  </si>
  <si>
    <t>1212-26764-44767</t>
  </si>
  <si>
    <t>1212-26764-44774</t>
  </si>
  <si>
    <t>1212-26764-44781</t>
  </si>
  <si>
    <t>1212-26764-44788</t>
  </si>
  <si>
    <t>1212-53934-44739</t>
  </si>
  <si>
    <t>1212-53934-44746</t>
  </si>
  <si>
    <t>1212-53934-44753</t>
  </si>
  <si>
    <t>1212-53934-44760</t>
  </si>
  <si>
    <t>1212-53934-44767</t>
  </si>
  <si>
    <t>1212-53934-44774</t>
  </si>
  <si>
    <t>1212-53934-44781</t>
  </si>
  <si>
    <t>1212-53934-44788</t>
  </si>
  <si>
    <t>1212-78699-44739</t>
  </si>
  <si>
    <t>1212-78699-44746</t>
  </si>
  <si>
    <t>1212-78699-44753</t>
  </si>
  <si>
    <t>1212-78699-44760</t>
  </si>
  <si>
    <t>1212-78699-44767</t>
  </si>
  <si>
    <t>1212-78699-44774</t>
  </si>
  <si>
    <t>1212-78699-44781</t>
  </si>
  <si>
    <t>1212-78699-44788</t>
  </si>
  <si>
    <t>1212-78869-44739</t>
  </si>
  <si>
    <t>1212-78869-44746</t>
  </si>
  <si>
    <t>1212-78869-44753</t>
  </si>
  <si>
    <t>1212-78869-44760</t>
  </si>
  <si>
    <t>1212-78869-44767</t>
  </si>
  <si>
    <t>1212-78869-44774</t>
  </si>
  <si>
    <t>1212-78869-44781</t>
  </si>
  <si>
    <t>1212-78869-44788</t>
  </si>
  <si>
    <t>1212-141626-44739</t>
  </si>
  <si>
    <t>1212-141626-44746</t>
  </si>
  <si>
    <t>1212-141626-44753</t>
  </si>
  <si>
    <t>1212-141626-44760</t>
  </si>
  <si>
    <t>1212-141626-44767</t>
  </si>
  <si>
    <t>1212-141626-44774</t>
  </si>
  <si>
    <t>1212-141626-44781</t>
  </si>
  <si>
    <t>1212-141626-44788</t>
  </si>
  <si>
    <t>1212-141791-44739</t>
  </si>
  <si>
    <t>1212-141791-44746</t>
  </si>
  <si>
    <t>1212-141791-44753</t>
  </si>
  <si>
    <t>1212-141791-44760</t>
  </si>
  <si>
    <t>1212-141791-44767</t>
  </si>
  <si>
    <t>1212-141791-44774</t>
  </si>
  <si>
    <t>1212-141791-44781</t>
  </si>
  <si>
    <t>1212-141791-44788</t>
  </si>
  <si>
    <t>1212-141967-44739</t>
  </si>
  <si>
    <t>1212-141967-44746</t>
  </si>
  <si>
    <t>1212-141967-44753</t>
  </si>
  <si>
    <t>1212-141967-44760</t>
  </si>
  <si>
    <t>1212-141967-44767</t>
  </si>
  <si>
    <t>1212-141967-44774</t>
  </si>
  <si>
    <t>1212-141967-44781</t>
  </si>
  <si>
    <t>1212-141967-44788</t>
  </si>
  <si>
    <t>1212-142194-44739</t>
  </si>
  <si>
    <t>1212-142194-44746</t>
  </si>
  <si>
    <t>1212-142194-44753</t>
  </si>
  <si>
    <t>1212-142194-44760</t>
  </si>
  <si>
    <t>1212-142194-44767</t>
  </si>
  <si>
    <t>1212-142194-44774</t>
  </si>
  <si>
    <t>1212-142194-44781</t>
  </si>
  <si>
    <t>1212-142194-44788</t>
  </si>
  <si>
    <t>1212-149729-44739</t>
  </si>
  <si>
    <t>1212-149729-44746</t>
  </si>
  <si>
    <t>1212-149729-44753</t>
  </si>
  <si>
    <t>1212-149729-44760</t>
  </si>
  <si>
    <t>1212-149729-44767</t>
  </si>
  <si>
    <t>1212-149729-44774</t>
  </si>
  <si>
    <t>1212-149729-44781</t>
  </si>
  <si>
    <t>1212-149729-44788</t>
  </si>
  <si>
    <t>1212-149779-44739</t>
  </si>
  <si>
    <t>1212-149779-44746</t>
  </si>
  <si>
    <t>1212-149779-44753</t>
  </si>
  <si>
    <t>1212-149779-44760</t>
  </si>
  <si>
    <t>1212-149779-44767</t>
  </si>
  <si>
    <t>1212-149779-44774</t>
  </si>
  <si>
    <t>1212-149779-44781</t>
  </si>
  <si>
    <t>1212-149779-44788</t>
  </si>
  <si>
    <t>1212-202577-44739</t>
  </si>
  <si>
    <t>1212-202577-44746</t>
  </si>
  <si>
    <t>1212-202577-44753</t>
  </si>
  <si>
    <t>1212-202577-44760</t>
  </si>
  <si>
    <t>1212-202577-44767</t>
  </si>
  <si>
    <t>1212-202577-44774</t>
  </si>
  <si>
    <t>1212-202577-44781</t>
  </si>
  <si>
    <t>1212-202577-44788</t>
  </si>
  <si>
    <t>1212-234334-44739</t>
  </si>
  <si>
    <t>1212-234334-44746</t>
  </si>
  <si>
    <t>1212-234334-44753</t>
  </si>
  <si>
    <t>1212-234334-44760</t>
  </si>
  <si>
    <t>1212-234334-44767</t>
  </si>
  <si>
    <t>1212-234334-44774</t>
  </si>
  <si>
    <t>1212-234334-44781</t>
  </si>
  <si>
    <t>1212-234334-44788</t>
  </si>
  <si>
    <t>1212-249444-44739</t>
  </si>
  <si>
    <t>1212-249444-44746</t>
  </si>
  <si>
    <t>1212-249444-44753</t>
  </si>
  <si>
    <t>1212-249444-44760</t>
  </si>
  <si>
    <t>1212-249444-44767</t>
  </si>
  <si>
    <t>1212-249444-44774</t>
  </si>
  <si>
    <t>1212-249444-44781</t>
  </si>
  <si>
    <t>1212-249444-44788</t>
  </si>
  <si>
    <t>1212-250979-44739</t>
  </si>
  <si>
    <t>1212-250979-44746</t>
  </si>
  <si>
    <t>1212-250979-44753</t>
  </si>
  <si>
    <t>1212-250979-44760</t>
  </si>
  <si>
    <t>1212-250979-44767</t>
  </si>
  <si>
    <t>1212-250979-44774</t>
  </si>
  <si>
    <t>1212-250979-44781</t>
  </si>
  <si>
    <t>1212-250979-44788</t>
  </si>
  <si>
    <t>1212-250981-44739</t>
  </si>
  <si>
    <t>1212-250981-44746</t>
  </si>
  <si>
    <t>1212-250981-44753</t>
  </si>
  <si>
    <t>1212-250981-44760</t>
  </si>
  <si>
    <t>1212-250981-44767</t>
  </si>
  <si>
    <t>1212-250981-44774</t>
  </si>
  <si>
    <t>1212-250981-44781</t>
  </si>
  <si>
    <t>1212-250981-44788</t>
  </si>
  <si>
    <t>1212-262294-44739</t>
  </si>
  <si>
    <t>1212-262294-44746</t>
  </si>
  <si>
    <t>1212-262294-44753</t>
  </si>
  <si>
    <t>1212-262294-44760</t>
  </si>
  <si>
    <t>1212-262294-44767</t>
  </si>
  <si>
    <t>1212-262294-44774</t>
  </si>
  <si>
    <t>1212-262294-44781</t>
  </si>
  <si>
    <t>1212-262294-44788</t>
  </si>
  <si>
    <t>1212-268831-44739</t>
  </si>
  <si>
    <t>1212-268831-44746</t>
  </si>
  <si>
    <t>1212-268831-44753</t>
  </si>
  <si>
    <t>1212-268831-44760</t>
  </si>
  <si>
    <t>1212-268831-44767</t>
  </si>
  <si>
    <t>1212-268831-44774</t>
  </si>
  <si>
    <t>1212-268831-44781</t>
  </si>
  <si>
    <t>1212-268831-44788</t>
  </si>
  <si>
    <t>1212-273701-44739</t>
  </si>
  <si>
    <t>1212-273701-44746</t>
  </si>
  <si>
    <t>1212-273701-44753</t>
  </si>
  <si>
    <t>1212-273701-44760</t>
  </si>
  <si>
    <t>1212-273701-44767</t>
  </si>
  <si>
    <t>1212-273701-44774</t>
  </si>
  <si>
    <t>1212-273701-44781</t>
  </si>
  <si>
    <t>1212-273701-44788</t>
  </si>
  <si>
    <t>1212-291726-44739</t>
  </si>
  <si>
    <t>1212-291726-44746</t>
  </si>
  <si>
    <t>1212-291726-44753</t>
  </si>
  <si>
    <t>1212-291726-44760</t>
  </si>
  <si>
    <t>1212-291726-44767</t>
  </si>
  <si>
    <t>1212-291726-44774</t>
  </si>
  <si>
    <t>1212-291726-44781</t>
  </si>
  <si>
    <t>1212-291726-44788</t>
  </si>
  <si>
    <t>1212-291728-44739</t>
  </si>
  <si>
    <t>1212-291728-44746</t>
  </si>
  <si>
    <t>1212-291728-44753</t>
  </si>
  <si>
    <t>1212-291728-44760</t>
  </si>
  <si>
    <t>1212-291728-44767</t>
  </si>
  <si>
    <t>1212-291728-44774</t>
  </si>
  <si>
    <t>1212-291728-44781</t>
  </si>
  <si>
    <t>1212-291728-44788</t>
  </si>
  <si>
    <t>1212-300380-32874</t>
  </si>
  <si>
    <t>1212-300380-44739</t>
  </si>
  <si>
    <t>1212-300380-44746</t>
  </si>
  <si>
    <t>1212-300380-44753</t>
  </si>
  <si>
    <t>1212-300380-44760</t>
  </si>
  <si>
    <t>1212-300380-44767</t>
  </si>
  <si>
    <t>1212-300380-44774</t>
  </si>
  <si>
    <t>1212-300380-44781</t>
  </si>
  <si>
    <t>1212-300380-44788</t>
  </si>
  <si>
    <t>1212-571521-44739</t>
  </si>
  <si>
    <t>1212-571521-44746</t>
  </si>
  <si>
    <t>1212-571521-44753</t>
  </si>
  <si>
    <t>1212-571521-44760</t>
  </si>
  <si>
    <t>1212-571521-44767</t>
  </si>
  <si>
    <t>1212-571521-44774</t>
  </si>
  <si>
    <t>1212-571521-44781</t>
  </si>
  <si>
    <t>1212-571521-44788</t>
  </si>
  <si>
    <t>1212-614993-44739</t>
  </si>
  <si>
    <t>1212-614993-44746</t>
  </si>
  <si>
    <t>1212-614993-44753</t>
  </si>
  <si>
    <t>1212-614993-44760</t>
  </si>
  <si>
    <t>1212-614993-44767</t>
  </si>
  <si>
    <t>1212-614993-44774</t>
  </si>
  <si>
    <t>1212-614993-44781</t>
  </si>
  <si>
    <t>1212-614993-44788</t>
  </si>
  <si>
    <t>1213-23393-32874</t>
  </si>
  <si>
    <t>1213-23393-44739</t>
  </si>
  <si>
    <t>1213-23393-44746</t>
  </si>
  <si>
    <t>1213-23393-44753</t>
  </si>
  <si>
    <t>1213-23393-44760</t>
  </si>
  <si>
    <t>1213-23393-44767</t>
  </si>
  <si>
    <t>1213-23393-44774</t>
  </si>
  <si>
    <t>1213-23393-44781</t>
  </si>
  <si>
    <t>1213-23393-44788</t>
  </si>
  <si>
    <t>1213-26764-44739</t>
  </si>
  <si>
    <t>1213-26764-44746</t>
  </si>
  <si>
    <t>1213-26764-44753</t>
  </si>
  <si>
    <t>1213-26764-44760</t>
  </si>
  <si>
    <t>1213-26764-44767</t>
  </si>
  <si>
    <t>1213-26764-44774</t>
  </si>
  <si>
    <t>1213-26764-44781</t>
  </si>
  <si>
    <t>1213-26764-44788</t>
  </si>
  <si>
    <t>1213-53934-44739</t>
  </si>
  <si>
    <t>1213-53934-44746</t>
  </si>
  <si>
    <t>1213-53934-44753</t>
  </si>
  <si>
    <t>1213-53934-44760</t>
  </si>
  <si>
    <t>1213-53934-44767</t>
  </si>
  <si>
    <t>1213-53934-44774</t>
  </si>
  <si>
    <t>1213-53934-44781</t>
  </si>
  <si>
    <t>1213-53934-44788</t>
  </si>
  <si>
    <t>1213-78699-44739</t>
  </si>
  <si>
    <t>1213-78699-44746</t>
  </si>
  <si>
    <t>1213-78699-44753</t>
  </si>
  <si>
    <t>1213-78699-44760</t>
  </si>
  <si>
    <t>1213-78699-44767</t>
  </si>
  <si>
    <t>1213-78699-44774</t>
  </si>
  <si>
    <t>1213-78699-44781</t>
  </si>
  <si>
    <t>1213-78699-44788</t>
  </si>
  <si>
    <t>1213-78869-44739</t>
  </si>
  <si>
    <t>1213-78869-44746</t>
  </si>
  <si>
    <t>1213-78869-44753</t>
  </si>
  <si>
    <t>1213-78869-44760</t>
  </si>
  <si>
    <t>1213-78869-44767</t>
  </si>
  <si>
    <t>1213-78869-44774</t>
  </si>
  <si>
    <t>1213-78869-44781</t>
  </si>
  <si>
    <t>1213-78869-44788</t>
  </si>
  <si>
    <t>1213-115600-32874</t>
  </si>
  <si>
    <t>1213-115600-44739</t>
  </si>
  <si>
    <t>1213-115600-44746</t>
  </si>
  <si>
    <t>1213-115600-44753</t>
  </si>
  <si>
    <t>1213-115600-44760</t>
  </si>
  <si>
    <t>1213-115600-44767</t>
  </si>
  <si>
    <t>1213-115600-44774</t>
  </si>
  <si>
    <t>1213-115600-44781</t>
  </si>
  <si>
    <t>1213-115600-44788</t>
  </si>
  <si>
    <t>1213-129208-44739</t>
  </si>
  <si>
    <t>1213-129208-44746</t>
  </si>
  <si>
    <t>1213-129208-44753</t>
  </si>
  <si>
    <t>1213-129208-44760</t>
  </si>
  <si>
    <t>1213-129208-44767</t>
  </si>
  <si>
    <t>1213-129208-44774</t>
  </si>
  <si>
    <t>1213-129208-44781</t>
  </si>
  <si>
    <t>1213-129208-44788</t>
  </si>
  <si>
    <t>1213-141622-44739</t>
  </si>
  <si>
    <t>1213-141622-44746</t>
  </si>
  <si>
    <t>1213-141622-44753</t>
  </si>
  <si>
    <t>1213-141622-44760</t>
  </si>
  <si>
    <t>1213-141622-44767</t>
  </si>
  <si>
    <t>1213-141622-44774</t>
  </si>
  <si>
    <t>1213-141622-44781</t>
  </si>
  <si>
    <t>1213-141622-44788</t>
  </si>
  <si>
    <t>1213-141626-44739</t>
  </si>
  <si>
    <t>1213-141626-44746</t>
  </si>
  <si>
    <t>1213-141626-44753</t>
  </si>
  <si>
    <t>1213-141626-44760</t>
  </si>
  <si>
    <t>1213-141626-44767</t>
  </si>
  <si>
    <t>1213-141626-44774</t>
  </si>
  <si>
    <t>1213-141626-44781</t>
  </si>
  <si>
    <t>1213-141626-44788</t>
  </si>
  <si>
    <t>1213-141791-44739</t>
  </si>
  <si>
    <t>1213-141791-44746</t>
  </si>
  <si>
    <t>1213-141791-44753</t>
  </si>
  <si>
    <t>1213-141791-44760</t>
  </si>
  <si>
    <t>1213-141791-44767</t>
  </si>
  <si>
    <t>1213-141791-44774</t>
  </si>
  <si>
    <t>1213-141791-44781</t>
  </si>
  <si>
    <t>1213-141791-44788</t>
  </si>
  <si>
    <t>1213-141846-44739</t>
  </si>
  <si>
    <t>1213-141846-44746</t>
  </si>
  <si>
    <t>1213-141846-44753</t>
  </si>
  <si>
    <t>1213-141846-44760</t>
  </si>
  <si>
    <t>1213-141846-44767</t>
  </si>
  <si>
    <t>1213-141846-44774</t>
  </si>
  <si>
    <t>1213-141846-44781</t>
  </si>
  <si>
    <t>1213-141846-44788</t>
  </si>
  <si>
    <t>1213-141967-44739</t>
  </si>
  <si>
    <t>1213-141967-44746</t>
  </si>
  <si>
    <t>1213-141967-44753</t>
  </si>
  <si>
    <t>1213-141967-44760</t>
  </si>
  <si>
    <t>1213-141967-44767</t>
  </si>
  <si>
    <t>1213-141967-44774</t>
  </si>
  <si>
    <t>1213-141967-44781</t>
  </si>
  <si>
    <t>1213-141967-44788</t>
  </si>
  <si>
    <t>1213-142194-44739</t>
  </si>
  <si>
    <t>1213-142194-44746</t>
  </si>
  <si>
    <t>1213-142194-44753</t>
  </si>
  <si>
    <t>1213-142194-44760</t>
  </si>
  <si>
    <t>1213-142194-44767</t>
  </si>
  <si>
    <t>1213-142194-44774</t>
  </si>
  <si>
    <t>1213-142194-44781</t>
  </si>
  <si>
    <t>1213-142194-44788</t>
  </si>
  <si>
    <t>1213-149729-44739</t>
  </si>
  <si>
    <t>1213-149729-44746</t>
  </si>
  <si>
    <t>1213-149729-44753</t>
  </si>
  <si>
    <t>1213-149729-44760</t>
  </si>
  <si>
    <t>1213-149729-44767</t>
  </si>
  <si>
    <t>1213-149729-44774</t>
  </si>
  <si>
    <t>1213-149729-44781</t>
  </si>
  <si>
    <t>1213-149729-44788</t>
  </si>
  <si>
    <t>1213-149779-44739</t>
  </si>
  <si>
    <t>1213-149779-44746</t>
  </si>
  <si>
    <t>1213-149779-44753</t>
  </si>
  <si>
    <t>1213-149779-44760</t>
  </si>
  <si>
    <t>1213-149779-44767</t>
  </si>
  <si>
    <t>1213-149779-44774</t>
  </si>
  <si>
    <t>1213-149779-44781</t>
  </si>
  <si>
    <t>1213-149779-44788</t>
  </si>
  <si>
    <t>1213-189933-44739</t>
  </si>
  <si>
    <t>1213-189933-44746</t>
  </si>
  <si>
    <t>1213-189933-44753</t>
  </si>
  <si>
    <t>1213-189933-44760</t>
  </si>
  <si>
    <t>1213-189933-44767</t>
  </si>
  <si>
    <t>1213-189933-44774</t>
  </si>
  <si>
    <t>1213-189933-44781</t>
  </si>
  <si>
    <t>1213-189933-44788</t>
  </si>
  <si>
    <t>1213-202577-44739</t>
  </si>
  <si>
    <t>1213-202577-44746</t>
  </si>
  <si>
    <t>1213-202577-44753</t>
  </si>
  <si>
    <t>1213-202577-44760</t>
  </si>
  <si>
    <t>1213-202577-44767</t>
  </si>
  <si>
    <t>1213-202577-44774</t>
  </si>
  <si>
    <t>1213-202577-44781</t>
  </si>
  <si>
    <t>1213-202577-44788</t>
  </si>
  <si>
    <t>1213-234334-44739</t>
  </si>
  <si>
    <t>1213-234334-44746</t>
  </si>
  <si>
    <t>1213-234334-44753</t>
  </si>
  <si>
    <t>1213-234334-44760</t>
  </si>
  <si>
    <t>1213-234334-44767</t>
  </si>
  <si>
    <t>1213-234334-44774</t>
  </si>
  <si>
    <t>1213-234334-44781</t>
  </si>
  <si>
    <t>1213-234334-44788</t>
  </si>
  <si>
    <t>1213-249444-44739</t>
  </si>
  <si>
    <t>1213-249444-44746</t>
  </si>
  <si>
    <t>1213-249444-44753</t>
  </si>
  <si>
    <t>1213-249444-44760</t>
  </si>
  <si>
    <t>1213-249444-44767</t>
  </si>
  <si>
    <t>1213-249444-44774</t>
  </si>
  <si>
    <t>1213-249444-44781</t>
  </si>
  <si>
    <t>1213-249444-44788</t>
  </si>
  <si>
    <t>1213-249795-44739</t>
  </si>
  <si>
    <t>1213-249795-44746</t>
  </si>
  <si>
    <t>1213-249795-44753</t>
  </si>
  <si>
    <t>1213-249795-44760</t>
  </si>
  <si>
    <t>1213-249795-44767</t>
  </si>
  <si>
    <t>1213-249795-44774</t>
  </si>
  <si>
    <t>1213-249795-44781</t>
  </si>
  <si>
    <t>1213-249795-44788</t>
  </si>
  <si>
    <t>1213-250979-44739</t>
  </si>
  <si>
    <t>1213-250979-44746</t>
  </si>
  <si>
    <t>1213-250979-44753</t>
  </si>
  <si>
    <t>1213-250979-44760</t>
  </si>
  <si>
    <t>1213-250979-44767</t>
  </si>
  <si>
    <t>1213-250979-44774</t>
  </si>
  <si>
    <t>1213-250979-44781</t>
  </si>
  <si>
    <t>1213-250979-44788</t>
  </si>
  <si>
    <t>1213-250981-44739</t>
  </si>
  <si>
    <t>1213-250981-44746</t>
  </si>
  <si>
    <t>1213-250981-44753</t>
  </si>
  <si>
    <t>1213-250981-44760</t>
  </si>
  <si>
    <t>1213-250981-44767</t>
  </si>
  <si>
    <t>1213-250981-44774</t>
  </si>
  <si>
    <t>1213-250981-44781</t>
  </si>
  <si>
    <t>1213-250981-44788</t>
  </si>
  <si>
    <t>1213-262294-44739</t>
  </si>
  <si>
    <t>1213-262294-44746</t>
  </si>
  <si>
    <t>1213-262294-44753</t>
  </si>
  <si>
    <t>1213-262294-44760</t>
  </si>
  <si>
    <t>1213-262294-44767</t>
  </si>
  <si>
    <t>1213-262294-44774</t>
  </si>
  <si>
    <t>1213-262294-44781</t>
  </si>
  <si>
    <t>1213-262294-44788</t>
  </si>
  <si>
    <t>1213-268831-44739</t>
  </si>
  <si>
    <t>1213-268831-44746</t>
  </si>
  <si>
    <t>1213-268831-44753</t>
  </si>
  <si>
    <t>1213-268831-44760</t>
  </si>
  <si>
    <t>1213-268831-44767</t>
  </si>
  <si>
    <t>1213-268831-44774</t>
  </si>
  <si>
    <t>1213-268831-44781</t>
  </si>
  <si>
    <t>1213-268831-44788</t>
  </si>
  <si>
    <t>1213-273701-44739</t>
  </si>
  <si>
    <t>1213-273701-44746</t>
  </si>
  <si>
    <t>1213-273701-44753</t>
  </si>
  <si>
    <t>1213-273701-44760</t>
  </si>
  <si>
    <t>1213-273701-44767</t>
  </si>
  <si>
    <t>1213-273701-44774</t>
  </si>
  <si>
    <t>1213-273701-44781</t>
  </si>
  <si>
    <t>1213-273701-44788</t>
  </si>
  <si>
    <t>1213-291726-44739</t>
  </si>
  <si>
    <t>1213-291726-44746</t>
  </si>
  <si>
    <t>1213-291726-44753</t>
  </si>
  <si>
    <t>1213-291726-44760</t>
  </si>
  <si>
    <t>1213-291726-44767</t>
  </si>
  <si>
    <t>1213-291726-44774</t>
  </si>
  <si>
    <t>1213-291726-44781</t>
  </si>
  <si>
    <t>1213-291726-44788</t>
  </si>
  <si>
    <t>1213-291728-44739</t>
  </si>
  <si>
    <t>1213-291728-44746</t>
  </si>
  <si>
    <t>1213-291728-44753</t>
  </si>
  <si>
    <t>1213-291728-44760</t>
  </si>
  <si>
    <t>1213-291728-44767</t>
  </si>
  <si>
    <t>1213-291728-44774</t>
  </si>
  <si>
    <t>1213-291728-44781</t>
  </si>
  <si>
    <t>1213-291728-44788</t>
  </si>
  <si>
    <t>1213-300380-44739</t>
  </si>
  <si>
    <t>1213-300380-44746</t>
  </si>
  <si>
    <t>1213-300380-44753</t>
  </si>
  <si>
    <t>1213-300380-44760</t>
  </si>
  <si>
    <t>1213-300380-44767</t>
  </si>
  <si>
    <t>1213-300380-44774</t>
  </si>
  <si>
    <t>1213-300380-44781</t>
  </si>
  <si>
    <t>1213-300380-44788</t>
  </si>
  <si>
    <t>1213-571521-44739</t>
  </si>
  <si>
    <t>1213-571521-44746</t>
  </si>
  <si>
    <t>1213-571521-44753</t>
  </si>
  <si>
    <t>1213-571521-44760</t>
  </si>
  <si>
    <t>1213-571521-44767</t>
  </si>
  <si>
    <t>1213-571521-44774</t>
  </si>
  <si>
    <t>1213-571521-44781</t>
  </si>
  <si>
    <t>1213-571521-44788</t>
  </si>
  <si>
    <t>1213-614993-44739</t>
  </si>
  <si>
    <t>1213-614993-44746</t>
  </si>
  <si>
    <t>1213-614993-44753</t>
  </si>
  <si>
    <t>1213-614993-44760</t>
  </si>
  <si>
    <t>1213-614993-44767</t>
  </si>
  <si>
    <t>1213-614993-44774</t>
  </si>
  <si>
    <t>1213-614993-44781</t>
  </si>
  <si>
    <t>1213-614993-44788</t>
  </si>
  <si>
    <t>1214-23393-32874</t>
  </si>
  <si>
    <t>1214-23393-44739</t>
  </si>
  <si>
    <t>1214-23393-44746</t>
  </si>
  <si>
    <t>1214-23393-44753</t>
  </si>
  <si>
    <t>1214-23393-44760</t>
  </si>
  <si>
    <t>1214-23393-44767</t>
  </si>
  <si>
    <t>1214-23393-44774</t>
  </si>
  <si>
    <t>1214-23393-44781</t>
  </si>
  <si>
    <t>1214-23393-44788</t>
  </si>
  <si>
    <t>1214-26764-44739</t>
  </si>
  <si>
    <t>1214-26764-44746</t>
  </si>
  <si>
    <t>1214-26764-44753</t>
  </si>
  <si>
    <t>1214-26764-44760</t>
  </si>
  <si>
    <t>1214-26764-44767</t>
  </si>
  <si>
    <t>1214-26764-44774</t>
  </si>
  <si>
    <t>1214-26764-44781</t>
  </si>
  <si>
    <t>1214-26764-44788</t>
  </si>
  <si>
    <t>1214-53934-44739</t>
  </si>
  <si>
    <t>1214-53934-44746</t>
  </si>
  <si>
    <t>1214-53934-44753</t>
  </si>
  <si>
    <t>1214-53934-44760</t>
  </si>
  <si>
    <t>1214-53934-44767</t>
  </si>
  <si>
    <t>1214-53934-44774</t>
  </si>
  <si>
    <t>1214-53934-44781</t>
  </si>
  <si>
    <t>1214-53934-44788</t>
  </si>
  <si>
    <t>1214-78699-44739</t>
  </si>
  <si>
    <t>1214-78699-44746</t>
  </si>
  <si>
    <t>1214-78699-44753</t>
  </si>
  <si>
    <t>1214-78699-44760</t>
  </si>
  <si>
    <t>1214-78699-44767</t>
  </si>
  <si>
    <t>1214-78699-44774</t>
  </si>
  <si>
    <t>1214-78699-44781</t>
  </si>
  <si>
    <t>1214-78699-44788</t>
  </si>
  <si>
    <t>1214-78869-44739</t>
  </si>
  <si>
    <t>1214-78869-44746</t>
  </si>
  <si>
    <t>1214-78869-44753</t>
  </si>
  <si>
    <t>1214-78869-44760</t>
  </si>
  <si>
    <t>1214-78869-44767</t>
  </si>
  <si>
    <t>1214-78869-44774</t>
  </si>
  <si>
    <t>1214-78869-44781</t>
  </si>
  <si>
    <t>1214-78869-44788</t>
  </si>
  <si>
    <t>1214-115600-32874</t>
  </si>
  <si>
    <t>1214-115600-44739</t>
  </si>
  <si>
    <t>1214-115600-44746</t>
  </si>
  <si>
    <t>1214-115600-44753</t>
  </si>
  <si>
    <t>1214-115600-44760</t>
  </si>
  <si>
    <t>1214-115600-44767</t>
  </si>
  <si>
    <t>1214-115600-44774</t>
  </si>
  <si>
    <t>1214-115600-44781</t>
  </si>
  <si>
    <t>1214-115600-44788</t>
  </si>
  <si>
    <t>1214-129208-32874</t>
  </si>
  <si>
    <t>1214-129208-44739</t>
  </si>
  <si>
    <t>1214-129208-44746</t>
  </si>
  <si>
    <t>1214-129208-44753</t>
  </si>
  <si>
    <t>1214-129208-44760</t>
  </si>
  <si>
    <t>1214-129208-44767</t>
  </si>
  <si>
    <t>1214-129208-44774</t>
  </si>
  <si>
    <t>1214-129208-44781</t>
  </si>
  <si>
    <t>1214-129208-44788</t>
  </si>
  <si>
    <t>1214-141622-44739</t>
  </si>
  <si>
    <t>1214-141622-44746</t>
  </si>
  <si>
    <t>1214-141622-44753</t>
  </si>
  <si>
    <t>1214-141622-44760</t>
  </si>
  <si>
    <t>1214-141622-44767</t>
  </si>
  <si>
    <t>1214-141622-44774</t>
  </si>
  <si>
    <t>1214-141622-44781</t>
  </si>
  <si>
    <t>1214-141622-44788</t>
  </si>
  <si>
    <t>1214-141626-44739</t>
  </si>
  <si>
    <t>1214-141626-44746</t>
  </si>
  <si>
    <t>1214-141626-44753</t>
  </si>
  <si>
    <t>1214-141626-44760</t>
  </si>
  <si>
    <t>1214-141626-44767</t>
  </si>
  <si>
    <t>1214-141626-44774</t>
  </si>
  <si>
    <t>1214-141626-44781</t>
  </si>
  <si>
    <t>1214-141626-44788</t>
  </si>
  <si>
    <t>1214-141791-44739</t>
  </si>
  <si>
    <t>1214-141791-44746</t>
  </si>
  <si>
    <t>1214-141791-44753</t>
  </si>
  <si>
    <t>1214-141791-44760</t>
  </si>
  <si>
    <t>1214-141791-44767</t>
  </si>
  <si>
    <t>1214-141791-44774</t>
  </si>
  <si>
    <t>1214-141791-44781</t>
  </si>
  <si>
    <t>1214-141791-44788</t>
  </si>
  <si>
    <t>1214-141846-44739</t>
  </si>
  <si>
    <t>1214-141846-44746</t>
  </si>
  <si>
    <t>1214-141846-44753</t>
  </si>
  <si>
    <t>1214-141846-44760</t>
  </si>
  <si>
    <t>1214-141846-44767</t>
  </si>
  <si>
    <t>1214-141846-44774</t>
  </si>
  <si>
    <t>1214-141846-44781</t>
  </si>
  <si>
    <t>1214-141846-44788</t>
  </si>
  <si>
    <t>1214-141967-44739</t>
  </si>
  <si>
    <t>1214-141967-44746</t>
  </si>
  <si>
    <t>1214-141967-44753</t>
  </si>
  <si>
    <t>1214-141967-44760</t>
  </si>
  <si>
    <t>1214-141967-44767</t>
  </si>
  <si>
    <t>1214-141967-44774</t>
  </si>
  <si>
    <t>1214-141967-44781</t>
  </si>
  <si>
    <t>1214-141967-44788</t>
  </si>
  <si>
    <t>1214-142194-44739</t>
  </si>
  <si>
    <t>1214-142194-44746</t>
  </si>
  <si>
    <t>1214-142194-44753</t>
  </si>
  <si>
    <t>1214-142194-44760</t>
  </si>
  <si>
    <t>1214-142194-44767</t>
  </si>
  <si>
    <t>1214-142194-44774</t>
  </si>
  <si>
    <t>1214-142194-44781</t>
  </si>
  <si>
    <t>1214-142194-44788</t>
  </si>
  <si>
    <t>1214-149729-44739</t>
  </si>
  <si>
    <t>1214-149729-44746</t>
  </si>
  <si>
    <t>1214-149729-44753</t>
  </si>
  <si>
    <t>1214-149729-44760</t>
  </si>
  <si>
    <t>1214-149729-44767</t>
  </si>
  <si>
    <t>1214-149729-44774</t>
  </si>
  <si>
    <t>1214-149729-44781</t>
  </si>
  <si>
    <t>1214-149729-44788</t>
  </si>
  <si>
    <t>1214-149779-44739</t>
  </si>
  <si>
    <t>1214-149779-44746</t>
  </si>
  <si>
    <t>1214-149779-44753</t>
  </si>
  <si>
    <t>1214-149779-44760</t>
  </si>
  <si>
    <t>1214-149779-44767</t>
  </si>
  <si>
    <t>1214-149779-44774</t>
  </si>
  <si>
    <t>1214-149779-44781</t>
  </si>
  <si>
    <t>1214-149779-44788</t>
  </si>
  <si>
    <t>1214-189933-44739</t>
  </si>
  <si>
    <t>1214-189933-44746</t>
  </si>
  <si>
    <t>1214-189933-44753</t>
  </si>
  <si>
    <t>1214-189933-44760</t>
  </si>
  <si>
    <t>1214-189933-44767</t>
  </si>
  <si>
    <t>1214-189933-44774</t>
  </si>
  <si>
    <t>1214-189933-44781</t>
  </si>
  <si>
    <t>1214-189933-44788</t>
  </si>
  <si>
    <t>1214-202577-44739</t>
  </si>
  <si>
    <t>1214-202577-44746</t>
  </si>
  <si>
    <t>1214-202577-44753</t>
  </si>
  <si>
    <t>1214-202577-44760</t>
  </si>
  <si>
    <t>1214-202577-44767</t>
  </si>
  <si>
    <t>1214-202577-44774</t>
  </si>
  <si>
    <t>1214-202577-44781</t>
  </si>
  <si>
    <t>1214-202577-44788</t>
  </si>
  <si>
    <t>1214-234334-44739</t>
  </si>
  <si>
    <t>1214-234334-44746</t>
  </si>
  <si>
    <t>1214-234334-44753</t>
  </si>
  <si>
    <t>1214-234334-44760</t>
  </si>
  <si>
    <t>1214-234334-44767</t>
  </si>
  <si>
    <t>1214-234334-44774</t>
  </si>
  <si>
    <t>1214-234334-44781</t>
  </si>
  <si>
    <t>1214-234334-44788</t>
  </si>
  <si>
    <t>1214-249444-44739</t>
  </si>
  <si>
    <t>1214-249444-44746</t>
  </si>
  <si>
    <t>1214-249444-44753</t>
  </si>
  <si>
    <t>1214-249444-44760</t>
  </si>
  <si>
    <t>1214-249444-44767</t>
  </si>
  <si>
    <t>1214-249444-44774</t>
  </si>
  <si>
    <t>1214-249444-44781</t>
  </si>
  <si>
    <t>1214-249444-44788</t>
  </si>
  <si>
    <t>1214-249795-44739</t>
  </si>
  <si>
    <t>1214-249795-44746</t>
  </si>
  <si>
    <t>1214-249795-44753</t>
  </si>
  <si>
    <t>1214-249795-44760</t>
  </si>
  <si>
    <t>1214-249795-44767</t>
  </si>
  <si>
    <t>1214-249795-44774</t>
  </si>
  <si>
    <t>1214-249795-44781</t>
  </si>
  <si>
    <t>1214-249795-44788</t>
  </si>
  <si>
    <t>1214-250979-44739</t>
  </si>
  <si>
    <t>1214-250979-44746</t>
  </si>
  <si>
    <t>1214-250979-44753</t>
  </si>
  <si>
    <t>1214-250979-44760</t>
  </si>
  <si>
    <t>1214-250979-44767</t>
  </si>
  <si>
    <t>1214-250979-44774</t>
  </si>
  <si>
    <t>1214-250979-44781</t>
  </si>
  <si>
    <t>1214-250979-44788</t>
  </si>
  <si>
    <t>1214-250981-44739</t>
  </si>
  <si>
    <t>1214-250981-44746</t>
  </si>
  <si>
    <t>1214-250981-44753</t>
  </si>
  <si>
    <t>1214-250981-44760</t>
  </si>
  <si>
    <t>1214-250981-44767</t>
  </si>
  <si>
    <t>1214-250981-44774</t>
  </si>
  <si>
    <t>1214-250981-44781</t>
  </si>
  <si>
    <t>1214-250981-44788</t>
  </si>
  <si>
    <t>1214-262294-44739</t>
  </si>
  <si>
    <t>1214-262294-44746</t>
  </si>
  <si>
    <t>1214-262294-44753</t>
  </si>
  <si>
    <t>1214-262294-44760</t>
  </si>
  <si>
    <t>1214-262294-44767</t>
  </si>
  <si>
    <t>1214-262294-44774</t>
  </si>
  <si>
    <t>1214-262294-44781</t>
  </si>
  <si>
    <t>1214-262294-44788</t>
  </si>
  <si>
    <t>1214-268831-44739</t>
  </si>
  <si>
    <t>1214-268831-44746</t>
  </si>
  <si>
    <t>1214-268831-44753</t>
  </si>
  <si>
    <t>1214-268831-44760</t>
  </si>
  <si>
    <t>1214-268831-44767</t>
  </si>
  <si>
    <t>1214-268831-44774</t>
  </si>
  <si>
    <t>1214-268831-44781</t>
  </si>
  <si>
    <t>1214-268831-44788</t>
  </si>
  <si>
    <t>1214-273701-44739</t>
  </si>
  <si>
    <t>1214-273701-44746</t>
  </si>
  <si>
    <t>1214-273701-44753</t>
  </si>
  <si>
    <t>1214-273701-44760</t>
  </si>
  <si>
    <t>1214-273701-44767</t>
  </si>
  <si>
    <t>1214-273701-44774</t>
  </si>
  <si>
    <t>1214-273701-44781</t>
  </si>
  <si>
    <t>1214-273701-44788</t>
  </si>
  <si>
    <t>1214-291726-44739</t>
  </si>
  <si>
    <t>1214-291726-44746</t>
  </si>
  <si>
    <t>1214-291726-44753</t>
  </si>
  <si>
    <t>1214-291726-44760</t>
  </si>
  <si>
    <t>1214-291726-44767</t>
  </si>
  <si>
    <t>1214-291726-44774</t>
  </si>
  <si>
    <t>1214-291726-44781</t>
  </si>
  <si>
    <t>1214-291726-44788</t>
  </si>
  <si>
    <t>1214-291728-44739</t>
  </si>
  <si>
    <t>1214-291728-44746</t>
  </si>
  <si>
    <t>1214-291728-44753</t>
  </si>
  <si>
    <t>1214-291728-44760</t>
  </si>
  <si>
    <t>1214-291728-44767</t>
  </si>
  <si>
    <t>1214-291728-44774</t>
  </si>
  <si>
    <t>1214-291728-44781</t>
  </si>
  <si>
    <t>1214-291728-44788</t>
  </si>
  <si>
    <t>1214-300380-44739</t>
  </si>
  <si>
    <t>1214-300380-44746</t>
  </si>
  <si>
    <t>1214-300380-44753</t>
  </si>
  <si>
    <t>1214-300380-44760</t>
  </si>
  <si>
    <t>1214-300380-44767</t>
  </si>
  <si>
    <t>1214-300380-44774</t>
  </si>
  <si>
    <t>1214-300380-44781</t>
  </si>
  <si>
    <t>1214-300380-44788</t>
  </si>
  <si>
    <t>1214-571521-44739</t>
  </si>
  <si>
    <t>1214-571521-44746</t>
  </si>
  <si>
    <t>1214-571521-44753</t>
  </si>
  <si>
    <t>1214-571521-44760</t>
  </si>
  <si>
    <t>1214-571521-44767</t>
  </si>
  <si>
    <t>1214-571521-44774</t>
  </si>
  <si>
    <t>1214-571521-44781</t>
  </si>
  <si>
    <t>1214-571521-44788</t>
  </si>
  <si>
    <t>1214-614993-44739</t>
  </si>
  <si>
    <t>1214-614993-44746</t>
  </si>
  <si>
    <t>1214-614993-44753</t>
  </si>
  <si>
    <t>1214-614993-44760</t>
  </si>
  <si>
    <t>1214-614993-44767</t>
  </si>
  <si>
    <t>1214-614993-44774</t>
  </si>
  <si>
    <t>1214-614993-44781</t>
  </si>
  <si>
    <t>1214-614993-44788</t>
  </si>
  <si>
    <t>1216-23393-32874</t>
  </si>
  <si>
    <t>1216-23393-44739</t>
  </si>
  <si>
    <t>1216-23393-44746</t>
  </si>
  <si>
    <t>1216-23393-44753</t>
  </si>
  <si>
    <t>1216-23393-44760</t>
  </si>
  <si>
    <t>1216-23393-44767</t>
  </si>
  <si>
    <t>1216-23393-44774</t>
  </si>
  <si>
    <t>1216-23393-44781</t>
  </si>
  <si>
    <t>1216-23393-44788</t>
  </si>
  <si>
    <t>1216-26764-44739</t>
  </si>
  <si>
    <t>1216-26764-44746</t>
  </si>
  <si>
    <t>1216-26764-44753</t>
  </si>
  <si>
    <t>1216-26764-44760</t>
  </si>
  <si>
    <t>1216-26764-44767</t>
  </si>
  <si>
    <t>1216-26764-44774</t>
  </si>
  <si>
    <t>1216-26764-44781</t>
  </si>
  <si>
    <t>1216-26764-44788</t>
  </si>
  <si>
    <t>1216-53934-44739</t>
  </si>
  <si>
    <t>1216-53934-44746</t>
  </si>
  <si>
    <t>1216-53934-44753</t>
  </si>
  <si>
    <t>1216-53934-44760</t>
  </si>
  <si>
    <t>1216-53934-44767</t>
  </si>
  <si>
    <t>1216-53934-44774</t>
  </si>
  <si>
    <t>1216-53934-44781</t>
  </si>
  <si>
    <t>1216-53934-44788</t>
  </si>
  <si>
    <t>1216-78699-44739</t>
  </si>
  <si>
    <t>1216-78699-44746</t>
  </si>
  <si>
    <t>1216-78699-44753</t>
  </si>
  <si>
    <t>1216-78699-44760</t>
  </si>
  <si>
    <t>1216-78699-44767</t>
  </si>
  <si>
    <t>1216-78699-44774</t>
  </si>
  <si>
    <t>1216-78699-44781</t>
  </si>
  <si>
    <t>1216-78699-44788</t>
  </si>
  <si>
    <t>1216-78869-44739</t>
  </si>
  <si>
    <t>1216-78869-44746</t>
  </si>
  <si>
    <t>1216-78869-44753</t>
  </si>
  <si>
    <t>1216-78869-44760</t>
  </si>
  <si>
    <t>1216-78869-44767</t>
  </si>
  <si>
    <t>1216-78869-44774</t>
  </si>
  <si>
    <t>1216-78869-44781</t>
  </si>
  <si>
    <t>1216-78869-44788</t>
  </si>
  <si>
    <t>1216-115600-32874</t>
  </si>
  <si>
    <t>1216-115600-44739</t>
  </si>
  <si>
    <t>1216-115600-44746</t>
  </si>
  <si>
    <t>1216-115600-44753</t>
  </si>
  <si>
    <t>1216-115600-44760</t>
  </si>
  <si>
    <t>1216-115600-44767</t>
  </si>
  <si>
    <t>1216-115600-44774</t>
  </si>
  <si>
    <t>1216-115600-44781</t>
  </si>
  <si>
    <t>1216-115600-44788</t>
  </si>
  <si>
    <t>1216-129208-32874</t>
  </si>
  <si>
    <t>1216-129208-44739</t>
  </si>
  <si>
    <t>1216-129208-44746</t>
  </si>
  <si>
    <t>1216-129208-44753</t>
  </si>
  <si>
    <t>1216-129208-44760</t>
  </si>
  <si>
    <t>1216-129208-44767</t>
  </si>
  <si>
    <t>1216-129208-44774</t>
  </si>
  <si>
    <t>1216-129208-44781</t>
  </si>
  <si>
    <t>1216-129208-44788</t>
  </si>
  <si>
    <t>1216-141622-44739</t>
  </si>
  <si>
    <t>1216-141622-44746</t>
  </si>
  <si>
    <t>1216-141622-44753</t>
  </si>
  <si>
    <t>1216-141622-44760</t>
  </si>
  <si>
    <t>1216-141622-44767</t>
  </si>
  <si>
    <t>1216-141622-44774</t>
  </si>
  <si>
    <t>1216-141622-44781</t>
  </si>
  <si>
    <t>1216-141622-44788</t>
  </si>
  <si>
    <t>1216-141626-44739</t>
  </si>
  <si>
    <t>1216-141626-44746</t>
  </si>
  <si>
    <t>1216-141626-44753</t>
  </si>
  <si>
    <t>1216-141626-44760</t>
  </si>
  <si>
    <t>1216-141626-44767</t>
  </si>
  <si>
    <t>1216-141626-44774</t>
  </si>
  <si>
    <t>1216-141626-44781</t>
  </si>
  <si>
    <t>1216-141626-44788</t>
  </si>
  <si>
    <t>1216-141791-44739</t>
  </si>
  <si>
    <t>1216-141791-44746</t>
  </si>
  <si>
    <t>1216-141791-44753</t>
  </si>
  <si>
    <t>1216-141791-44760</t>
  </si>
  <si>
    <t>1216-141791-44767</t>
  </si>
  <si>
    <t>1216-141791-44774</t>
  </si>
  <si>
    <t>1216-141791-44781</t>
  </si>
  <si>
    <t>1216-141791-44788</t>
  </si>
  <si>
    <t>1216-141846-44739</t>
  </si>
  <si>
    <t>1216-141846-44746</t>
  </si>
  <si>
    <t>1216-141846-44753</t>
  </si>
  <si>
    <t>1216-141846-44760</t>
  </si>
  <si>
    <t>1216-141846-44767</t>
  </si>
  <si>
    <t>1216-141846-44774</t>
  </si>
  <si>
    <t>1216-141846-44781</t>
  </si>
  <si>
    <t>1216-141846-44788</t>
  </si>
  <si>
    <t>1216-141967-44739</t>
  </si>
  <si>
    <t>1216-141967-44746</t>
  </si>
  <si>
    <t>1216-141967-44753</t>
  </si>
  <si>
    <t>1216-141967-44760</t>
  </si>
  <si>
    <t>1216-141967-44767</t>
  </si>
  <si>
    <t>1216-141967-44774</t>
  </si>
  <si>
    <t>1216-141967-44781</t>
  </si>
  <si>
    <t>1216-141967-44788</t>
  </si>
  <si>
    <t>1216-142194-44739</t>
  </si>
  <si>
    <t>1216-142194-44746</t>
  </si>
  <si>
    <t>1216-142194-44753</t>
  </si>
  <si>
    <t>1216-142194-44760</t>
  </si>
  <si>
    <t>1216-142194-44767</t>
  </si>
  <si>
    <t>1216-142194-44774</t>
  </si>
  <si>
    <t>1216-142194-44781</t>
  </si>
  <si>
    <t>1216-142194-44788</t>
  </si>
  <si>
    <t>1216-149729-44739</t>
  </si>
  <si>
    <t>1216-149729-44746</t>
  </si>
  <si>
    <t>1216-149729-44753</t>
  </si>
  <si>
    <t>1216-149729-44760</t>
  </si>
  <si>
    <t>1216-149729-44767</t>
  </si>
  <si>
    <t>1216-149729-44774</t>
  </si>
  <si>
    <t>1216-149729-44781</t>
  </si>
  <si>
    <t>1216-149729-44788</t>
  </si>
  <si>
    <t>1216-149779-44739</t>
  </si>
  <si>
    <t>1216-149779-44746</t>
  </si>
  <si>
    <t>1216-149779-44753</t>
  </si>
  <si>
    <t>1216-149779-44760</t>
  </si>
  <si>
    <t>1216-149779-44767</t>
  </si>
  <si>
    <t>1216-149779-44774</t>
  </si>
  <si>
    <t>1216-149779-44781</t>
  </si>
  <si>
    <t>1216-149779-44788</t>
  </si>
  <si>
    <t>1216-189933-44739</t>
  </si>
  <si>
    <t>1216-189933-44746</t>
  </si>
  <si>
    <t>1216-189933-44753</t>
  </si>
  <si>
    <t>1216-189933-44760</t>
  </si>
  <si>
    <t>1216-189933-44767</t>
  </si>
  <si>
    <t>1216-189933-44774</t>
  </si>
  <si>
    <t>1216-189933-44781</t>
  </si>
  <si>
    <t>1216-189933-44788</t>
  </si>
  <si>
    <t>1216-202577-44739</t>
  </si>
  <si>
    <t>1216-202577-44746</t>
  </si>
  <si>
    <t>1216-202577-44753</t>
  </si>
  <si>
    <t>1216-202577-44760</t>
  </si>
  <si>
    <t>1216-202577-44767</t>
  </si>
  <si>
    <t>1216-202577-44774</t>
  </si>
  <si>
    <t>1216-202577-44781</t>
  </si>
  <si>
    <t>1216-202577-44788</t>
  </si>
  <si>
    <t>1216-234334-44739</t>
  </si>
  <si>
    <t>1216-234334-44746</t>
  </si>
  <si>
    <t>1216-234334-44753</t>
  </si>
  <si>
    <t>1216-234334-44760</t>
  </si>
  <si>
    <t>1216-234334-44767</t>
  </si>
  <si>
    <t>1216-234334-44774</t>
  </si>
  <si>
    <t>1216-234334-44781</t>
  </si>
  <si>
    <t>1216-234334-44788</t>
  </si>
  <si>
    <t>1216-249444-44739</t>
  </si>
  <si>
    <t>1216-249444-44746</t>
  </si>
  <si>
    <t>1216-249444-44753</t>
  </si>
  <si>
    <t>1216-249444-44760</t>
  </si>
  <si>
    <t>1216-249444-44767</t>
  </si>
  <si>
    <t>1216-249444-44774</t>
  </si>
  <si>
    <t>1216-249444-44781</t>
  </si>
  <si>
    <t>1216-249444-44788</t>
  </si>
  <si>
    <t>1216-249795-44739</t>
  </si>
  <si>
    <t>1216-249795-44746</t>
  </si>
  <si>
    <t>1216-249795-44753</t>
  </si>
  <si>
    <t>1216-249795-44760</t>
  </si>
  <si>
    <t>1216-249795-44767</t>
  </si>
  <si>
    <t>1216-249795-44774</t>
  </si>
  <si>
    <t>1216-249795-44781</t>
  </si>
  <si>
    <t>1216-249795-44788</t>
  </si>
  <si>
    <t>1216-250979-44739</t>
  </si>
  <si>
    <t>1216-250979-44746</t>
  </si>
  <si>
    <t>1216-250979-44753</t>
  </si>
  <si>
    <t>1216-250979-44760</t>
  </si>
  <si>
    <t>1216-250979-44767</t>
  </si>
  <si>
    <t>1216-250979-44774</t>
  </si>
  <si>
    <t>1216-250979-44781</t>
  </si>
  <si>
    <t>1216-250979-44788</t>
  </si>
  <si>
    <t>1216-250981-44739</t>
  </si>
  <si>
    <t>1216-250981-44746</t>
  </si>
  <si>
    <t>1216-250981-44753</t>
  </si>
  <si>
    <t>1216-250981-44760</t>
  </si>
  <si>
    <t>1216-250981-44767</t>
  </si>
  <si>
    <t>1216-250981-44774</t>
  </si>
  <si>
    <t>1216-250981-44781</t>
  </si>
  <si>
    <t>1216-250981-44788</t>
  </si>
  <si>
    <t>1216-262294-44739</t>
  </si>
  <si>
    <t>1216-262294-44746</t>
  </si>
  <si>
    <t>1216-262294-44753</t>
  </si>
  <si>
    <t>1216-262294-44760</t>
  </si>
  <si>
    <t>1216-262294-44767</t>
  </si>
  <si>
    <t>1216-262294-44774</t>
  </si>
  <si>
    <t>1216-262294-44781</t>
  </si>
  <si>
    <t>1216-262294-44788</t>
  </si>
  <si>
    <t>1216-268831-44739</t>
  </si>
  <si>
    <t>1216-268831-44746</t>
  </si>
  <si>
    <t>1216-268831-44753</t>
  </si>
  <si>
    <t>1216-268831-44760</t>
  </si>
  <si>
    <t>1216-268831-44767</t>
  </si>
  <si>
    <t>1216-268831-44774</t>
  </si>
  <si>
    <t>1216-268831-44781</t>
  </si>
  <si>
    <t>1216-268831-44788</t>
  </si>
  <si>
    <t>1216-273701-44739</t>
  </si>
  <si>
    <t>1216-273701-44746</t>
  </si>
  <si>
    <t>1216-273701-44753</t>
  </si>
  <si>
    <t>1216-273701-44760</t>
  </si>
  <si>
    <t>1216-273701-44767</t>
  </si>
  <si>
    <t>1216-273701-44774</t>
  </si>
  <si>
    <t>1216-273701-44781</t>
  </si>
  <si>
    <t>1216-273701-44788</t>
  </si>
  <si>
    <t>1216-291726-44739</t>
  </si>
  <si>
    <t>1216-291726-44746</t>
  </si>
  <si>
    <t>1216-291726-44753</t>
  </si>
  <si>
    <t>1216-291726-44760</t>
  </si>
  <si>
    <t>1216-291726-44767</t>
  </si>
  <si>
    <t>1216-291726-44774</t>
  </si>
  <si>
    <t>1216-291726-44781</t>
  </si>
  <si>
    <t>1216-291726-44788</t>
  </si>
  <si>
    <t>1216-291728-44739</t>
  </si>
  <si>
    <t>1216-291728-44746</t>
  </si>
  <si>
    <t>1216-291728-44753</t>
  </si>
  <si>
    <t>1216-291728-44760</t>
  </si>
  <si>
    <t>1216-291728-44767</t>
  </si>
  <si>
    <t>1216-291728-44774</t>
  </si>
  <si>
    <t>1216-291728-44781</t>
  </si>
  <si>
    <t>1216-291728-44788</t>
  </si>
  <si>
    <t>1216-300380-44739</t>
  </si>
  <si>
    <t>1216-300380-44746</t>
  </si>
  <si>
    <t>1216-300380-44753</t>
  </si>
  <si>
    <t>1216-300380-44760</t>
  </si>
  <si>
    <t>1216-300380-44767</t>
  </si>
  <si>
    <t>1216-300380-44774</t>
  </si>
  <si>
    <t>1216-300380-44781</t>
  </si>
  <si>
    <t>1216-300380-44788</t>
  </si>
  <si>
    <t>1216-614993-44739</t>
  </si>
  <si>
    <t>1216-614993-44746</t>
  </si>
  <si>
    <t>1216-614993-44753</t>
  </si>
  <si>
    <t>1216-614993-44760</t>
  </si>
  <si>
    <t>1216-614993-44767</t>
  </si>
  <si>
    <t>1216-614993-44774</t>
  </si>
  <si>
    <t>1216-614993-44781</t>
  </si>
  <si>
    <t>1216-614993-44788</t>
  </si>
  <si>
    <t>1218-23393-32874</t>
  </si>
  <si>
    <t>1218-23393-44739</t>
  </si>
  <si>
    <t>1218-23393-44746</t>
  </si>
  <si>
    <t>1218-23393-44753</t>
  </si>
  <si>
    <t>1218-23393-44760</t>
  </si>
  <si>
    <t>1218-23393-44767</t>
  </si>
  <si>
    <t>1218-23393-44774</t>
  </si>
  <si>
    <t>1218-23393-44781</t>
  </si>
  <si>
    <t>1218-23393-44788</t>
  </si>
  <si>
    <t>1218-26764-44739</t>
  </si>
  <si>
    <t>1218-26764-44746</t>
  </si>
  <si>
    <t>1218-26764-44753</t>
  </si>
  <si>
    <t>1218-26764-44760</t>
  </si>
  <si>
    <t>1218-26764-44767</t>
  </si>
  <si>
    <t>1218-26764-44774</t>
  </si>
  <si>
    <t>1218-26764-44781</t>
  </si>
  <si>
    <t>1218-26764-44788</t>
  </si>
  <si>
    <t>1218-53934-44739</t>
  </si>
  <si>
    <t>1218-53934-44746</t>
  </si>
  <si>
    <t>1218-53934-44753</t>
  </si>
  <si>
    <t>1218-53934-44760</t>
  </si>
  <si>
    <t>1218-53934-44767</t>
  </si>
  <si>
    <t>1218-53934-44774</t>
  </si>
  <si>
    <t>1218-53934-44781</t>
  </si>
  <si>
    <t>1218-53934-44788</t>
  </si>
  <si>
    <t>1218-78699-44739</t>
  </si>
  <si>
    <t>1218-78699-44746</t>
  </si>
  <si>
    <t>1218-78699-44753</t>
  </si>
  <si>
    <t>1218-78699-44760</t>
  </si>
  <si>
    <t>1218-78699-44767</t>
  </si>
  <si>
    <t>1218-78699-44774</t>
  </si>
  <si>
    <t>1218-78699-44781</t>
  </si>
  <si>
    <t>1218-78699-44788</t>
  </si>
  <si>
    <t>1218-78869-44739</t>
  </si>
  <si>
    <t>1218-78869-44746</t>
  </si>
  <si>
    <t>1218-78869-44753</t>
  </si>
  <si>
    <t>1218-78869-44760</t>
  </si>
  <si>
    <t>1218-78869-44767</t>
  </si>
  <si>
    <t>1218-78869-44774</t>
  </si>
  <si>
    <t>1218-78869-44781</t>
  </si>
  <si>
    <t>1218-78869-44788</t>
  </si>
  <si>
    <t>1218-115600-32874</t>
  </si>
  <si>
    <t>1218-115600-44739</t>
  </si>
  <si>
    <t>1218-115600-44746</t>
  </si>
  <si>
    <t>1218-115600-44753</t>
  </si>
  <si>
    <t>1218-115600-44760</t>
  </si>
  <si>
    <t>1218-115600-44767</t>
  </si>
  <si>
    <t>1218-115600-44774</t>
  </si>
  <si>
    <t>1218-115600-44781</t>
  </si>
  <si>
    <t>1218-115600-44788</t>
  </si>
  <si>
    <t>1218-129208-32874</t>
  </si>
  <si>
    <t>1218-129208-44739</t>
  </si>
  <si>
    <t>1218-129208-44746</t>
  </si>
  <si>
    <t>1218-129208-44753</t>
  </si>
  <si>
    <t>1218-129208-44760</t>
  </si>
  <si>
    <t>1218-129208-44767</t>
  </si>
  <si>
    <t>1218-129208-44774</t>
  </si>
  <si>
    <t>1218-129208-44781</t>
  </si>
  <si>
    <t>1218-129208-44788</t>
  </si>
  <si>
    <t>1218-141622-44739</t>
  </si>
  <si>
    <t>1218-141622-44746</t>
  </si>
  <si>
    <t>1218-141622-44753</t>
  </si>
  <si>
    <t>1218-141622-44760</t>
  </si>
  <si>
    <t>1218-141622-44767</t>
  </si>
  <si>
    <t>1218-141622-44774</t>
  </si>
  <si>
    <t>1218-141622-44781</t>
  </si>
  <si>
    <t>1218-141622-44788</t>
  </si>
  <si>
    <t>1218-141626-44739</t>
  </si>
  <si>
    <t>1218-141626-44746</t>
  </si>
  <si>
    <t>1218-141626-44753</t>
  </si>
  <si>
    <t>1218-141626-44760</t>
  </si>
  <si>
    <t>1218-141626-44767</t>
  </si>
  <si>
    <t>1218-141626-44774</t>
  </si>
  <si>
    <t>1218-141626-44781</t>
  </si>
  <si>
    <t>1218-141626-44788</t>
  </si>
  <si>
    <t>1218-141791-44739</t>
  </si>
  <si>
    <t>1218-141791-44746</t>
  </si>
  <si>
    <t>1218-141791-44753</t>
  </si>
  <si>
    <t>1218-141791-44760</t>
  </si>
  <si>
    <t>1218-141791-44767</t>
  </si>
  <si>
    <t>1218-141791-44774</t>
  </si>
  <si>
    <t>1218-141791-44781</t>
  </si>
  <si>
    <t>1218-141791-44788</t>
  </si>
  <si>
    <t>1218-141846-44739</t>
  </si>
  <si>
    <t>1218-141846-44746</t>
  </si>
  <si>
    <t>1218-141846-44753</t>
  </si>
  <si>
    <t>1218-141846-44760</t>
  </si>
  <si>
    <t>1218-141846-44767</t>
  </si>
  <si>
    <t>1218-141846-44774</t>
  </si>
  <si>
    <t>1218-141846-44781</t>
  </si>
  <si>
    <t>1218-141846-44788</t>
  </si>
  <si>
    <t>1218-141967-44739</t>
  </si>
  <si>
    <t>1218-141967-44746</t>
  </si>
  <si>
    <t>1218-141967-44753</t>
  </si>
  <si>
    <t>1218-141967-44760</t>
  </si>
  <si>
    <t>1218-141967-44767</t>
  </si>
  <si>
    <t>1218-141967-44774</t>
  </si>
  <si>
    <t>1218-141967-44781</t>
  </si>
  <si>
    <t>1218-141967-44788</t>
  </si>
  <si>
    <t>1218-142194-44739</t>
  </si>
  <si>
    <t>1218-142194-44746</t>
  </si>
  <si>
    <t>1218-142194-44753</t>
  </si>
  <si>
    <t>1218-142194-44760</t>
  </si>
  <si>
    <t>1218-142194-44767</t>
  </si>
  <si>
    <t>1218-142194-44774</t>
  </si>
  <si>
    <t>1218-142194-44781</t>
  </si>
  <si>
    <t>1218-142194-44788</t>
  </si>
  <si>
    <t>1218-149729-44739</t>
  </si>
  <si>
    <t>1218-149729-44746</t>
  </si>
  <si>
    <t>1218-149729-44753</t>
  </si>
  <si>
    <t>1218-149729-44760</t>
  </si>
  <si>
    <t>1218-149729-44767</t>
  </si>
  <si>
    <t>1218-149729-44774</t>
  </si>
  <si>
    <t>1218-149729-44781</t>
  </si>
  <si>
    <t>1218-149729-44788</t>
  </si>
  <si>
    <t>1218-149779-44739</t>
  </si>
  <si>
    <t>1218-149779-44746</t>
  </si>
  <si>
    <t>1218-149779-44753</t>
  </si>
  <si>
    <t>1218-149779-44760</t>
  </si>
  <si>
    <t>1218-149779-44767</t>
  </si>
  <si>
    <t>1218-149779-44774</t>
  </si>
  <si>
    <t>1218-149779-44781</t>
  </si>
  <si>
    <t>1218-149779-44788</t>
  </si>
  <si>
    <t>1218-189933-44739</t>
  </si>
  <si>
    <t>1218-189933-44746</t>
  </si>
  <si>
    <t>1218-189933-44753</t>
  </si>
  <si>
    <t>1218-189933-44760</t>
  </si>
  <si>
    <t>1218-189933-44767</t>
  </si>
  <si>
    <t>1218-189933-44774</t>
  </si>
  <si>
    <t>1218-189933-44781</t>
  </si>
  <si>
    <t>1218-189933-44788</t>
  </si>
  <si>
    <t>1218-202577-44739</t>
  </si>
  <si>
    <t>1218-202577-44746</t>
  </si>
  <si>
    <t>1218-202577-44753</t>
  </si>
  <si>
    <t>1218-202577-44760</t>
  </si>
  <si>
    <t>1218-202577-44767</t>
  </si>
  <si>
    <t>1218-202577-44774</t>
  </si>
  <si>
    <t>1218-202577-44781</t>
  </si>
  <si>
    <t>1218-202577-44788</t>
  </si>
  <si>
    <t>1218-234334-44739</t>
  </si>
  <si>
    <t>1218-234334-44746</t>
  </si>
  <si>
    <t>1218-234334-44753</t>
  </si>
  <si>
    <t>1218-234334-44760</t>
  </si>
  <si>
    <t>1218-234334-44767</t>
  </si>
  <si>
    <t>1218-234334-44774</t>
  </si>
  <si>
    <t>1218-234334-44781</t>
  </si>
  <si>
    <t>1218-234334-44788</t>
  </si>
  <si>
    <t>1218-249444-44739</t>
  </si>
  <si>
    <t>1218-249444-44746</t>
  </si>
  <si>
    <t>1218-249444-44753</t>
  </si>
  <si>
    <t>1218-249444-44760</t>
  </si>
  <si>
    <t>1218-249444-44767</t>
  </si>
  <si>
    <t>1218-249444-44774</t>
  </si>
  <si>
    <t>1218-249444-44781</t>
  </si>
  <si>
    <t>1218-249444-44788</t>
  </si>
  <si>
    <t>1218-249795-44739</t>
  </si>
  <si>
    <t>1218-249795-44746</t>
  </si>
  <si>
    <t>1218-249795-44753</t>
  </si>
  <si>
    <t>1218-249795-44760</t>
  </si>
  <si>
    <t>1218-249795-44767</t>
  </si>
  <si>
    <t>1218-249795-44774</t>
  </si>
  <si>
    <t>1218-249795-44781</t>
  </si>
  <si>
    <t>1218-249795-44788</t>
  </si>
  <si>
    <t>1218-250979-44739</t>
  </si>
  <si>
    <t>1218-250979-44746</t>
  </si>
  <si>
    <t>1218-250979-44753</t>
  </si>
  <si>
    <t>1218-250979-44760</t>
  </si>
  <si>
    <t>1218-250979-44767</t>
  </si>
  <si>
    <t>1218-250979-44774</t>
  </si>
  <si>
    <t>1218-250979-44781</t>
  </si>
  <si>
    <t>1218-250979-44788</t>
  </si>
  <si>
    <t>1218-250981-44739</t>
  </si>
  <si>
    <t>1218-250981-44746</t>
  </si>
  <si>
    <t>1218-250981-44753</t>
  </si>
  <si>
    <t>1218-250981-44760</t>
  </si>
  <si>
    <t>1218-250981-44767</t>
  </si>
  <si>
    <t>1218-250981-44774</t>
  </si>
  <si>
    <t>1218-250981-44781</t>
  </si>
  <si>
    <t>1218-250981-44788</t>
  </si>
  <si>
    <t>1218-262294-44739</t>
  </si>
  <si>
    <t>1218-262294-44746</t>
  </si>
  <si>
    <t>1218-262294-44753</t>
  </si>
  <si>
    <t>1218-262294-44760</t>
  </si>
  <si>
    <t>1218-262294-44767</t>
  </si>
  <si>
    <t>1218-262294-44774</t>
  </si>
  <si>
    <t>1218-262294-44781</t>
  </si>
  <si>
    <t>1218-262294-44788</t>
  </si>
  <si>
    <t>1218-268831-44739</t>
  </si>
  <si>
    <t>1218-268831-44746</t>
  </si>
  <si>
    <t>1218-268831-44753</t>
  </si>
  <si>
    <t>1218-268831-44760</t>
  </si>
  <si>
    <t>1218-268831-44767</t>
  </si>
  <si>
    <t>1218-268831-44774</t>
  </si>
  <si>
    <t>1218-268831-44781</t>
  </si>
  <si>
    <t>1218-268831-44788</t>
  </si>
  <si>
    <t>1218-273701-44739</t>
  </si>
  <si>
    <t>1218-273701-44746</t>
  </si>
  <si>
    <t>1218-273701-44753</t>
  </si>
  <si>
    <t>1218-273701-44760</t>
  </si>
  <si>
    <t>1218-273701-44767</t>
  </si>
  <si>
    <t>1218-273701-44774</t>
  </si>
  <si>
    <t>1218-273701-44781</t>
  </si>
  <si>
    <t>1218-273701-44788</t>
  </si>
  <si>
    <t>1218-291726-44739</t>
  </si>
  <si>
    <t>1218-291726-44746</t>
  </si>
  <si>
    <t>1218-291726-44753</t>
  </si>
  <si>
    <t>1218-291726-44760</t>
  </si>
  <si>
    <t>1218-291726-44767</t>
  </si>
  <si>
    <t>1218-291726-44774</t>
  </si>
  <si>
    <t>1218-291726-44781</t>
  </si>
  <si>
    <t>1218-291726-44788</t>
  </si>
  <si>
    <t>1218-291728-44739</t>
  </si>
  <si>
    <t>1218-291728-44746</t>
  </si>
  <si>
    <t>1218-291728-44753</t>
  </si>
  <si>
    <t>1218-291728-44760</t>
  </si>
  <si>
    <t>1218-291728-44767</t>
  </si>
  <si>
    <t>1218-291728-44774</t>
  </si>
  <si>
    <t>1218-291728-44781</t>
  </si>
  <si>
    <t>1218-291728-44788</t>
  </si>
  <si>
    <t>1218-300380-44739</t>
  </si>
  <si>
    <t>1218-300380-44746</t>
  </si>
  <si>
    <t>1218-300380-44753</t>
  </si>
  <si>
    <t>1218-300380-44760</t>
  </si>
  <si>
    <t>1218-300380-44767</t>
  </si>
  <si>
    <t>1218-300380-44774</t>
  </si>
  <si>
    <t>1218-300380-44781</t>
  </si>
  <si>
    <t>1218-300380-44788</t>
  </si>
  <si>
    <t>1218-614993-44739</t>
  </si>
  <si>
    <t>1218-614993-44746</t>
  </si>
  <si>
    <t>1218-614993-44753</t>
  </si>
  <si>
    <t>1218-614993-44760</t>
  </si>
  <si>
    <t>1218-614993-44767</t>
  </si>
  <si>
    <t>1218-614993-44774</t>
  </si>
  <si>
    <t>1218-614993-44781</t>
  </si>
  <si>
    <t>1218-614993-44788</t>
  </si>
  <si>
    <t>1219-23393-44739</t>
  </si>
  <si>
    <t>1219-23393-44746</t>
  </si>
  <si>
    <t>1219-23393-44753</t>
  </si>
  <si>
    <t>1219-23393-44760</t>
  </si>
  <si>
    <t>1219-23393-44767</t>
  </si>
  <si>
    <t>1219-23393-44774</t>
  </si>
  <si>
    <t>1219-23393-44781</t>
  </si>
  <si>
    <t>1219-23393-44788</t>
  </si>
  <si>
    <t>1219-26764-44739</t>
  </si>
  <si>
    <t>1219-26764-44746</t>
  </si>
  <si>
    <t>1219-26764-44753</t>
  </si>
  <si>
    <t>1219-26764-44760</t>
  </si>
  <si>
    <t>1219-26764-44767</t>
  </si>
  <si>
    <t>1219-26764-44774</t>
  </si>
  <si>
    <t>1219-26764-44781</t>
  </si>
  <si>
    <t>1219-26764-44788</t>
  </si>
  <si>
    <t>1219-53934-44739</t>
  </si>
  <si>
    <t>1219-53934-44746</t>
  </si>
  <si>
    <t>1219-53934-44753</t>
  </si>
  <si>
    <t>1219-53934-44760</t>
  </si>
  <si>
    <t>1219-53934-44767</t>
  </si>
  <si>
    <t>1219-53934-44774</t>
  </si>
  <si>
    <t>1219-53934-44781</t>
  </si>
  <si>
    <t>1219-53934-44788</t>
  </si>
  <si>
    <t>1219-78699-44739</t>
  </si>
  <si>
    <t>1219-78699-44746</t>
  </si>
  <si>
    <t>1219-78699-44753</t>
  </si>
  <si>
    <t>1219-78699-44760</t>
  </si>
  <si>
    <t>1219-78699-44767</t>
  </si>
  <si>
    <t>1219-78699-44774</t>
  </si>
  <si>
    <t>1219-78699-44781</t>
  </si>
  <si>
    <t>1219-78699-44788</t>
  </si>
  <si>
    <t>1219-78869-44739</t>
  </si>
  <si>
    <t>1219-78869-44746</t>
  </si>
  <si>
    <t>1219-78869-44753</t>
  </si>
  <si>
    <t>1219-78869-44760</t>
  </si>
  <si>
    <t>1219-78869-44767</t>
  </si>
  <si>
    <t>1219-78869-44774</t>
  </si>
  <si>
    <t>1219-78869-44781</t>
  </si>
  <si>
    <t>1219-78869-44788</t>
  </si>
  <si>
    <t>1219-115600-44739</t>
  </si>
  <si>
    <t>1219-115600-44746</t>
  </si>
  <si>
    <t>1219-115600-44753</t>
  </si>
  <si>
    <t>1219-115600-44760</t>
  </si>
  <si>
    <t>1219-115600-44767</t>
  </si>
  <si>
    <t>1219-115600-44774</t>
  </si>
  <si>
    <t>1219-115600-44781</t>
  </si>
  <si>
    <t>1219-115600-44788</t>
  </si>
  <si>
    <t>1219-129208-44739</t>
  </si>
  <si>
    <t>1219-129208-44746</t>
  </si>
  <si>
    <t>1219-129208-44753</t>
  </si>
  <si>
    <t>1219-129208-44760</t>
  </si>
  <si>
    <t>1219-129208-44767</t>
  </si>
  <si>
    <t>1219-129208-44774</t>
  </si>
  <si>
    <t>1219-129208-44781</t>
  </si>
  <si>
    <t>1219-129208-44788</t>
  </si>
  <si>
    <t>1219-141626-44739</t>
  </si>
  <si>
    <t>1219-141626-44746</t>
  </si>
  <si>
    <t>1219-141626-44753</t>
  </si>
  <si>
    <t>1219-141626-44760</t>
  </si>
  <si>
    <t>1219-141626-44767</t>
  </si>
  <si>
    <t>1219-141626-44774</t>
  </si>
  <si>
    <t>1219-141626-44781</t>
  </si>
  <si>
    <t>1219-141626-44788</t>
  </si>
  <si>
    <t>1219-141791-44739</t>
  </si>
  <si>
    <t>1219-141791-44746</t>
  </si>
  <si>
    <t>1219-141791-44753</t>
  </si>
  <si>
    <t>1219-141791-44760</t>
  </si>
  <si>
    <t>1219-141791-44767</t>
  </si>
  <si>
    <t>1219-141791-44774</t>
  </si>
  <si>
    <t>1219-141791-44781</t>
  </si>
  <si>
    <t>1219-141791-44788</t>
  </si>
  <si>
    <t>1219-141846-44739</t>
  </si>
  <si>
    <t>1219-141846-44746</t>
  </si>
  <si>
    <t>1219-141846-44753</t>
  </si>
  <si>
    <t>1219-141846-44760</t>
  </si>
  <si>
    <t>1219-141846-44767</t>
  </si>
  <si>
    <t>1219-141846-44774</t>
  </si>
  <si>
    <t>1219-141846-44781</t>
  </si>
  <si>
    <t>1219-141846-44788</t>
  </si>
  <si>
    <t>1219-141967-44739</t>
  </si>
  <si>
    <t>1219-141967-44746</t>
  </si>
  <si>
    <t>1219-141967-44753</t>
  </si>
  <si>
    <t>1219-141967-44760</t>
  </si>
  <si>
    <t>1219-141967-44767</t>
  </si>
  <si>
    <t>1219-141967-44774</t>
  </si>
  <si>
    <t>1219-141967-44781</t>
  </si>
  <si>
    <t>1219-141967-44788</t>
  </si>
  <si>
    <t>1219-149729-44739</t>
  </si>
  <si>
    <t>1219-149729-44746</t>
  </si>
  <si>
    <t>1219-149729-44753</t>
  </si>
  <si>
    <t>1219-149729-44760</t>
  </si>
  <si>
    <t>1219-149729-44767</t>
  </si>
  <si>
    <t>1219-149729-44774</t>
  </si>
  <si>
    <t>1219-149729-44781</t>
  </si>
  <si>
    <t>1219-149729-44788</t>
  </si>
  <si>
    <t>1219-149779-44739</t>
  </si>
  <si>
    <t>1219-149779-44746</t>
  </si>
  <si>
    <t>1219-149779-44753</t>
  </si>
  <si>
    <t>1219-149779-44760</t>
  </si>
  <si>
    <t>1219-149779-44767</t>
  </si>
  <si>
    <t>1219-149779-44774</t>
  </si>
  <si>
    <t>1219-149779-44781</t>
  </si>
  <si>
    <t>1219-149779-44788</t>
  </si>
  <si>
    <t>1219-189933-44739</t>
  </si>
  <si>
    <t>1219-189933-44746</t>
  </si>
  <si>
    <t>1219-189933-44753</t>
  </si>
  <si>
    <t>1219-189933-44760</t>
  </si>
  <si>
    <t>1219-189933-44767</t>
  </si>
  <si>
    <t>1219-189933-44774</t>
  </si>
  <si>
    <t>1219-189933-44781</t>
  </si>
  <si>
    <t>1219-189933-44788</t>
  </si>
  <si>
    <t>1219-202577-44739</t>
  </si>
  <si>
    <t>1219-202577-44746</t>
  </si>
  <si>
    <t>1219-202577-44753</t>
  </si>
  <si>
    <t>1219-202577-44760</t>
  </si>
  <si>
    <t>1219-202577-44767</t>
  </si>
  <si>
    <t>1219-202577-44774</t>
  </si>
  <si>
    <t>1219-202577-44781</t>
  </si>
  <si>
    <t>1219-202577-44788</t>
  </si>
  <si>
    <t>1219-234334-44739</t>
  </si>
  <si>
    <t>1219-234334-44746</t>
  </si>
  <si>
    <t>1219-234334-44753</t>
  </si>
  <si>
    <t>1219-234334-44760</t>
  </si>
  <si>
    <t>1219-234334-44767</t>
  </si>
  <si>
    <t>1219-234334-44774</t>
  </si>
  <si>
    <t>1219-234334-44781</t>
  </si>
  <si>
    <t>1219-234334-44788</t>
  </si>
  <si>
    <t>1219-249444-44739</t>
  </si>
  <si>
    <t>1219-249444-44746</t>
  </si>
  <si>
    <t>1219-249444-44753</t>
  </si>
  <si>
    <t>1219-249444-44760</t>
  </si>
  <si>
    <t>1219-249444-44767</t>
  </si>
  <si>
    <t>1219-249444-44774</t>
  </si>
  <si>
    <t>1219-249444-44781</t>
  </si>
  <si>
    <t>1219-249444-44788</t>
  </si>
  <si>
    <t>1219-249795-44739</t>
  </si>
  <si>
    <t>1219-249795-44746</t>
  </si>
  <si>
    <t>1219-249795-44753</t>
  </si>
  <si>
    <t>1219-249795-44760</t>
  </si>
  <si>
    <t>1219-249795-44767</t>
  </si>
  <si>
    <t>1219-249795-44774</t>
  </si>
  <si>
    <t>1219-249795-44781</t>
  </si>
  <si>
    <t>1219-249795-44788</t>
  </si>
  <si>
    <t>1219-250979-44739</t>
  </si>
  <si>
    <t>1219-250979-44746</t>
  </si>
  <si>
    <t>1219-250979-44753</t>
  </si>
  <si>
    <t>1219-250979-44760</t>
  </si>
  <si>
    <t>1219-250979-44767</t>
  </si>
  <si>
    <t>1219-250979-44774</t>
  </si>
  <si>
    <t>1219-250979-44781</t>
  </si>
  <si>
    <t>1219-250979-44788</t>
  </si>
  <si>
    <t>1219-250981-44739</t>
  </si>
  <si>
    <t>1219-250981-44746</t>
  </si>
  <si>
    <t>1219-250981-44753</t>
  </si>
  <si>
    <t>1219-250981-44760</t>
  </si>
  <si>
    <t>1219-250981-44767</t>
  </si>
  <si>
    <t>1219-250981-44774</t>
  </si>
  <si>
    <t>1219-250981-44781</t>
  </si>
  <si>
    <t>1219-250981-44788</t>
  </si>
  <si>
    <t>1219-262294-44739</t>
  </si>
  <si>
    <t>1219-262294-44746</t>
  </si>
  <si>
    <t>1219-262294-44753</t>
  </si>
  <si>
    <t>1219-262294-44760</t>
  </si>
  <si>
    <t>1219-262294-44767</t>
  </si>
  <si>
    <t>1219-262294-44774</t>
  </si>
  <si>
    <t>1219-262294-44781</t>
  </si>
  <si>
    <t>1219-262294-44788</t>
  </si>
  <si>
    <t>1219-268831-44739</t>
  </si>
  <si>
    <t>1219-268831-44746</t>
  </si>
  <si>
    <t>1219-268831-44753</t>
  </si>
  <si>
    <t>1219-268831-44760</t>
  </si>
  <si>
    <t>1219-268831-44767</t>
  </si>
  <si>
    <t>1219-268831-44774</t>
  </si>
  <si>
    <t>1219-268831-44781</t>
  </si>
  <si>
    <t>1219-268831-44788</t>
  </si>
  <si>
    <t>1219-273701-44739</t>
  </si>
  <si>
    <t>1219-273701-44746</t>
  </si>
  <si>
    <t>1219-273701-44753</t>
  </si>
  <si>
    <t>1219-273701-44760</t>
  </si>
  <si>
    <t>1219-273701-44767</t>
  </si>
  <si>
    <t>1219-273701-44774</t>
  </si>
  <si>
    <t>1219-273701-44781</t>
  </si>
  <si>
    <t>1219-273701-44788</t>
  </si>
  <si>
    <t>1219-291726-44739</t>
  </si>
  <si>
    <t>1219-291726-44746</t>
  </si>
  <si>
    <t>1219-291726-44753</t>
  </si>
  <si>
    <t>1219-291726-44760</t>
  </si>
  <si>
    <t>1219-291726-44767</t>
  </si>
  <si>
    <t>1219-291726-44774</t>
  </si>
  <si>
    <t>1219-291726-44781</t>
  </si>
  <si>
    <t>1219-291726-44788</t>
  </si>
  <si>
    <t>1219-291728-44739</t>
  </si>
  <si>
    <t>1219-291728-44746</t>
  </si>
  <si>
    <t>1219-291728-44753</t>
  </si>
  <si>
    <t>1219-291728-44760</t>
  </si>
  <si>
    <t>1219-291728-44767</t>
  </si>
  <si>
    <t>1219-291728-44774</t>
  </si>
  <si>
    <t>1219-291728-44781</t>
  </si>
  <si>
    <t>1219-291728-44788</t>
  </si>
  <si>
    <t>1219-300380-32874</t>
  </si>
  <si>
    <t>1219-300380-44739</t>
  </si>
  <si>
    <t>1219-300380-44746</t>
  </si>
  <si>
    <t>1219-300380-44753</t>
  </si>
  <si>
    <t>1219-300380-44760</t>
  </si>
  <si>
    <t>1219-300380-44767</t>
  </si>
  <si>
    <t>1219-300380-44774</t>
  </si>
  <si>
    <t>1219-300380-44781</t>
  </si>
  <si>
    <t>1219-300380-44788</t>
  </si>
  <si>
    <t>1219-571521-44739</t>
  </si>
  <si>
    <t>1219-571521-44746</t>
  </si>
  <si>
    <t>1219-571521-44753</t>
  </si>
  <si>
    <t>1219-571521-44760</t>
  </si>
  <si>
    <t>1219-571521-44767</t>
  </si>
  <si>
    <t>1219-571521-44774</t>
  </si>
  <si>
    <t>1219-571521-44781</t>
  </si>
  <si>
    <t>1219-571521-44788</t>
  </si>
  <si>
    <t>1219-614993-44739</t>
  </si>
  <si>
    <t>1219-614993-44746</t>
  </si>
  <si>
    <t>1219-614993-44753</t>
  </si>
  <si>
    <t>1219-614993-44760</t>
  </si>
  <si>
    <t>1219-614993-44767</t>
  </si>
  <si>
    <t>1219-614993-44774</t>
  </si>
  <si>
    <t>1219-614993-44781</t>
  </si>
  <si>
    <t>1219-614993-44788</t>
  </si>
  <si>
    <t>1220-23393-44739</t>
  </si>
  <si>
    <t>1220-23393-44746</t>
  </si>
  <si>
    <t>1220-23393-44753</t>
  </si>
  <si>
    <t>1220-23393-44760</t>
  </si>
  <si>
    <t>1220-23393-44767</t>
  </si>
  <si>
    <t>1220-23393-44774</t>
  </si>
  <si>
    <t>1220-23393-44781</t>
  </si>
  <si>
    <t>1220-23393-44788</t>
  </si>
  <si>
    <t>1220-26764-44739</t>
  </si>
  <si>
    <t>1220-26764-44746</t>
  </si>
  <si>
    <t>1220-26764-44753</t>
  </si>
  <si>
    <t>1220-26764-44760</t>
  </si>
  <si>
    <t>1220-26764-44767</t>
  </si>
  <si>
    <t>1220-26764-44774</t>
  </si>
  <si>
    <t>1220-26764-44781</t>
  </si>
  <si>
    <t>1220-26764-44788</t>
  </si>
  <si>
    <t>1220-78699-44739</t>
  </si>
  <si>
    <t>1220-78699-44746</t>
  </si>
  <si>
    <t>1220-78699-44753</t>
  </si>
  <si>
    <t>1220-78699-44760</t>
  </si>
  <si>
    <t>1220-78699-44767</t>
  </si>
  <si>
    <t>1220-78699-44774</t>
  </si>
  <si>
    <t>1220-78699-44781</t>
  </si>
  <si>
    <t>1220-78699-44788</t>
  </si>
  <si>
    <t>1220-78869-44739</t>
  </si>
  <si>
    <t>1220-78869-44746</t>
  </si>
  <si>
    <t>1220-78869-44753</t>
  </si>
  <si>
    <t>1220-78869-44760</t>
  </si>
  <si>
    <t>1220-78869-44767</t>
  </si>
  <si>
    <t>1220-78869-44774</t>
  </si>
  <si>
    <t>1220-78869-44781</t>
  </si>
  <si>
    <t>1220-78869-44788</t>
  </si>
  <si>
    <t>1220-115600-44739</t>
  </si>
  <si>
    <t>1220-115600-44746</t>
  </si>
  <si>
    <t>1220-115600-44753</t>
  </si>
  <si>
    <t>1220-115600-44760</t>
  </si>
  <si>
    <t>1220-115600-44767</t>
  </si>
  <si>
    <t>1220-115600-44774</t>
  </si>
  <si>
    <t>1220-115600-44781</t>
  </si>
  <si>
    <t>1220-115600-44788</t>
  </si>
  <si>
    <t>1220-129208-32874</t>
  </si>
  <si>
    <t>1220-129208-44739</t>
  </si>
  <si>
    <t>1220-129208-44746</t>
  </si>
  <si>
    <t>1220-129208-44753</t>
  </si>
  <si>
    <t>1220-129208-44760</t>
  </si>
  <si>
    <t>1220-129208-44767</t>
  </si>
  <si>
    <t>1220-129208-44774</t>
  </si>
  <si>
    <t>1220-129208-44781</t>
  </si>
  <si>
    <t>1220-129208-44788</t>
  </si>
  <si>
    <t>1220-141622-44739</t>
  </si>
  <si>
    <t>1220-141622-44746</t>
  </si>
  <si>
    <t>1220-141622-44753</t>
  </si>
  <si>
    <t>1220-141622-44760</t>
  </si>
  <si>
    <t>1220-141622-44767</t>
  </si>
  <si>
    <t>1220-141622-44774</t>
  </si>
  <si>
    <t>1220-141622-44781</t>
  </si>
  <si>
    <t>1220-141622-44788</t>
  </si>
  <si>
    <t>1220-141626-44739</t>
  </si>
  <si>
    <t>1220-141626-44746</t>
  </si>
  <si>
    <t>1220-141626-44753</t>
  </si>
  <si>
    <t>1220-141626-44760</t>
  </si>
  <si>
    <t>1220-141626-44767</t>
  </si>
  <si>
    <t>1220-141626-44774</t>
  </si>
  <si>
    <t>1220-141626-44781</t>
  </si>
  <si>
    <t>1220-141626-44788</t>
  </si>
  <si>
    <t>1220-141791-44739</t>
  </si>
  <si>
    <t>1220-141791-44746</t>
  </si>
  <si>
    <t>1220-141791-44753</t>
  </si>
  <si>
    <t>1220-141791-44760</t>
  </si>
  <si>
    <t>1220-141791-44767</t>
  </si>
  <si>
    <t>1220-141791-44774</t>
  </si>
  <si>
    <t>1220-141791-44781</t>
  </si>
  <si>
    <t>1220-141791-44788</t>
  </si>
  <si>
    <t>1220-141846-44739</t>
  </si>
  <si>
    <t>1220-141846-44746</t>
  </si>
  <si>
    <t>1220-141846-44753</t>
  </si>
  <si>
    <t>1220-141846-44760</t>
  </si>
  <si>
    <t>1220-141846-44767</t>
  </si>
  <si>
    <t>1220-141846-44774</t>
  </si>
  <si>
    <t>1220-141846-44781</t>
  </si>
  <si>
    <t>1220-141846-44788</t>
  </si>
  <si>
    <t>1220-141967-44739</t>
  </si>
  <si>
    <t>1220-141967-44746</t>
  </si>
  <si>
    <t>1220-141967-44753</t>
  </si>
  <si>
    <t>1220-141967-44760</t>
  </si>
  <si>
    <t>1220-141967-44767</t>
  </si>
  <si>
    <t>1220-141967-44774</t>
  </si>
  <si>
    <t>1220-141967-44781</t>
  </si>
  <si>
    <t>1220-141967-44788</t>
  </si>
  <si>
    <t>1220-142194-44739</t>
  </si>
  <si>
    <t>1220-142194-44746</t>
  </si>
  <si>
    <t>1220-142194-44753</t>
  </si>
  <si>
    <t>1220-142194-44760</t>
  </si>
  <si>
    <t>1220-142194-44767</t>
  </si>
  <si>
    <t>1220-142194-44774</t>
  </si>
  <si>
    <t>1220-142194-44781</t>
  </si>
  <si>
    <t>1220-142194-44788</t>
  </si>
  <si>
    <t>1220-149729-44739</t>
  </si>
  <si>
    <t>1220-149729-44746</t>
  </si>
  <si>
    <t>1220-149729-44753</t>
  </si>
  <si>
    <t>1220-149729-44760</t>
  </si>
  <si>
    <t>1220-149729-44767</t>
  </si>
  <si>
    <t>1220-149729-44774</t>
  </si>
  <si>
    <t>1220-149729-44781</t>
  </si>
  <si>
    <t>1220-149729-44788</t>
  </si>
  <si>
    <t>1220-149779-44739</t>
  </si>
  <si>
    <t>1220-149779-44746</t>
  </si>
  <si>
    <t>1220-149779-44753</t>
  </si>
  <si>
    <t>1220-149779-44760</t>
  </si>
  <si>
    <t>1220-149779-44767</t>
  </si>
  <si>
    <t>1220-149779-44774</t>
  </si>
  <si>
    <t>1220-149779-44781</t>
  </si>
  <si>
    <t>1220-149779-44788</t>
  </si>
  <si>
    <t>1220-189933-44739</t>
  </si>
  <si>
    <t>1220-189933-44746</t>
  </si>
  <si>
    <t>1220-189933-44753</t>
  </si>
  <si>
    <t>1220-189933-44760</t>
  </si>
  <si>
    <t>1220-189933-44767</t>
  </si>
  <si>
    <t>1220-189933-44774</t>
  </si>
  <si>
    <t>1220-189933-44781</t>
  </si>
  <si>
    <t>1220-189933-44788</t>
  </si>
  <si>
    <t>1220-202577-44739</t>
  </si>
  <si>
    <t>1220-202577-44746</t>
  </si>
  <si>
    <t>1220-202577-44753</t>
  </si>
  <si>
    <t>1220-202577-44760</t>
  </si>
  <si>
    <t>1220-202577-44767</t>
  </si>
  <si>
    <t>1220-202577-44774</t>
  </si>
  <si>
    <t>1220-202577-44781</t>
  </si>
  <si>
    <t>1220-202577-44788</t>
  </si>
  <si>
    <t>1220-234334-44739</t>
  </si>
  <si>
    <t>1220-234334-44746</t>
  </si>
  <si>
    <t>1220-234334-44753</t>
  </si>
  <si>
    <t>1220-234334-44760</t>
  </si>
  <si>
    <t>1220-234334-44767</t>
  </si>
  <si>
    <t>1220-234334-44774</t>
  </si>
  <si>
    <t>1220-234334-44781</t>
  </si>
  <si>
    <t>1220-234334-44788</t>
  </si>
  <si>
    <t>1220-249444-44739</t>
  </si>
  <si>
    <t>1220-249444-44746</t>
  </si>
  <si>
    <t>1220-249444-44753</t>
  </si>
  <si>
    <t>1220-249444-44760</t>
  </si>
  <si>
    <t>1220-249444-44767</t>
  </si>
  <si>
    <t>1220-249444-44774</t>
  </si>
  <si>
    <t>1220-249444-44781</t>
  </si>
  <si>
    <t>1220-249444-44788</t>
  </si>
  <si>
    <t>1220-249795-44739</t>
  </si>
  <si>
    <t>1220-249795-44746</t>
  </si>
  <si>
    <t>1220-249795-44753</t>
  </si>
  <si>
    <t>1220-249795-44760</t>
  </si>
  <si>
    <t>1220-249795-44767</t>
  </si>
  <si>
    <t>1220-249795-44774</t>
  </si>
  <si>
    <t>1220-249795-44781</t>
  </si>
  <si>
    <t>1220-249795-44788</t>
  </si>
  <si>
    <t>1220-250979-44739</t>
  </si>
  <si>
    <t>1220-250979-44746</t>
  </si>
  <si>
    <t>1220-250979-44753</t>
  </si>
  <si>
    <t>1220-250979-44760</t>
  </si>
  <si>
    <t>1220-250979-44767</t>
  </si>
  <si>
    <t>1220-250979-44774</t>
  </si>
  <si>
    <t>1220-250979-44781</t>
  </si>
  <si>
    <t>1220-250979-44788</t>
  </si>
  <si>
    <t>1220-250981-44739</t>
  </si>
  <si>
    <t>1220-250981-44746</t>
  </si>
  <si>
    <t>1220-250981-44753</t>
  </si>
  <si>
    <t>1220-250981-44760</t>
  </si>
  <si>
    <t>1220-250981-44767</t>
  </si>
  <si>
    <t>1220-250981-44774</t>
  </si>
  <si>
    <t>1220-250981-44781</t>
  </si>
  <si>
    <t>1220-250981-44788</t>
  </si>
  <si>
    <t>1220-262294-44739</t>
  </si>
  <si>
    <t>1220-262294-44746</t>
  </si>
  <si>
    <t>1220-262294-44753</t>
  </si>
  <si>
    <t>1220-262294-44760</t>
  </si>
  <si>
    <t>1220-262294-44767</t>
  </si>
  <si>
    <t>1220-262294-44774</t>
  </si>
  <si>
    <t>1220-262294-44781</t>
  </si>
  <si>
    <t>1220-262294-44788</t>
  </si>
  <si>
    <t>1220-268831-44739</t>
  </si>
  <si>
    <t>1220-268831-44746</t>
  </si>
  <si>
    <t>1220-268831-44753</t>
  </si>
  <si>
    <t>1220-268831-44760</t>
  </si>
  <si>
    <t>1220-268831-44767</t>
  </si>
  <si>
    <t>1220-268831-44774</t>
  </si>
  <si>
    <t>1220-268831-44781</t>
  </si>
  <si>
    <t>1220-268831-44788</t>
  </si>
  <si>
    <t>1220-273701-44739</t>
  </si>
  <si>
    <t>1220-273701-44746</t>
  </si>
  <si>
    <t>1220-273701-44753</t>
  </si>
  <si>
    <t>1220-273701-44760</t>
  </si>
  <si>
    <t>1220-273701-44767</t>
  </si>
  <si>
    <t>1220-273701-44774</t>
  </si>
  <si>
    <t>1220-273701-44781</t>
  </si>
  <si>
    <t>1220-273701-44788</t>
  </si>
  <si>
    <t>1220-291726-44739</t>
  </si>
  <si>
    <t>1220-291726-44746</t>
  </si>
  <si>
    <t>1220-291726-44753</t>
  </si>
  <si>
    <t>1220-291726-44760</t>
  </si>
  <si>
    <t>1220-291726-44767</t>
  </si>
  <si>
    <t>1220-291726-44774</t>
  </si>
  <si>
    <t>1220-291726-44781</t>
  </si>
  <si>
    <t>1220-291726-44788</t>
  </si>
  <si>
    <t>1220-291728-44739</t>
  </si>
  <si>
    <t>1220-291728-44746</t>
  </si>
  <si>
    <t>1220-291728-44753</t>
  </si>
  <si>
    <t>1220-291728-44760</t>
  </si>
  <si>
    <t>1220-291728-44767</t>
  </si>
  <si>
    <t>1220-291728-44774</t>
  </si>
  <si>
    <t>1220-291728-44781</t>
  </si>
  <si>
    <t>1220-291728-44788</t>
  </si>
  <si>
    <t>1220-300380-44739</t>
  </si>
  <si>
    <t>1220-300380-44746</t>
  </si>
  <si>
    <t>1220-300380-44753</t>
  </si>
  <si>
    <t>1220-300380-44760</t>
  </si>
  <si>
    <t>1220-300380-44767</t>
  </si>
  <si>
    <t>1220-300380-44774</t>
  </si>
  <si>
    <t>1220-300380-44781</t>
  </si>
  <si>
    <t>1220-300380-44788</t>
  </si>
  <si>
    <t>1220-571521-44739</t>
  </si>
  <si>
    <t>1220-571521-44746</t>
  </si>
  <si>
    <t>1220-571521-44753</t>
  </si>
  <si>
    <t>1220-571521-44760</t>
  </si>
  <si>
    <t>1220-571521-44767</t>
  </si>
  <si>
    <t>1220-571521-44774</t>
  </si>
  <si>
    <t>1220-571521-44781</t>
  </si>
  <si>
    <t>1220-571521-44788</t>
  </si>
  <si>
    <t>1220-614993-44739</t>
  </si>
  <si>
    <t>1220-614993-44746</t>
  </si>
  <si>
    <t>1220-614993-44753</t>
  </si>
  <si>
    <t>1220-614993-44760</t>
  </si>
  <si>
    <t>1220-614993-44767</t>
  </si>
  <si>
    <t>1220-614993-44774</t>
  </si>
  <si>
    <t>1220-614993-44781</t>
  </si>
  <si>
    <t>1220-614993-44788</t>
  </si>
  <si>
    <t>1201-115600</t>
  </si>
  <si>
    <t>1201-129208</t>
  </si>
  <si>
    <t>1201-300380</t>
  </si>
  <si>
    <t>1201-23393</t>
  </si>
  <si>
    <t>1201-26764</t>
  </si>
  <si>
    <t>1201-53934</t>
  </si>
  <si>
    <t>1201-78699</t>
  </si>
  <si>
    <t>1201-78869</t>
  </si>
  <si>
    <t>1201-141622</t>
  </si>
  <si>
    <t>1201-141626</t>
  </si>
  <si>
    <t>1201-141791</t>
  </si>
  <si>
    <t>1201-141846</t>
  </si>
  <si>
    <t>1201-141967</t>
  </si>
  <si>
    <t>1201-142194</t>
  </si>
  <si>
    <t>1201-149729</t>
  </si>
  <si>
    <t>1201-149779</t>
  </si>
  <si>
    <t>1201-189933</t>
  </si>
  <si>
    <t>1201-202577</t>
  </si>
  <si>
    <t>1201-234334</t>
  </si>
  <si>
    <t>1201-249444</t>
  </si>
  <si>
    <t>1201-249795</t>
  </si>
  <si>
    <t>1201-250979</t>
  </si>
  <si>
    <t>1201-250981</t>
  </si>
  <si>
    <t>1201-262294</t>
  </si>
  <si>
    <t>1201-268831</t>
  </si>
  <si>
    <t>1201-273701</t>
  </si>
  <si>
    <t>1201-291726</t>
  </si>
  <si>
    <t>1201-291728</t>
  </si>
  <si>
    <t>1201-571521</t>
  </si>
  <si>
    <t>1201-614993</t>
  </si>
  <si>
    <t>1202-115600</t>
  </si>
  <si>
    <t>1202-129208</t>
  </si>
  <si>
    <t>1202-300380</t>
  </si>
  <si>
    <t>1202-23393</t>
  </si>
  <si>
    <t>1202-26764</t>
  </si>
  <si>
    <t>1202-53934</t>
  </si>
  <si>
    <t>1202-78699</t>
  </si>
  <si>
    <t>1202-78869</t>
  </si>
  <si>
    <t>1202-141622</t>
  </si>
  <si>
    <t>1202-141626</t>
  </si>
  <si>
    <t>1202-141791</t>
  </si>
  <si>
    <t>1202-141846</t>
  </si>
  <si>
    <t>1202-141967</t>
  </si>
  <si>
    <t>1202-142194</t>
  </si>
  <si>
    <t>1202-149729</t>
  </si>
  <si>
    <t>1202-149779</t>
  </si>
  <si>
    <t>1202-189933</t>
  </si>
  <si>
    <t>1202-202577</t>
  </si>
  <si>
    <t>1202-234334</t>
  </si>
  <si>
    <t>1202-249444</t>
  </si>
  <si>
    <t>1202-249795</t>
  </si>
  <si>
    <t>1202-250979</t>
  </si>
  <si>
    <t>1202-250981</t>
  </si>
  <si>
    <t>1202-262294</t>
  </si>
  <si>
    <t>1202-268831</t>
  </si>
  <si>
    <t>1202-273701</t>
  </si>
  <si>
    <t>1202-291726</t>
  </si>
  <si>
    <t>1202-291728</t>
  </si>
  <si>
    <t>1202-571521</t>
  </si>
  <si>
    <t>1202-614993</t>
  </si>
  <si>
    <t>1203-115600</t>
  </si>
  <si>
    <t>1203-129208</t>
  </si>
  <si>
    <t>1203-300380</t>
  </si>
  <si>
    <t>1203-23393</t>
  </si>
  <si>
    <t>1203-26764</t>
  </si>
  <si>
    <t>1203-53934</t>
  </si>
  <si>
    <t>1203-78699</t>
  </si>
  <si>
    <t>1203-78869</t>
  </si>
  <si>
    <t>1203-141622</t>
  </si>
  <si>
    <t>1203-141626</t>
  </si>
  <si>
    <t>1203-141791</t>
  </si>
  <si>
    <t>1203-141846</t>
  </si>
  <si>
    <t>1203-141967</t>
  </si>
  <si>
    <t>1203-142194</t>
  </si>
  <si>
    <t>1203-149729</t>
  </si>
  <si>
    <t>1203-149779</t>
  </si>
  <si>
    <t>1203-189933</t>
  </si>
  <si>
    <t>1203-202577</t>
  </si>
  <si>
    <t>1203-234334</t>
  </si>
  <si>
    <t>1203-249444</t>
  </si>
  <si>
    <t>1203-249795</t>
  </si>
  <si>
    <t>1203-250979</t>
  </si>
  <si>
    <t>1203-250981</t>
  </si>
  <si>
    <t>1203-262294</t>
  </si>
  <si>
    <t>1203-268831</t>
  </si>
  <si>
    <t>1203-273701</t>
  </si>
  <si>
    <t>1203-291726</t>
  </si>
  <si>
    <t>1203-291728</t>
  </si>
  <si>
    <t>1203-571521</t>
  </si>
  <si>
    <t>1203-614993</t>
  </si>
  <si>
    <t>1204-115600</t>
  </si>
  <si>
    <t>1204-129208</t>
  </si>
  <si>
    <t>1204-300380</t>
  </si>
  <si>
    <t>1204-23393</t>
  </si>
  <si>
    <t>1204-26764</t>
  </si>
  <si>
    <t>1204-53934</t>
  </si>
  <si>
    <t>1204-78699</t>
  </si>
  <si>
    <t>1204-78869</t>
  </si>
  <si>
    <t>1204-141622</t>
  </si>
  <si>
    <t>1204-141626</t>
  </si>
  <si>
    <t>1204-141791</t>
  </si>
  <si>
    <t>1204-141846</t>
  </si>
  <si>
    <t>1204-141967</t>
  </si>
  <si>
    <t>1204-142194</t>
  </si>
  <si>
    <t>1204-149729</t>
  </si>
  <si>
    <t>1204-149779</t>
  </si>
  <si>
    <t>1204-189933</t>
  </si>
  <si>
    <t>1204-202577</t>
  </si>
  <si>
    <t>1204-234334</t>
  </si>
  <si>
    <t>1204-249444</t>
  </si>
  <si>
    <t>1204-249795</t>
  </si>
  <si>
    <t>1204-250979</t>
  </si>
  <si>
    <t>1204-250981</t>
  </si>
  <si>
    <t>1204-262294</t>
  </si>
  <si>
    <t>1204-268831</t>
  </si>
  <si>
    <t>1204-273701</t>
  </si>
  <si>
    <t>1204-291726</t>
  </si>
  <si>
    <t>1204-291728</t>
  </si>
  <si>
    <t>1204-571521</t>
  </si>
  <si>
    <t>1204-614993</t>
  </si>
  <si>
    <t>1205-115600</t>
  </si>
  <si>
    <t>1205-129208</t>
  </si>
  <si>
    <t>1205-300380</t>
  </si>
  <si>
    <t>1205-23393</t>
  </si>
  <si>
    <t>1205-26764</t>
  </si>
  <si>
    <t>1205-53934</t>
  </si>
  <si>
    <t>1205-78699</t>
  </si>
  <si>
    <t>1205-78869</t>
  </si>
  <si>
    <t>1205-141622</t>
  </si>
  <si>
    <t>1205-141626</t>
  </si>
  <si>
    <t>1205-141791</t>
  </si>
  <si>
    <t>1205-141846</t>
  </si>
  <si>
    <t>1205-141967</t>
  </si>
  <si>
    <t>1205-142194</t>
  </si>
  <si>
    <t>1205-149729</t>
  </si>
  <si>
    <t>1205-149779</t>
  </si>
  <si>
    <t>1205-189933</t>
  </si>
  <si>
    <t>1205-202577</t>
  </si>
  <si>
    <t>1205-234334</t>
  </si>
  <si>
    <t>1205-249444</t>
  </si>
  <si>
    <t>1205-249795</t>
  </si>
  <si>
    <t>1205-250979</t>
  </si>
  <si>
    <t>1205-250981</t>
  </si>
  <si>
    <t>1205-262294</t>
  </si>
  <si>
    <t>1205-268831</t>
  </si>
  <si>
    <t>1205-273701</t>
  </si>
  <si>
    <t>1205-291726</t>
  </si>
  <si>
    <t>1205-291728</t>
  </si>
  <si>
    <t>1205-571521</t>
  </si>
  <si>
    <t>1205-614993</t>
  </si>
  <si>
    <t>1206-115600</t>
  </si>
  <si>
    <t>1206-129208</t>
  </si>
  <si>
    <t>1206-300380</t>
  </si>
  <si>
    <t>1206-23393</t>
  </si>
  <si>
    <t>1206-26764</t>
  </si>
  <si>
    <t>1206-53934</t>
  </si>
  <si>
    <t>1206-78699</t>
  </si>
  <si>
    <t>1206-78869</t>
  </si>
  <si>
    <t>1206-141622</t>
  </si>
  <si>
    <t>1206-141626</t>
  </si>
  <si>
    <t>1206-141791</t>
  </si>
  <si>
    <t>1206-141846</t>
  </si>
  <si>
    <t>1206-141967</t>
  </si>
  <si>
    <t>1206-142194</t>
  </si>
  <si>
    <t>1206-149729</t>
  </si>
  <si>
    <t>1206-149779</t>
  </si>
  <si>
    <t>1206-189933</t>
  </si>
  <si>
    <t>1206-202577</t>
  </si>
  <si>
    <t>1206-234334</t>
  </si>
  <si>
    <t>1206-249444</t>
  </si>
  <si>
    <t>1206-249795</t>
  </si>
  <si>
    <t>1206-250979</t>
  </si>
  <si>
    <t>1206-250981</t>
  </si>
  <si>
    <t>1206-262294</t>
  </si>
  <si>
    <t>1206-268831</t>
  </si>
  <si>
    <t>1206-273701</t>
  </si>
  <si>
    <t>1206-291726</t>
  </si>
  <si>
    <t>1206-291728</t>
  </si>
  <si>
    <t>1206-571521</t>
  </si>
  <si>
    <t>1206-614993</t>
  </si>
  <si>
    <t>1207-115600</t>
  </si>
  <si>
    <t>1207-129208</t>
  </si>
  <si>
    <t>1207-300380</t>
  </si>
  <si>
    <t>1207-23393</t>
  </si>
  <si>
    <t>1207-26764</t>
  </si>
  <si>
    <t>1207-53934</t>
  </si>
  <si>
    <t>1207-78699</t>
  </si>
  <si>
    <t>1207-78869</t>
  </si>
  <si>
    <t>1207-141622</t>
  </si>
  <si>
    <t>1207-141626</t>
  </si>
  <si>
    <t>1207-141791</t>
  </si>
  <si>
    <t>1207-141846</t>
  </si>
  <si>
    <t>1207-141967</t>
  </si>
  <si>
    <t>1207-142194</t>
  </si>
  <si>
    <t>1207-149729</t>
  </si>
  <si>
    <t>1207-149779</t>
  </si>
  <si>
    <t>1207-189933</t>
  </si>
  <si>
    <t>1207-202577</t>
  </si>
  <si>
    <t>1207-234334</t>
  </si>
  <si>
    <t>1207-249444</t>
  </si>
  <si>
    <t>1207-249795</t>
  </si>
  <si>
    <t>1207-250979</t>
  </si>
  <si>
    <t>1207-250981</t>
  </si>
  <si>
    <t>1207-262294</t>
  </si>
  <si>
    <t>1207-268831</t>
  </si>
  <si>
    <t>1207-273701</t>
  </si>
  <si>
    <t>1207-291726</t>
  </si>
  <si>
    <t>1207-291728</t>
  </si>
  <si>
    <t>1207-571521</t>
  </si>
  <si>
    <t>1207-614993</t>
  </si>
  <si>
    <t>1208-23393</t>
  </si>
  <si>
    <t>1208-26764</t>
  </si>
  <si>
    <t>1208-78869</t>
  </si>
  <si>
    <t>1208-141622</t>
  </si>
  <si>
    <t>1208-141626</t>
  </si>
  <si>
    <t>1208-141967</t>
  </si>
  <si>
    <t>1208-142194</t>
  </si>
  <si>
    <t>1208-149779</t>
  </si>
  <si>
    <t>1208-189933</t>
  </si>
  <si>
    <t>1208-202577</t>
  </si>
  <si>
    <t>1208-234334</t>
  </si>
  <si>
    <t>1208-249444</t>
  </si>
  <si>
    <t>1208-249795</t>
  </si>
  <si>
    <t>1208-250979</t>
  </si>
  <si>
    <t>1208-250981</t>
  </si>
  <si>
    <t>1208-262294</t>
  </si>
  <si>
    <t>1208-291726</t>
  </si>
  <si>
    <t>1208-291728</t>
  </si>
  <si>
    <t>1209-115600</t>
  </si>
  <si>
    <t>1209-129208</t>
  </si>
  <si>
    <t>1209-300380</t>
  </si>
  <si>
    <t>1209-23393</t>
  </si>
  <si>
    <t>1209-26764</t>
  </si>
  <si>
    <t>1209-53934</t>
  </si>
  <si>
    <t>1209-141622</t>
  </si>
  <si>
    <t>1209-141626</t>
  </si>
  <si>
    <t>1209-141791</t>
  </si>
  <si>
    <t>1209-141967</t>
  </si>
  <si>
    <t>1209-142194</t>
  </si>
  <si>
    <t>1209-189933</t>
  </si>
  <si>
    <t>1209-202577</t>
  </si>
  <si>
    <t>1209-249444</t>
  </si>
  <si>
    <t>1209-249795</t>
  </si>
  <si>
    <t>1209-250979</t>
  </si>
  <si>
    <t>1209-250981</t>
  </si>
  <si>
    <t>1209-262294</t>
  </si>
  <si>
    <t>1209-268831</t>
  </si>
  <si>
    <t>1209-273701</t>
  </si>
  <si>
    <t>1209-291726</t>
  </si>
  <si>
    <t>1209-571521</t>
  </si>
  <si>
    <t>1210-115600</t>
  </si>
  <si>
    <t>1210-129208</t>
  </si>
  <si>
    <t>1210-300380</t>
  </si>
  <si>
    <t>1210-23393</t>
  </si>
  <si>
    <t>1210-26764</t>
  </si>
  <si>
    <t>1210-53934</t>
  </si>
  <si>
    <t>1210-78699</t>
  </si>
  <si>
    <t>1210-78869</t>
  </si>
  <si>
    <t>1210-141622</t>
  </si>
  <si>
    <t>1210-141626</t>
  </si>
  <si>
    <t>1210-141791</t>
  </si>
  <si>
    <t>1210-141846</t>
  </si>
  <si>
    <t>1210-141967</t>
  </si>
  <si>
    <t>1210-142194</t>
  </si>
  <si>
    <t>1210-149729</t>
  </si>
  <si>
    <t>1210-149779</t>
  </si>
  <si>
    <t>1210-189933</t>
  </si>
  <si>
    <t>1210-202577</t>
  </si>
  <si>
    <t>1210-234334</t>
  </si>
  <si>
    <t>1210-249444</t>
  </si>
  <si>
    <t>1210-249795</t>
  </si>
  <si>
    <t>1210-250979</t>
  </si>
  <si>
    <t>1210-250981</t>
  </si>
  <si>
    <t>1210-262294</t>
  </si>
  <si>
    <t>1210-268831</t>
  </si>
  <si>
    <t>1210-273701</t>
  </si>
  <si>
    <t>1210-291726</t>
  </si>
  <si>
    <t>1210-291728</t>
  </si>
  <si>
    <t>1210-571521</t>
  </si>
  <si>
    <t>1210-614993</t>
  </si>
  <si>
    <t>1211-115600</t>
  </si>
  <si>
    <t>1211-129208</t>
  </si>
  <si>
    <t>1211-300380</t>
  </si>
  <si>
    <t>1211-23393</t>
  </si>
  <si>
    <t>1211-26764</t>
  </si>
  <si>
    <t>1211-53934</t>
  </si>
  <si>
    <t>1211-78699</t>
  </si>
  <si>
    <t>1211-78869</t>
  </si>
  <si>
    <t>1211-141622</t>
  </si>
  <si>
    <t>1211-141626</t>
  </si>
  <si>
    <t>1211-141791</t>
  </si>
  <si>
    <t>1211-141846</t>
  </si>
  <si>
    <t>1211-141967</t>
  </si>
  <si>
    <t>1211-142194</t>
  </si>
  <si>
    <t>1211-149729</t>
  </si>
  <si>
    <t>1211-149779</t>
  </si>
  <si>
    <t>1211-189933</t>
  </si>
  <si>
    <t>1211-202577</t>
  </si>
  <si>
    <t>1211-234334</t>
  </si>
  <si>
    <t>1211-249444</t>
  </si>
  <si>
    <t>1211-249795</t>
  </si>
  <si>
    <t>1211-250979</t>
  </si>
  <si>
    <t>1211-250981</t>
  </si>
  <si>
    <t>1211-262294</t>
  </si>
  <si>
    <t>1211-268831</t>
  </si>
  <si>
    <t>1211-273701</t>
  </si>
  <si>
    <t>1211-291726</t>
  </si>
  <si>
    <t>1211-291728</t>
  </si>
  <si>
    <t>1211-571521</t>
  </si>
  <si>
    <t>1211-614993</t>
  </si>
  <si>
    <t>1212-300380</t>
  </si>
  <si>
    <t>1212-23393</t>
  </si>
  <si>
    <t>1212-26764</t>
  </si>
  <si>
    <t>1212-53934</t>
  </si>
  <si>
    <t>1212-78699</t>
  </si>
  <si>
    <t>1212-78869</t>
  </si>
  <si>
    <t>1212-141626</t>
  </si>
  <si>
    <t>1212-141791</t>
  </si>
  <si>
    <t>1212-141967</t>
  </si>
  <si>
    <t>1212-142194</t>
  </si>
  <si>
    <t>1212-149729</t>
  </si>
  <si>
    <t>1212-149779</t>
  </si>
  <si>
    <t>1212-202577</t>
  </si>
  <si>
    <t>1212-234334</t>
  </si>
  <si>
    <t>1212-249444</t>
  </si>
  <si>
    <t>1212-250979</t>
  </si>
  <si>
    <t>1212-250981</t>
  </si>
  <si>
    <t>1212-262294</t>
  </si>
  <si>
    <t>1212-268831</t>
  </si>
  <si>
    <t>1212-273701</t>
  </si>
  <si>
    <t>1212-291726</t>
  </si>
  <si>
    <t>1212-291728</t>
  </si>
  <si>
    <t>1212-571521</t>
  </si>
  <si>
    <t>1212-614993</t>
  </si>
  <si>
    <t>1213-115600</t>
  </si>
  <si>
    <t>1213-129208</t>
  </si>
  <si>
    <t>1213-300380</t>
  </si>
  <si>
    <t>1213-23393</t>
  </si>
  <si>
    <t>1213-26764</t>
  </si>
  <si>
    <t>1213-53934</t>
  </si>
  <si>
    <t>1213-78699</t>
  </si>
  <si>
    <t>1213-78869</t>
  </si>
  <si>
    <t>1213-141622</t>
  </si>
  <si>
    <t>1213-141626</t>
  </si>
  <si>
    <t>1213-141791</t>
  </si>
  <si>
    <t>1213-141846</t>
  </si>
  <si>
    <t>1213-141967</t>
  </si>
  <si>
    <t>1213-142194</t>
  </si>
  <si>
    <t>1213-149729</t>
  </si>
  <si>
    <t>1213-149779</t>
  </si>
  <si>
    <t>1213-189933</t>
  </si>
  <si>
    <t>1213-202577</t>
  </si>
  <si>
    <t>1213-234334</t>
  </si>
  <si>
    <t>1213-249444</t>
  </si>
  <si>
    <t>1213-249795</t>
  </si>
  <si>
    <t>1213-250979</t>
  </si>
  <si>
    <t>1213-250981</t>
  </si>
  <si>
    <t>1213-262294</t>
  </si>
  <si>
    <t>1213-268831</t>
  </si>
  <si>
    <t>1213-273701</t>
  </si>
  <si>
    <t>1213-291726</t>
  </si>
  <si>
    <t>1213-291728</t>
  </si>
  <si>
    <t>1213-571521</t>
  </si>
  <si>
    <t>1213-614993</t>
  </si>
  <si>
    <t>1214-115600</t>
  </si>
  <si>
    <t>1214-129208</t>
  </si>
  <si>
    <t>1214-300380</t>
  </si>
  <si>
    <t>1214-23393</t>
  </si>
  <si>
    <t>1214-26764</t>
  </si>
  <si>
    <t>1214-53934</t>
  </si>
  <si>
    <t>1214-78699</t>
  </si>
  <si>
    <t>1214-78869</t>
  </si>
  <si>
    <t>1214-141622</t>
  </si>
  <si>
    <t>1214-141626</t>
  </si>
  <si>
    <t>1214-141791</t>
  </si>
  <si>
    <t>1214-141846</t>
  </si>
  <si>
    <t>1214-141967</t>
  </si>
  <si>
    <t>1214-142194</t>
  </si>
  <si>
    <t>1214-149729</t>
  </si>
  <si>
    <t>1214-149779</t>
  </si>
  <si>
    <t>1214-189933</t>
  </si>
  <si>
    <t>1214-202577</t>
  </si>
  <si>
    <t>1214-234334</t>
  </si>
  <si>
    <t>1214-249444</t>
  </si>
  <si>
    <t>1214-249795</t>
  </si>
  <si>
    <t>1214-250979</t>
  </si>
  <si>
    <t>1214-250981</t>
  </si>
  <si>
    <t>1214-262294</t>
  </si>
  <si>
    <t>1214-268831</t>
  </si>
  <si>
    <t>1214-273701</t>
  </si>
  <si>
    <t>1214-291726</t>
  </si>
  <si>
    <t>1214-291728</t>
  </si>
  <si>
    <t>1214-571521</t>
  </si>
  <si>
    <t>1214-614993</t>
  </si>
  <si>
    <t>1216-115600</t>
  </si>
  <si>
    <t>1216-129208</t>
  </si>
  <si>
    <t>1216-300380</t>
  </si>
  <si>
    <t>1216-23393</t>
  </si>
  <si>
    <t>1216-26764</t>
  </si>
  <si>
    <t>1216-53934</t>
  </si>
  <si>
    <t>1216-78699</t>
  </si>
  <si>
    <t>1216-78869</t>
  </si>
  <si>
    <t>1216-141622</t>
  </si>
  <si>
    <t>1216-141626</t>
  </si>
  <si>
    <t>1216-141791</t>
  </si>
  <si>
    <t>1216-141846</t>
  </si>
  <si>
    <t>1216-141967</t>
  </si>
  <si>
    <t>1216-142194</t>
  </si>
  <si>
    <t>1216-149729</t>
  </si>
  <si>
    <t>1216-149779</t>
  </si>
  <si>
    <t>1216-189933</t>
  </si>
  <si>
    <t>1216-202577</t>
  </si>
  <si>
    <t>1216-234334</t>
  </si>
  <si>
    <t>1216-249444</t>
  </si>
  <si>
    <t>1216-249795</t>
  </si>
  <si>
    <t>1216-250979</t>
  </si>
  <si>
    <t>1216-250981</t>
  </si>
  <si>
    <t>1216-262294</t>
  </si>
  <si>
    <t>1216-268831</t>
  </si>
  <si>
    <t>1216-273701</t>
  </si>
  <si>
    <t>1216-291726</t>
  </si>
  <si>
    <t>1216-291728</t>
  </si>
  <si>
    <t>1216-614993</t>
  </si>
  <si>
    <t>1218-115600</t>
  </si>
  <si>
    <t>1218-129208</t>
  </si>
  <si>
    <t>1218-300380</t>
  </si>
  <si>
    <t>1218-23393</t>
  </si>
  <si>
    <t>1218-26764</t>
  </si>
  <si>
    <t>1218-53934</t>
  </si>
  <si>
    <t>1218-78699</t>
  </si>
  <si>
    <t>1218-78869</t>
  </si>
  <si>
    <t>1218-141622</t>
  </si>
  <si>
    <t>1218-141626</t>
  </si>
  <si>
    <t>1218-141791</t>
  </si>
  <si>
    <t>1218-141846</t>
  </si>
  <si>
    <t>1218-141967</t>
  </si>
  <si>
    <t>1218-142194</t>
  </si>
  <si>
    <t>1218-149729</t>
  </si>
  <si>
    <t>1218-149779</t>
  </si>
  <si>
    <t>1218-189933</t>
  </si>
  <si>
    <t>1218-202577</t>
  </si>
  <si>
    <t>1218-234334</t>
  </si>
  <si>
    <t>1218-249444</t>
  </si>
  <si>
    <t>1218-249795</t>
  </si>
  <si>
    <t>1218-250979</t>
  </si>
  <si>
    <t>1218-250981</t>
  </si>
  <si>
    <t>1218-262294</t>
  </si>
  <si>
    <t>1218-268831</t>
  </si>
  <si>
    <t>1218-273701</t>
  </si>
  <si>
    <t>1218-291726</t>
  </si>
  <si>
    <t>1218-291728</t>
  </si>
  <si>
    <t>1218-614993</t>
  </si>
  <si>
    <t>1219-115600</t>
  </si>
  <si>
    <t>1219-129208</t>
  </si>
  <si>
    <t>1219-300380</t>
  </si>
  <si>
    <t>1219-23393</t>
  </si>
  <si>
    <t>1219-26764</t>
  </si>
  <si>
    <t>1219-53934</t>
  </si>
  <si>
    <t>1219-78699</t>
  </si>
  <si>
    <t>1219-78869</t>
  </si>
  <si>
    <t>1219-141626</t>
  </si>
  <si>
    <t>1219-141791</t>
  </si>
  <si>
    <t>1219-141846</t>
  </si>
  <si>
    <t>1219-141967</t>
  </si>
  <si>
    <t>1219-149729</t>
  </si>
  <si>
    <t>1219-149779</t>
  </si>
  <si>
    <t>1219-189933</t>
  </si>
  <si>
    <t>1219-202577</t>
  </si>
  <si>
    <t>1219-234334</t>
  </si>
  <si>
    <t>1219-249444</t>
  </si>
  <si>
    <t>1219-249795</t>
  </si>
  <si>
    <t>1219-250979</t>
  </si>
  <si>
    <t>1219-250981</t>
  </si>
  <si>
    <t>1219-262294</t>
  </si>
  <si>
    <t>1219-268831</t>
  </si>
  <si>
    <t>1219-273701</t>
  </si>
  <si>
    <t>1219-291726</t>
  </si>
  <si>
    <t>1219-291728</t>
  </si>
  <si>
    <t>1219-571521</t>
  </si>
  <si>
    <t>1219-614993</t>
  </si>
  <si>
    <t>1220-115600</t>
  </si>
  <si>
    <t>1220-129208</t>
  </si>
  <si>
    <t>1220-300380</t>
  </si>
  <si>
    <t>1220-23393</t>
  </si>
  <si>
    <t>1220-26764</t>
  </si>
  <si>
    <t>1220-78699</t>
  </si>
  <si>
    <t>1220-78869</t>
  </si>
  <si>
    <t>1220-141622</t>
  </si>
  <si>
    <t>1220-141626</t>
  </si>
  <si>
    <t>1220-141791</t>
  </si>
  <si>
    <t>1220-141846</t>
  </si>
  <si>
    <t>1220-141967</t>
  </si>
  <si>
    <t>1220-142194</t>
  </si>
  <si>
    <t>1220-149729</t>
  </si>
  <si>
    <t>1220-149779</t>
  </si>
  <si>
    <t>1220-189933</t>
  </si>
  <si>
    <t>1220-202577</t>
  </si>
  <si>
    <t>1220-234334</t>
  </si>
  <si>
    <t>1220-249444</t>
  </si>
  <si>
    <t>1220-249795</t>
  </si>
  <si>
    <t>1220-250979</t>
  </si>
  <si>
    <t>1220-250981</t>
  </si>
  <si>
    <t>1220-262294</t>
  </si>
  <si>
    <t>1220-268831</t>
  </si>
  <si>
    <t>1220-273701</t>
  </si>
  <si>
    <t>1220-291726</t>
  </si>
  <si>
    <t>1220-291728</t>
  </si>
  <si>
    <t>1220-571521</t>
  </si>
  <si>
    <t>1220-614993</t>
  </si>
  <si>
    <t>MOQ</t>
  </si>
  <si>
    <t>Stock de Securité</t>
  </si>
  <si>
    <t>Stock de sécurité (en nombre de jours)</t>
  </si>
  <si>
    <t>MOQ (minimum de quantité à commander)</t>
  </si>
  <si>
    <t>Stock de sécurité</t>
  </si>
  <si>
    <t>Sous-Stock</t>
  </si>
  <si>
    <t>Besoin Net prévisionnel</t>
  </si>
  <si>
    <t>Ordre Planifié</t>
  </si>
  <si>
    <t>Référence fournisseur</t>
  </si>
  <si>
    <t>Distance KM</t>
  </si>
  <si>
    <t>CHOIX TRANSPORTEUR</t>
  </si>
  <si>
    <t>Prix transport DRP V2</t>
  </si>
  <si>
    <t>Prix Min Transport DRP V2</t>
  </si>
  <si>
    <t>Nom Transporteur</t>
  </si>
  <si>
    <t>Coût associé</t>
  </si>
  <si>
    <t>Concatenation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</si>
</sst>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m/d/yyyy"/>
  </numFmts>
  <fonts count="30" x14ac:knownFonts="1">
    <font>
      <sz val="11"/>
      <color theme="1"/>
      <name val="Calibri"/>
      <scheme val="minor"/>
    </font>
    <font>
      <sz val="11"/>
      <color theme="1"/>
      <name val="Calibri"/>
      <family val="2"/>
      <scheme val="minor"/>
    </font>
    <font>
      <sz val="11"/>
      <color theme="1"/>
      <name val="Calibri"/>
      <family val="2"/>
      <scheme val="minor"/>
    </font>
    <font>
      <sz val="26"/>
      <color theme="0"/>
      <name val="Calibri"/>
    </font>
    <font>
      <sz val="11"/>
      <name val="Calibri"/>
    </font>
    <font>
      <sz val="11"/>
      <color theme="1"/>
      <name val="Calibri"/>
    </font>
    <font>
      <b/>
      <sz val="11"/>
      <color theme="1"/>
      <name val="Calibri"/>
    </font>
    <font>
      <b/>
      <sz val="11"/>
      <color theme="0"/>
      <name val="Calibri"/>
    </font>
    <font>
      <b/>
      <sz val="18"/>
      <color theme="1"/>
      <name val="Calibri"/>
    </font>
    <font>
      <sz val="13"/>
      <color theme="1"/>
      <name val="Calibri"/>
    </font>
    <font>
      <b/>
      <sz val="13"/>
      <color theme="1"/>
      <name val="Calibri"/>
    </font>
    <font>
      <sz val="11"/>
      <color theme="1"/>
      <name val="Calibri"/>
      <scheme val="minor"/>
    </font>
    <font>
      <sz val="11"/>
      <color theme="1"/>
      <name val="Calibri"/>
      <family val="2"/>
    </font>
    <font>
      <b/>
      <sz val="9"/>
      <color rgb="FFFFFFFF"/>
      <name val="Arial"/>
      <family val="2"/>
    </font>
    <font>
      <sz val="9"/>
      <color rgb="FF000000"/>
      <name val="Arial"/>
      <family val="2"/>
    </font>
    <font>
      <sz val="11"/>
      <color rgb="FF000000"/>
      <name val="Calibri"/>
      <family val="2"/>
    </font>
    <font>
      <b/>
      <sz val="11"/>
      <color theme="1"/>
      <name val="Calibri"/>
      <family val="2"/>
    </font>
    <font>
      <sz val="11"/>
      <color rgb="FF000000"/>
      <name val="Arial"/>
      <family val="2"/>
    </font>
    <font>
      <sz val="12"/>
      <color rgb="FF000000"/>
      <name val="Arial"/>
      <family val="2"/>
    </font>
    <font>
      <sz val="11"/>
      <color theme="1"/>
      <name val="Arial"/>
      <family val="2"/>
    </font>
    <font>
      <b/>
      <sz val="9"/>
      <color theme="1"/>
      <name val="Arial"/>
      <family val="2"/>
    </font>
    <font>
      <i/>
      <sz val="11"/>
      <color theme="1"/>
      <name val="Calibri"/>
      <family val="2"/>
    </font>
    <font>
      <b/>
      <sz val="9"/>
      <color rgb="FFFFFFFF"/>
      <name val="Arial"/>
    </font>
    <font>
      <sz val="9"/>
      <color rgb="FF000000"/>
      <name val="Arial"/>
    </font>
    <font>
      <sz val="8"/>
      <name val="Calibri"/>
      <family val="2"/>
      <scheme val="minor"/>
    </font>
    <font>
      <b/>
      <sz val="12"/>
      <color theme="1"/>
      <name val="Calibri"/>
      <family val="2"/>
    </font>
    <font>
      <sz val="12"/>
      <name val="Calibri"/>
      <family val="2"/>
    </font>
    <font>
      <sz val="12"/>
      <color theme="1"/>
      <name val="Calibri"/>
      <family val="2"/>
    </font>
    <font>
      <i/>
      <sz val="12"/>
      <color theme="1"/>
      <name val="Calibri"/>
      <family val="2"/>
    </font>
    <font>
      <b/>
      <sz val="12"/>
      <color theme="0"/>
      <name val="Calibri"/>
      <family val="2"/>
    </font>
  </fonts>
  <fills count="29">
    <fill>
      <patternFill patternType="none"/>
    </fill>
    <fill>
      <patternFill patternType="gray125"/>
    </fill>
    <fill>
      <patternFill patternType="solid">
        <fgColor rgb="FF1F3864"/>
        <bgColor rgb="FF1F3864"/>
      </patternFill>
    </fill>
    <fill>
      <patternFill patternType="solid">
        <fgColor rgb="FFFEF2CB"/>
        <bgColor rgb="FFFEF2CB"/>
      </patternFill>
    </fill>
    <fill>
      <patternFill patternType="solid">
        <fgColor rgb="FFFFE598"/>
        <bgColor rgb="FFFFE598"/>
      </patternFill>
    </fill>
    <fill>
      <patternFill patternType="solid">
        <fgColor rgb="FFFFF4D1"/>
        <bgColor rgb="FFFFF4D1"/>
      </patternFill>
    </fill>
    <fill>
      <patternFill patternType="solid">
        <fgColor theme="0"/>
        <bgColor theme="0"/>
      </patternFill>
    </fill>
    <fill>
      <patternFill patternType="solid">
        <fgColor rgb="FFE1F8FF"/>
        <bgColor rgb="FFE1F8FF"/>
      </patternFill>
    </fill>
    <fill>
      <patternFill patternType="solid">
        <fgColor rgb="FF8EAADB"/>
        <bgColor rgb="FF8EAADB"/>
      </patternFill>
    </fill>
    <fill>
      <patternFill patternType="solid">
        <fgColor rgb="FF9CC2E5"/>
        <bgColor rgb="FF9CC2E5"/>
      </patternFill>
    </fill>
    <fill>
      <patternFill patternType="solid">
        <fgColor rgb="FF2E75B5"/>
        <bgColor rgb="FF2E75B5"/>
      </patternFill>
    </fill>
    <fill>
      <patternFill patternType="solid">
        <fgColor rgb="FFB4C6E7"/>
        <bgColor rgb="FFB4C6E7"/>
      </patternFill>
    </fill>
    <fill>
      <patternFill patternType="solid">
        <fgColor rgb="FFDEEAF6"/>
        <bgColor rgb="FFDEEAF6"/>
      </patternFill>
    </fill>
    <fill>
      <patternFill patternType="solid">
        <fgColor rgb="FFE2EFD9"/>
        <bgColor rgb="FFE2EFD9"/>
      </patternFill>
    </fill>
    <fill>
      <patternFill patternType="solid">
        <fgColor rgb="FF5175B9"/>
        <bgColor rgb="FF5175B9"/>
      </patternFill>
    </fill>
    <fill>
      <patternFill patternType="solid">
        <fgColor theme="9"/>
        <bgColor theme="9"/>
      </patternFill>
    </fill>
    <fill>
      <patternFill patternType="solid">
        <fgColor rgb="FFF0F0F4"/>
        <bgColor rgb="FFF0F0F4"/>
      </patternFill>
    </fill>
    <fill>
      <patternFill patternType="solid">
        <fgColor rgb="FFFFFFFF"/>
        <bgColor rgb="FFFFFFFF"/>
      </patternFill>
    </fill>
    <fill>
      <patternFill patternType="solid">
        <fgColor rgb="FFC0C0C0"/>
        <bgColor rgb="FFC0C0C0"/>
      </patternFill>
    </fill>
    <fill>
      <patternFill patternType="solid">
        <fgColor rgb="FFA8D08D"/>
        <bgColor rgb="FFA8D08D"/>
      </patternFill>
    </fill>
    <fill>
      <patternFill patternType="solid">
        <fgColor rgb="FFD9E2F3"/>
        <bgColor rgb="FFD9E2F3"/>
      </patternFill>
    </fill>
    <fill>
      <patternFill patternType="solid">
        <fgColor theme="8" tint="0.39997558519241921"/>
        <bgColor rgb="FFE1F8FF"/>
      </patternFill>
    </fill>
    <fill>
      <patternFill patternType="solid">
        <fgColor theme="0"/>
        <bgColor rgb="FFE1F8FF"/>
      </patternFill>
    </fill>
    <fill>
      <patternFill patternType="solid">
        <fgColor theme="7" tint="0.79998168889431442"/>
        <bgColor rgb="FFDEEAF6"/>
      </patternFill>
    </fill>
    <fill>
      <patternFill patternType="solid">
        <fgColor theme="5" tint="0.79998168889431442"/>
        <bgColor rgb="FFDEEAF6"/>
      </patternFill>
    </fill>
    <fill>
      <patternFill patternType="solid">
        <fgColor theme="2" tint="-0.14999847407452621"/>
        <bgColor rgb="FF9CC2E5"/>
      </patternFill>
    </fill>
    <fill>
      <patternFill patternType="solid">
        <fgColor theme="2" tint="-0.14999847407452621"/>
        <bgColor rgb="FFDEEAF6"/>
      </patternFill>
    </fill>
    <fill>
      <patternFill patternType="solid">
        <fgColor theme="5" tint="0.79998168889431442"/>
        <bgColor rgb="FF9CC2E5"/>
      </patternFill>
    </fill>
    <fill>
      <patternFill patternType="solid">
        <fgColor theme="7" tint="0.79998168889431442"/>
        <bgColor rgb="FF8EAADB"/>
      </patternFill>
    </fill>
  </fills>
  <borders count="77">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bottom/>
      <diagonal/>
    </border>
    <border>
      <left/>
      <right style="thin">
        <color rgb="FF000000"/>
      </right>
      <top/>
      <bottom/>
      <diagonal/>
    </border>
    <border>
      <left style="medium">
        <color rgb="FF000000"/>
      </left>
      <right/>
      <top/>
      <bottom style="medium">
        <color rgb="FF000000"/>
      </bottom>
      <diagonal/>
    </border>
    <border>
      <left style="thin">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medium">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rgb="FFCACAD9"/>
      </left>
      <right style="thin">
        <color rgb="FFCACAD9"/>
      </right>
      <top style="thin">
        <color rgb="FFCACAD9"/>
      </top>
      <bottom style="thin">
        <color rgb="FFCACAD9"/>
      </bottom>
      <diagonal/>
    </border>
    <border>
      <left style="thin">
        <color rgb="FFCACAD9"/>
      </left>
      <right style="thin">
        <color rgb="FFCACAD9"/>
      </right>
      <top/>
      <bottom/>
      <diagonal/>
    </border>
    <border>
      <left style="thin">
        <color rgb="FFCAC9D9"/>
      </left>
      <right style="thin">
        <color rgb="FFCAC9D9"/>
      </right>
      <top style="thin">
        <color rgb="FFCAC9D9"/>
      </top>
      <bottom style="thin">
        <color rgb="FFCAC9D9"/>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top/>
      <bottom style="thin">
        <color rgb="FF9CC2E5"/>
      </bottom>
      <diagonal/>
    </border>
    <border>
      <left/>
      <right/>
      <top style="thin">
        <color rgb="FFCACAD9"/>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CACAD9"/>
      </bottom>
      <diagonal/>
    </border>
    <border>
      <left style="thin">
        <color rgb="FF000000"/>
      </left>
      <right/>
      <top style="thin">
        <color rgb="FFCACAD9"/>
      </top>
      <bottom style="thin">
        <color rgb="FFCACAD9"/>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CACAD9"/>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style="thin">
        <color rgb="FFCACAD9"/>
      </bottom>
      <diagonal/>
    </border>
    <border>
      <left style="thin">
        <color rgb="FF000000"/>
      </left>
      <right style="thin">
        <color rgb="FF000000"/>
      </right>
      <top style="thin">
        <color rgb="FF000000"/>
      </top>
      <bottom/>
      <diagonal/>
    </border>
    <border>
      <left style="thin">
        <color rgb="FF000000"/>
      </left>
      <right style="thin">
        <color rgb="FF000000"/>
      </right>
      <top style="thin">
        <color rgb="FFCACAD9"/>
      </top>
      <bottom style="thin">
        <color rgb="FFCACAD9"/>
      </bottom>
      <diagonal/>
    </border>
    <border>
      <left style="thin">
        <color rgb="FF000000"/>
      </left>
      <right style="thin">
        <color rgb="FF000000"/>
      </right>
      <top style="thin">
        <color rgb="FFCACAD9"/>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1" fillId="0" borderId="9"/>
    <xf numFmtId="44" fontId="2" fillId="0" borderId="9" applyFont="0" applyFill="0" applyBorder="0" applyAlignment="0" applyProtection="0"/>
  </cellStyleXfs>
  <cellXfs count="170">
    <xf numFmtId="0" fontId="0" fillId="0" borderId="0" xfId="0"/>
    <xf numFmtId="0" fontId="5" fillId="0" borderId="0" xfId="0" applyFont="1"/>
    <xf numFmtId="0" fontId="5" fillId="3" borderId="9" xfId="0" applyFont="1" applyFill="1" applyBorder="1"/>
    <xf numFmtId="0" fontId="5" fillId="3" borderId="9" xfId="0" applyFont="1" applyFill="1" applyBorder="1" applyAlignment="1">
      <alignment horizontal="center"/>
    </xf>
    <xf numFmtId="0" fontId="5" fillId="3" borderId="9" xfId="0" applyFont="1" applyFill="1" applyBorder="1" applyAlignment="1">
      <alignment wrapText="1"/>
    </xf>
    <xf numFmtId="0" fontId="5" fillId="3" borderId="9" xfId="0" applyFont="1" applyFill="1" applyBorder="1" applyAlignment="1">
      <alignment horizontal="center" wrapText="1"/>
    </xf>
    <xf numFmtId="0" fontId="5" fillId="0" borderId="0" xfId="0" applyFont="1" applyAlignment="1">
      <alignment wrapText="1"/>
    </xf>
    <xf numFmtId="1" fontId="5" fillId="0" borderId="0" xfId="0" applyNumberFormat="1" applyFont="1"/>
    <xf numFmtId="0" fontId="5" fillId="7" borderId="9" xfId="0" applyFont="1" applyFill="1" applyBorder="1"/>
    <xf numFmtId="0" fontId="5" fillId="7" borderId="9" xfId="0" applyFont="1" applyFill="1" applyBorder="1" applyAlignment="1">
      <alignment horizontal="center"/>
    </xf>
    <xf numFmtId="0" fontId="7" fillId="10" borderId="25" xfId="0" applyFont="1" applyFill="1" applyBorder="1" applyAlignment="1">
      <alignment horizontal="center" vertical="center" wrapText="1"/>
    </xf>
    <xf numFmtId="14" fontId="5" fillId="11" borderId="30" xfId="0" applyNumberFormat="1" applyFont="1" applyFill="1" applyBorder="1" applyAlignment="1">
      <alignment horizontal="center" vertical="center"/>
    </xf>
    <xf numFmtId="0" fontId="5" fillId="0" borderId="0" xfId="0" applyFont="1" applyAlignment="1">
      <alignment vertical="center" wrapText="1"/>
    </xf>
    <xf numFmtId="14" fontId="5" fillId="7" borderId="9" xfId="0" applyNumberFormat="1" applyFont="1" applyFill="1" applyBorder="1"/>
    <xf numFmtId="0" fontId="5" fillId="0" borderId="0" xfId="0" applyFont="1" applyAlignment="1">
      <alignment horizontal="center"/>
    </xf>
    <xf numFmtId="0" fontId="11" fillId="0" borderId="9" xfId="1"/>
    <xf numFmtId="0" fontId="2" fillId="0" borderId="9" xfId="1" applyFont="1"/>
    <xf numFmtId="0" fontId="12" fillId="0" borderId="9" xfId="1" applyFont="1"/>
    <xf numFmtId="0" fontId="15" fillId="18" borderId="51" xfId="1" applyFont="1" applyFill="1" applyBorder="1" applyAlignment="1">
      <alignment horizontal="center"/>
    </xf>
    <xf numFmtId="0" fontId="15" fillId="0" borderId="52" xfId="1" applyFont="1" applyBorder="1" applyAlignment="1">
      <alignment horizontal="right" wrapText="1"/>
    </xf>
    <xf numFmtId="0" fontId="15" fillId="0" borderId="52" xfId="1" applyFont="1" applyBorder="1" applyAlignment="1">
      <alignment wrapText="1"/>
    </xf>
    <xf numFmtId="0" fontId="2" fillId="0" borderId="9" xfId="1" applyFont="1" applyAlignment="1">
      <alignment vertical="top"/>
    </xf>
    <xf numFmtId="0" fontId="11" fillId="0" borderId="9" xfId="1" applyAlignment="1">
      <alignment vertical="top"/>
    </xf>
    <xf numFmtId="44" fontId="2" fillId="0" borderId="9" xfId="2" applyBorder="1"/>
    <xf numFmtId="49" fontId="13" fillId="14" borderId="48" xfId="1" applyNumberFormat="1" applyFont="1" applyFill="1" applyBorder="1" applyAlignment="1">
      <alignment horizontal="center" vertical="center" shrinkToFit="1"/>
    </xf>
    <xf numFmtId="2" fontId="13" fillId="14" borderId="48" xfId="1" applyNumberFormat="1" applyFont="1" applyFill="1" applyBorder="1" applyAlignment="1">
      <alignment horizontal="left" vertical="center" shrinkToFit="1"/>
    </xf>
    <xf numFmtId="0" fontId="12" fillId="0" borderId="9" xfId="1" applyFont="1" applyAlignment="1">
      <alignment vertical="center" wrapText="1"/>
    </xf>
    <xf numFmtId="0" fontId="16" fillId="0" borderId="9" xfId="1" applyFont="1"/>
    <xf numFmtId="14" fontId="12" fillId="0" borderId="9" xfId="1" applyNumberFormat="1" applyFont="1"/>
    <xf numFmtId="1" fontId="12" fillId="0" borderId="9" xfId="1" applyNumberFormat="1" applyFont="1"/>
    <xf numFmtId="0" fontId="16" fillId="0" borderId="53" xfId="1" applyFont="1" applyBorder="1"/>
    <xf numFmtId="14" fontId="12" fillId="0" borderId="9" xfId="1" applyNumberFormat="1" applyFont="1" applyAlignment="1">
      <alignment horizontal="left"/>
    </xf>
    <xf numFmtId="49" fontId="13" fillId="19" borderId="48" xfId="1" applyNumberFormat="1" applyFont="1" applyFill="1" applyBorder="1" applyAlignment="1">
      <alignment horizontal="center" vertical="center" shrinkToFit="1"/>
    </xf>
    <xf numFmtId="49" fontId="13" fillId="19" borderId="49" xfId="1" applyNumberFormat="1" applyFont="1" applyFill="1" applyBorder="1" applyAlignment="1">
      <alignment horizontal="center" vertical="center" shrinkToFit="1"/>
    </xf>
    <xf numFmtId="0" fontId="12" fillId="0" borderId="54" xfId="1" applyFont="1" applyBorder="1" applyAlignment="1">
      <alignment horizontal="right"/>
    </xf>
    <xf numFmtId="164" fontId="12" fillId="0" borderId="54" xfId="1" applyNumberFormat="1" applyFont="1" applyBorder="1" applyAlignment="1">
      <alignment horizontal="right"/>
    </xf>
    <xf numFmtId="0" fontId="12" fillId="0" borderId="9" xfId="1" applyFont="1" applyAlignment="1">
      <alignment horizontal="right"/>
    </xf>
    <xf numFmtId="164" fontId="12" fillId="0" borderId="9" xfId="1" applyNumberFormat="1" applyFont="1" applyAlignment="1">
      <alignment horizontal="right"/>
    </xf>
    <xf numFmtId="0" fontId="17" fillId="0" borderId="9" xfId="1" applyFont="1" applyAlignment="1">
      <alignment horizontal="left" vertical="center"/>
    </xf>
    <xf numFmtId="0" fontId="18" fillId="0" borderId="9" xfId="1" applyFont="1"/>
    <xf numFmtId="0" fontId="19" fillId="3" borderId="55" xfId="1" applyFont="1" applyFill="1" applyBorder="1" applyAlignment="1">
      <alignment horizontal="left" vertical="center"/>
    </xf>
    <xf numFmtId="0" fontId="12" fillId="3" borderId="56" xfId="1" applyFont="1" applyFill="1" applyBorder="1"/>
    <xf numFmtId="0" fontId="12" fillId="3" borderId="57" xfId="1" applyFont="1" applyFill="1" applyBorder="1"/>
    <xf numFmtId="0" fontId="19" fillId="3" borderId="58" xfId="1" applyFont="1" applyFill="1" applyBorder="1" applyAlignment="1">
      <alignment horizontal="left" vertical="center"/>
    </xf>
    <xf numFmtId="0" fontId="12" fillId="3" borderId="51" xfId="1" applyFont="1" applyFill="1" applyBorder="1"/>
    <xf numFmtId="0" fontId="12" fillId="3" borderId="59" xfId="1" applyFont="1" applyFill="1" applyBorder="1"/>
    <xf numFmtId="49" fontId="20" fillId="3" borderId="60" xfId="1" applyNumberFormat="1" applyFont="1" applyFill="1" applyBorder="1" applyAlignment="1">
      <alignment horizontal="left" shrinkToFit="1"/>
    </xf>
    <xf numFmtId="0" fontId="12" fillId="6" borderId="38" xfId="1" applyFont="1" applyFill="1" applyBorder="1"/>
    <xf numFmtId="0" fontId="12" fillId="6" borderId="37" xfId="1" applyFont="1" applyFill="1" applyBorder="1"/>
    <xf numFmtId="49" fontId="20" fillId="3" borderId="61" xfId="1" applyNumberFormat="1" applyFont="1" applyFill="1" applyBorder="1" applyAlignment="1">
      <alignment horizontal="left" shrinkToFit="1"/>
    </xf>
    <xf numFmtId="49" fontId="20" fillId="3" borderId="62" xfId="1" applyNumberFormat="1" applyFont="1" applyFill="1" applyBorder="1" applyAlignment="1">
      <alignment horizontal="left" shrinkToFit="1"/>
    </xf>
    <xf numFmtId="0" fontId="12" fillId="6" borderId="63" xfId="1" applyFont="1" applyFill="1" applyBorder="1"/>
    <xf numFmtId="0" fontId="12" fillId="6" borderId="64" xfId="1" applyFont="1" applyFill="1" applyBorder="1"/>
    <xf numFmtId="49" fontId="20" fillId="3" borderId="65" xfId="1" applyNumberFormat="1" applyFont="1" applyFill="1" applyBorder="1" applyAlignment="1">
      <alignment horizontal="left" shrinkToFit="1"/>
    </xf>
    <xf numFmtId="49" fontId="20" fillId="3" borderId="66" xfId="1" applyNumberFormat="1" applyFont="1" applyFill="1" applyBorder="1" applyAlignment="1">
      <alignment horizontal="left" shrinkToFit="1"/>
    </xf>
    <xf numFmtId="0" fontId="19" fillId="20" borderId="55" xfId="1" applyFont="1" applyFill="1" applyBorder="1" applyAlignment="1">
      <alignment horizontal="left" vertical="center"/>
    </xf>
    <xf numFmtId="0" fontId="12" fillId="20" borderId="56" xfId="1" applyFont="1" applyFill="1" applyBorder="1"/>
    <xf numFmtId="0" fontId="12" fillId="20" borderId="57" xfId="1" applyFont="1" applyFill="1" applyBorder="1"/>
    <xf numFmtId="0" fontId="19" fillId="20" borderId="58" xfId="1" applyFont="1" applyFill="1" applyBorder="1" applyAlignment="1">
      <alignment horizontal="left" vertical="center"/>
    </xf>
    <xf numFmtId="0" fontId="12" fillId="20" borderId="51" xfId="1" applyFont="1" applyFill="1" applyBorder="1"/>
    <xf numFmtId="0" fontId="12" fillId="20" borderId="59" xfId="1" applyFont="1" applyFill="1" applyBorder="1"/>
    <xf numFmtId="49" fontId="20" fillId="20" borderId="60" xfId="1" applyNumberFormat="1" applyFont="1" applyFill="1" applyBorder="1" applyAlignment="1">
      <alignment horizontal="left" shrinkToFit="1"/>
    </xf>
    <xf numFmtId="49" fontId="20" fillId="20" borderId="61" xfId="1" applyNumberFormat="1" applyFont="1" applyFill="1" applyBorder="1" applyAlignment="1">
      <alignment horizontal="left" shrinkToFit="1"/>
    </xf>
    <xf numFmtId="49" fontId="20" fillId="20" borderId="66" xfId="1" applyNumberFormat="1" applyFont="1" applyFill="1" applyBorder="1" applyAlignment="1">
      <alignment horizontal="left" shrinkToFit="1"/>
    </xf>
    <xf numFmtId="0" fontId="12" fillId="6" borderId="67" xfId="1" applyFont="1" applyFill="1" applyBorder="1"/>
    <xf numFmtId="49" fontId="20" fillId="20" borderId="68" xfId="1" applyNumberFormat="1" applyFont="1" applyFill="1" applyBorder="1" applyAlignment="1">
      <alignment horizontal="left" shrinkToFit="1"/>
    </xf>
    <xf numFmtId="0" fontId="12" fillId="6" borderId="9" xfId="1" applyFont="1" applyFill="1"/>
    <xf numFmtId="0" fontId="12" fillId="6" borderId="69" xfId="1" applyFont="1" applyFill="1" applyBorder="1"/>
    <xf numFmtId="49" fontId="20" fillId="20" borderId="70" xfId="1" applyNumberFormat="1" applyFont="1" applyFill="1" applyBorder="1" applyAlignment="1">
      <alignment horizontal="left" shrinkToFit="1"/>
    </xf>
    <xf numFmtId="49" fontId="20" fillId="20" borderId="71" xfId="1" applyNumberFormat="1" applyFont="1" applyFill="1" applyBorder="1" applyAlignment="1">
      <alignment horizontal="left" shrinkToFit="1"/>
    </xf>
    <xf numFmtId="0" fontId="12" fillId="0" borderId="16" xfId="1" applyFont="1" applyBorder="1"/>
    <xf numFmtId="0" fontId="12" fillId="0" borderId="63" xfId="1" applyFont="1" applyBorder="1"/>
    <xf numFmtId="0" fontId="21" fillId="0" borderId="9" xfId="1" applyFont="1"/>
    <xf numFmtId="49" fontId="22" fillId="14" borderId="48" xfId="0" applyNumberFormat="1" applyFont="1" applyFill="1" applyBorder="1" applyAlignment="1">
      <alignment horizontal="left" shrinkToFit="1"/>
    </xf>
    <xf numFmtId="49" fontId="22" fillId="15" borderId="49" xfId="0" applyNumberFormat="1" applyFont="1" applyFill="1" applyBorder="1" applyAlignment="1">
      <alignment horizontal="left" shrinkToFit="1"/>
    </xf>
    <xf numFmtId="0" fontId="23" fillId="16" borderId="50" xfId="0" applyFont="1" applyFill="1" applyBorder="1" applyAlignment="1">
      <alignment horizontal="right" shrinkToFit="1"/>
    </xf>
    <xf numFmtId="0" fontId="11" fillId="0" borderId="0" xfId="0" applyFont="1"/>
    <xf numFmtId="2" fontId="5" fillId="0" borderId="0" xfId="0" applyNumberFormat="1" applyFont="1"/>
    <xf numFmtId="0" fontId="23" fillId="17" borderId="50" xfId="0" applyFont="1" applyFill="1" applyBorder="1" applyAlignment="1">
      <alignment horizontal="right" shrinkToFit="1"/>
    </xf>
    <xf numFmtId="44" fontId="11" fillId="0" borderId="9" xfId="1" applyNumberFormat="1"/>
    <xf numFmtId="0" fontId="1" fillId="0" borderId="9" xfId="1" applyFont="1" applyAlignment="1">
      <alignment vertical="top"/>
    </xf>
    <xf numFmtId="1" fontId="2" fillId="0" borderId="9" xfId="2" applyNumberFormat="1" applyBorder="1"/>
    <xf numFmtId="0" fontId="1" fillId="0" borderId="9" xfId="1" applyFont="1"/>
    <xf numFmtId="0" fontId="14" fillId="16" borderId="50" xfId="1" applyFont="1" applyFill="1" applyBorder="1" applyAlignment="1">
      <alignment horizontal="center" shrinkToFit="1"/>
    </xf>
    <xf numFmtId="0" fontId="2" fillId="0" borderId="9" xfId="1" applyFont="1" applyAlignment="1">
      <alignment horizontal="center"/>
    </xf>
    <xf numFmtId="0" fontId="11" fillId="0" borderId="9" xfId="1" applyAlignment="1">
      <alignment horizontal="center"/>
    </xf>
    <xf numFmtId="0" fontId="12" fillId="0" borderId="9" xfId="1" applyFont="1" applyAlignment="1">
      <alignment horizontal="center"/>
    </xf>
    <xf numFmtId="0" fontId="14" fillId="17" borderId="50" xfId="1" applyFont="1" applyFill="1" applyBorder="1" applyAlignment="1">
      <alignment horizontal="center" shrinkToFit="1"/>
    </xf>
    <xf numFmtId="49" fontId="13" fillId="14" borderId="48" xfId="1" applyNumberFormat="1" applyFont="1" applyFill="1" applyBorder="1" applyAlignment="1">
      <alignment horizontal="center" vertical="top" shrinkToFit="1"/>
    </xf>
    <xf numFmtId="49" fontId="13" fillId="15" borderId="49" xfId="1" applyNumberFormat="1" applyFont="1" applyFill="1" applyBorder="1" applyAlignment="1">
      <alignment horizontal="center" vertical="top" shrinkToFit="1"/>
    </xf>
    <xf numFmtId="49" fontId="13" fillId="14" borderId="49" xfId="1" applyNumberFormat="1" applyFont="1" applyFill="1" applyBorder="1" applyAlignment="1">
      <alignment horizontal="center" vertical="top" shrinkToFit="1"/>
    </xf>
    <xf numFmtId="0" fontId="27" fillId="9" borderId="23" xfId="0" applyFont="1" applyFill="1" applyBorder="1" applyAlignment="1">
      <alignment vertical="center"/>
    </xf>
    <xf numFmtId="0" fontId="27" fillId="9" borderId="24" xfId="0" applyFont="1" applyFill="1" applyBorder="1" applyAlignment="1">
      <alignment vertical="center"/>
    </xf>
    <xf numFmtId="14" fontId="27" fillId="9" borderId="9" xfId="0" applyNumberFormat="1" applyFont="1" applyFill="1" applyBorder="1" applyAlignment="1">
      <alignment horizontal="center" vertical="center"/>
    </xf>
    <xf numFmtId="0" fontId="27" fillId="9" borderId="33" xfId="0" applyFont="1" applyFill="1" applyBorder="1"/>
    <xf numFmtId="0" fontId="27" fillId="9" borderId="34" xfId="0" applyFont="1" applyFill="1" applyBorder="1"/>
    <xf numFmtId="1" fontId="25" fillId="12" borderId="34" xfId="0" applyNumberFormat="1" applyFont="1" applyFill="1" applyBorder="1" applyAlignment="1">
      <alignment horizontal="center"/>
    </xf>
    <xf numFmtId="1" fontId="25" fillId="12" borderId="35" xfId="0" applyNumberFormat="1" applyFont="1" applyFill="1" applyBorder="1" applyAlignment="1">
      <alignment horizontal="center"/>
    </xf>
    <xf numFmtId="0" fontId="25" fillId="12" borderId="24" xfId="0" applyFont="1" applyFill="1" applyBorder="1" applyAlignment="1">
      <alignment horizontal="center"/>
    </xf>
    <xf numFmtId="0" fontId="27" fillId="9" borderId="36" xfId="0" applyFont="1" applyFill="1" applyBorder="1"/>
    <xf numFmtId="0" fontId="27" fillId="9" borderId="37" xfId="0" applyFont="1" applyFill="1" applyBorder="1"/>
    <xf numFmtId="1" fontId="27" fillId="12" borderId="37" xfId="0" applyNumberFormat="1" applyFont="1" applyFill="1" applyBorder="1" applyAlignment="1">
      <alignment horizontal="center"/>
    </xf>
    <xf numFmtId="1" fontId="25" fillId="12" borderId="38" xfId="0" applyNumberFormat="1" applyFont="1" applyFill="1" applyBorder="1" applyAlignment="1">
      <alignment horizontal="center"/>
    </xf>
    <xf numFmtId="1" fontId="27" fillId="12" borderId="38" xfId="0" applyNumberFormat="1" applyFont="1" applyFill="1" applyBorder="1" applyAlignment="1">
      <alignment horizontal="center"/>
    </xf>
    <xf numFmtId="0" fontId="25" fillId="8" borderId="30" xfId="0" applyFont="1" applyFill="1" applyBorder="1" applyAlignment="1">
      <alignment vertical="center"/>
    </xf>
    <xf numFmtId="0" fontId="25" fillId="8" borderId="39" xfId="0" applyFont="1" applyFill="1" applyBorder="1" applyAlignment="1">
      <alignment vertical="center"/>
    </xf>
    <xf numFmtId="1" fontId="27" fillId="12" borderId="39" xfId="0" applyNumberFormat="1" applyFont="1" applyFill="1" applyBorder="1" applyAlignment="1">
      <alignment horizontal="center" vertical="center"/>
    </xf>
    <xf numFmtId="0" fontId="29" fillId="10" borderId="27" xfId="0" applyFont="1" applyFill="1" applyBorder="1" applyAlignment="1">
      <alignment horizontal="center" vertical="center" wrapText="1"/>
    </xf>
    <xf numFmtId="1" fontId="27" fillId="13" borderId="14" xfId="0" applyNumberFormat="1" applyFont="1" applyFill="1" applyBorder="1" applyAlignment="1">
      <alignment horizontal="center" vertical="center"/>
    </xf>
    <xf numFmtId="9" fontId="27" fillId="13" borderId="14" xfId="0" applyNumberFormat="1" applyFont="1" applyFill="1" applyBorder="1" applyAlignment="1">
      <alignment horizontal="center" vertical="center"/>
    </xf>
    <xf numFmtId="0" fontId="27" fillId="5" borderId="15" xfId="0" applyFont="1" applyFill="1" applyBorder="1" applyAlignment="1">
      <alignment horizontal="center" vertical="center" wrapText="1"/>
    </xf>
    <xf numFmtId="0" fontId="27" fillId="5" borderId="16" xfId="0" applyFont="1" applyFill="1" applyBorder="1" applyAlignment="1">
      <alignment horizontal="center" vertical="center" wrapText="1"/>
    </xf>
    <xf numFmtId="0" fontId="27" fillId="5" borderId="17" xfId="0" applyFont="1" applyFill="1" applyBorder="1" applyAlignment="1">
      <alignment horizontal="center" vertical="center" wrapText="1"/>
    </xf>
    <xf numFmtId="0" fontId="27" fillId="5" borderId="72" xfId="0" applyFont="1" applyFill="1" applyBorder="1" applyAlignment="1">
      <alignment horizontal="center" vertical="center" wrapText="1"/>
    </xf>
    <xf numFmtId="0" fontId="27" fillId="6" borderId="20" xfId="0" applyFont="1" applyFill="1" applyBorder="1" applyAlignment="1">
      <alignment horizontal="center" vertical="center" wrapText="1"/>
    </xf>
    <xf numFmtId="0" fontId="27" fillId="6" borderId="21" xfId="0" applyFont="1" applyFill="1" applyBorder="1" applyAlignment="1">
      <alignment horizontal="center" vertical="center" wrapText="1"/>
    </xf>
    <xf numFmtId="0" fontId="27" fillId="6" borderId="19" xfId="0" applyFont="1" applyFill="1" applyBorder="1" applyAlignment="1">
      <alignment horizontal="center" vertical="center" wrapText="1"/>
    </xf>
    <xf numFmtId="0" fontId="27" fillId="4" borderId="13" xfId="0" applyFont="1" applyFill="1" applyBorder="1" applyAlignment="1">
      <alignment horizontal="center" vertical="center"/>
    </xf>
    <xf numFmtId="0" fontId="27" fillId="4" borderId="14" xfId="0" applyFont="1" applyFill="1" applyBorder="1" applyAlignment="1">
      <alignment horizontal="center" vertical="center"/>
    </xf>
    <xf numFmtId="14" fontId="27" fillId="0" borderId="13" xfId="0" applyNumberFormat="1" applyFont="1" applyBorder="1" applyAlignment="1">
      <alignment horizontal="center" vertical="center" wrapText="1"/>
    </xf>
    <xf numFmtId="0" fontId="27" fillId="6" borderId="18" xfId="0" applyFont="1" applyFill="1" applyBorder="1" applyAlignment="1">
      <alignment horizontal="center" vertical="center" wrapText="1"/>
    </xf>
    <xf numFmtId="0" fontId="29" fillId="10" borderId="30" xfId="0" applyFont="1" applyFill="1" applyBorder="1" applyAlignment="1">
      <alignment horizontal="left" vertical="center" wrapText="1"/>
    </xf>
    <xf numFmtId="0" fontId="27" fillId="22" borderId="72" xfId="0" applyFont="1" applyFill="1" applyBorder="1" applyAlignment="1">
      <alignment horizontal="center"/>
    </xf>
    <xf numFmtId="0" fontId="29" fillId="10" borderId="25" xfId="0" applyFont="1" applyFill="1" applyBorder="1" applyAlignment="1">
      <alignment horizontal="left" vertical="center" wrapText="1"/>
    </xf>
    <xf numFmtId="0" fontId="27" fillId="22" borderId="73" xfId="0" applyFont="1" applyFill="1" applyBorder="1" applyAlignment="1">
      <alignment horizontal="center"/>
    </xf>
    <xf numFmtId="44" fontId="27" fillId="22" borderId="73" xfId="0" applyNumberFormat="1" applyFont="1" applyFill="1" applyBorder="1"/>
    <xf numFmtId="0" fontId="29" fillId="10" borderId="26" xfId="0" applyFont="1" applyFill="1" applyBorder="1" applyAlignment="1">
      <alignment horizontal="center" vertical="center" wrapText="1"/>
    </xf>
    <xf numFmtId="14" fontId="27" fillId="11" borderId="31" xfId="0" applyNumberFormat="1" applyFont="1" applyFill="1" applyBorder="1" applyAlignment="1">
      <alignment horizontal="center" vertical="center"/>
    </xf>
    <xf numFmtId="1" fontId="27" fillId="11" borderId="32" xfId="0" applyNumberFormat="1" applyFont="1" applyFill="1" applyBorder="1" applyAlignment="1">
      <alignment horizontal="center" vertical="center"/>
    </xf>
    <xf numFmtId="1" fontId="25" fillId="23" borderId="39" xfId="0" applyNumberFormat="1" applyFont="1" applyFill="1" applyBorder="1" applyAlignment="1">
      <alignment horizontal="center" vertical="center"/>
    </xf>
    <xf numFmtId="1" fontId="27" fillId="24" borderId="37" xfId="0" applyNumberFormat="1" applyFont="1" applyFill="1" applyBorder="1" applyAlignment="1">
      <alignment horizontal="center"/>
    </xf>
    <xf numFmtId="0" fontId="28" fillId="25" borderId="36" xfId="0" applyFont="1" applyFill="1" applyBorder="1"/>
    <xf numFmtId="0" fontId="28" fillId="25" borderId="37" xfId="0" applyFont="1" applyFill="1" applyBorder="1"/>
    <xf numFmtId="1" fontId="28" fillId="26" borderId="37" xfId="0" applyNumberFormat="1" applyFont="1" applyFill="1" applyBorder="1" applyAlignment="1">
      <alignment horizontal="center"/>
    </xf>
    <xf numFmtId="0" fontId="27" fillId="27" borderId="36" xfId="0" applyFont="1" applyFill="1" applyBorder="1"/>
    <xf numFmtId="0" fontId="27" fillId="27" borderId="37" xfId="0" applyFont="1" applyFill="1" applyBorder="1"/>
    <xf numFmtId="0" fontId="25" fillId="28" borderId="30" xfId="0" applyFont="1" applyFill="1" applyBorder="1" applyAlignment="1">
      <alignment vertical="center"/>
    </xf>
    <xf numFmtId="0" fontId="25" fillId="28" borderId="39" xfId="0" applyFont="1" applyFill="1" applyBorder="1" applyAlignment="1">
      <alignment vertical="center"/>
    </xf>
    <xf numFmtId="0" fontId="5" fillId="0" borderId="40" xfId="0" applyFont="1" applyBorder="1" applyAlignment="1">
      <alignment vertical="center" wrapText="1"/>
    </xf>
    <xf numFmtId="0" fontId="4" fillId="0" borderId="41" xfId="0" applyFont="1" applyBorder="1"/>
    <xf numFmtId="0" fontId="4" fillId="0" borderId="42" xfId="0" applyFont="1" applyBorder="1"/>
    <xf numFmtId="0" fontId="4" fillId="0" borderId="43" xfId="0" applyFont="1" applyBorder="1"/>
    <xf numFmtId="0" fontId="0" fillId="0" borderId="0" xfId="0"/>
    <xf numFmtId="0" fontId="4" fillId="0" borderId="44" xfId="0" applyFont="1" applyBorder="1"/>
    <xf numFmtId="0" fontId="4" fillId="0" borderId="45" xfId="0" applyFont="1" applyBorder="1"/>
    <xf numFmtId="0" fontId="4" fillId="0" borderId="46" xfId="0" applyFont="1" applyBorder="1"/>
    <xf numFmtId="0" fontId="4" fillId="0" borderId="47" xfId="0" applyFont="1" applyBorder="1"/>
    <xf numFmtId="0" fontId="3" fillId="2" borderId="1" xfId="0" applyFont="1" applyFill="1" applyBorder="1" applyAlignment="1">
      <alignment horizontal="center" vertical="center"/>
    </xf>
    <xf numFmtId="0" fontId="4" fillId="0" borderId="2" xfId="0" applyFont="1" applyBorder="1"/>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7" xfId="0" applyFont="1" applyBorder="1"/>
    <xf numFmtId="0" fontId="4" fillId="0" borderId="8" xfId="0" applyFont="1" applyBorder="1"/>
    <xf numFmtId="0" fontId="25" fillId="4" borderId="10" xfId="0" applyFont="1" applyFill="1" applyBorder="1" applyAlignment="1">
      <alignment horizontal="center" vertical="center"/>
    </xf>
    <xf numFmtId="0" fontId="26" fillId="0" borderId="11" xfId="0" applyFont="1" applyBorder="1"/>
    <xf numFmtId="0" fontId="26" fillId="0" borderId="12" xfId="0" applyFont="1" applyBorder="1"/>
    <xf numFmtId="0" fontId="25" fillId="9" borderId="1" xfId="0" applyFont="1" applyFill="1" applyBorder="1" applyAlignment="1">
      <alignment horizontal="center" vertical="center"/>
    </xf>
    <xf numFmtId="0" fontId="26" fillId="0" borderId="22" xfId="0" applyFont="1" applyBorder="1"/>
    <xf numFmtId="0" fontId="26" fillId="0" borderId="28" xfId="0" applyFont="1" applyBorder="1"/>
    <xf numFmtId="0" fontId="26" fillId="0" borderId="29" xfId="0" applyFont="1" applyBorder="1"/>
    <xf numFmtId="0" fontId="6" fillId="8" borderId="10" xfId="0" applyFont="1" applyFill="1" applyBorder="1" applyAlignment="1">
      <alignment horizontal="center" vertical="center"/>
    </xf>
    <xf numFmtId="0" fontId="4" fillId="0" borderId="11" xfId="0" applyFont="1" applyBorder="1"/>
    <xf numFmtId="0" fontId="4" fillId="0" borderId="12" xfId="0" applyFont="1" applyBorder="1"/>
    <xf numFmtId="0" fontId="25" fillId="4" borderId="74" xfId="0" applyFont="1" applyFill="1" applyBorder="1" applyAlignment="1">
      <alignment horizontal="center"/>
    </xf>
    <xf numFmtId="0" fontId="25" fillId="4" borderId="75" xfId="0" applyFont="1" applyFill="1" applyBorder="1" applyAlignment="1">
      <alignment horizontal="center"/>
    </xf>
    <xf numFmtId="0" fontId="25" fillId="4" borderId="76" xfId="0" applyFont="1" applyFill="1" applyBorder="1" applyAlignment="1">
      <alignment horizontal="center"/>
    </xf>
    <xf numFmtId="0" fontId="25" fillId="21" borderId="74" xfId="0" applyFont="1" applyFill="1" applyBorder="1" applyAlignment="1">
      <alignment horizontal="center"/>
    </xf>
    <xf numFmtId="0" fontId="25" fillId="21" borderId="76" xfId="0" applyFont="1" applyFill="1" applyBorder="1" applyAlignment="1">
      <alignment horizontal="center"/>
    </xf>
  </cellXfs>
  <cellStyles count="3">
    <cellStyle name="Monétaire 2" xfId="2" xr:uid="{00B7C425-C3B7-4808-BEEA-CE5E546025E2}"/>
    <cellStyle name="Normal" xfId="0" builtinId="0"/>
    <cellStyle name="Normal 2" xfId="1" xr:uid="{9E69BAC8-DF69-4E92-8B2D-0229DD0DD39F}"/>
  </cellStyles>
  <dxfs count="41">
    <dxf>
      <font>
        <color rgb="FF9C0006"/>
      </font>
    </dxf>
    <dxf>
      <font>
        <color rgb="FF9C0006"/>
      </font>
    </dxf>
    <dxf>
      <font>
        <color rgb="FFC00000"/>
      </font>
      <fill>
        <patternFill patternType="none"/>
      </fill>
    </dxf>
    <dxf>
      <font>
        <color rgb="FF9C0006"/>
      </font>
    </dxf>
    <dxf>
      <font>
        <b/>
        <i val="0"/>
        <color rgb="FF9C0006"/>
      </font>
    </dxf>
    <dxf>
      <font>
        <b/>
        <i val="0"/>
        <color rgb="FFFF0000"/>
      </font>
    </dxf>
    <dxf>
      <font>
        <color rgb="FFC00000"/>
      </font>
      <fill>
        <patternFill patternType="none"/>
      </fill>
    </dxf>
    <dxf>
      <fill>
        <patternFill patternType="none"/>
      </fill>
    </dxf>
    <dxf>
      <font>
        <b/>
        <i val="0"/>
        <color rgb="FFFF0000"/>
      </font>
    </dxf>
    <dxf>
      <font>
        <b/>
        <i val="0"/>
        <color rgb="FF9C0006"/>
      </font>
    </dxf>
    <dxf>
      <font>
        <color rgb="FF9C0006"/>
      </font>
    </dxf>
    <dxf>
      <font>
        <color rgb="FFC00000"/>
      </font>
      <fill>
        <patternFill patternType="none"/>
      </fill>
    </dxf>
    <dxf>
      <font>
        <color rgb="FF9C0006"/>
      </font>
    </dxf>
    <dxf>
      <font>
        <b/>
        <i val="0"/>
        <color rgb="FF9C0006"/>
      </font>
    </dxf>
    <dxf>
      <font>
        <b/>
        <i val="0"/>
        <color rgb="FFFF0000"/>
      </font>
    </dxf>
    <dxf>
      <font>
        <color rgb="FFC00000"/>
      </font>
      <fill>
        <patternFill patternType="none"/>
      </fill>
    </dxf>
    <dxf>
      <fill>
        <patternFill patternType="none"/>
      </fill>
    </dxf>
    <dxf>
      <font>
        <b/>
        <i val="0"/>
        <color rgb="FFFF0000"/>
      </font>
    </dxf>
    <dxf>
      <font>
        <color rgb="FF9C0006"/>
      </font>
    </dxf>
    <dxf>
      <font>
        <color rgb="FFC00000"/>
      </font>
      <fill>
        <patternFill patternType="none"/>
      </fill>
    </dxf>
    <dxf>
      <font>
        <color rgb="FF9C0006"/>
      </font>
    </dxf>
    <dxf>
      <font>
        <b/>
        <i val="0"/>
        <color rgb="FF9C0006"/>
      </font>
    </dxf>
    <dxf>
      <font>
        <b/>
        <i val="0"/>
        <color rgb="FF9C0006"/>
      </font>
    </dxf>
    <dxf>
      <font>
        <b/>
        <i val="0"/>
        <color rgb="FFFF0000"/>
      </font>
    </dxf>
    <dxf>
      <font>
        <color rgb="FFC00000"/>
      </font>
      <fill>
        <patternFill patternType="none"/>
      </fill>
    </dxf>
    <dxf>
      <fill>
        <patternFill patternType="none"/>
      </fill>
    </dxf>
    <dxf>
      <font>
        <b/>
        <i val="0"/>
        <color rgb="FFFF0000"/>
      </font>
    </dxf>
    <dxf>
      <font>
        <color rgb="FF9C0006"/>
      </font>
    </dxf>
    <dxf>
      <font>
        <color rgb="FFC00000"/>
      </font>
      <fill>
        <patternFill patternType="none"/>
      </fill>
    </dxf>
    <dxf>
      <font>
        <color rgb="FF9C0006"/>
      </font>
    </dxf>
    <dxf>
      <font>
        <b/>
        <i val="0"/>
        <color rgb="FF9C0006"/>
      </font>
    </dxf>
    <dxf>
      <font>
        <b/>
        <i val="0"/>
        <color rgb="FF9C0006"/>
      </font>
    </dxf>
    <dxf>
      <font>
        <b/>
        <i val="0"/>
        <color rgb="FFFF0000"/>
      </font>
    </dxf>
    <dxf>
      <font>
        <color rgb="FFC00000"/>
      </font>
      <fill>
        <patternFill patternType="none"/>
      </fill>
    </dxf>
    <dxf>
      <fill>
        <patternFill patternType="none"/>
      </fill>
    </dxf>
    <dxf>
      <font>
        <b/>
        <i val="0"/>
        <color rgb="FFFF0000"/>
      </font>
    </dxf>
    <dxf>
      <numFmt numFmtId="1" formatCode="0"/>
    </dxf>
    <dxf>
      <numFmt numFmtId="34" formatCode="_-* #,##0.00\ &quot;€&quot;_-;\-* #,##0.00\ &quot;€&quot;_-;_-* &quot;-&quot;??\ &quot;€&quot;_-;_-@_-"/>
    </dxf>
    <dxf>
      <alignment horizontal="general" vertical="top" textRotation="0" wrapText="0" indent="0" justifyLastLine="0" shrinkToFit="0" readingOrder="0"/>
    </dxf>
    <dxf>
      <numFmt numFmtId="0" formatCode="General"/>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600" b="1"/>
              <a:t>Histogramme des stocks projetés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v>Stock Initial</c:v>
          </c:tx>
          <c:spPr>
            <a:solidFill>
              <a:schemeClr val="accent1"/>
            </a:solidFill>
            <a:ln w="127000" cmpd="sng">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'DRP V2'!$I$12:$P$12</c:f>
              <c:numCache>
                <c:formatCode>m/d/yyyy</c:formatCode>
                <c:ptCount val="8"/>
                <c:pt idx="0">
                  <c:v>44739</c:v>
                </c:pt>
                <c:pt idx="1">
                  <c:v>44746</c:v>
                </c:pt>
                <c:pt idx="2">
                  <c:v>44753</c:v>
                </c:pt>
                <c:pt idx="3">
                  <c:v>44760</c:v>
                </c:pt>
                <c:pt idx="4">
                  <c:v>44767</c:v>
                </c:pt>
                <c:pt idx="5">
                  <c:v>44774</c:v>
                </c:pt>
                <c:pt idx="6">
                  <c:v>44781</c:v>
                </c:pt>
                <c:pt idx="7">
                  <c:v>44788</c:v>
                </c:pt>
              </c:numCache>
            </c:numRef>
          </c:cat>
          <c:val>
            <c:numRef>
              <c:f>'DRP V2'!$I$13:$P$13</c:f>
              <c:numCache>
                <c:formatCode>0</c:formatCode>
                <c:ptCount val="8"/>
                <c:pt idx="0">
                  <c:v>114</c:v>
                </c:pt>
              </c:numCache>
            </c:numRef>
          </c:val>
          <c:extLst>
            <c:ext xmlns:c16="http://schemas.microsoft.com/office/drawing/2014/chart" uri="{C3380CC4-5D6E-409C-BE32-E72D297353CC}">
              <c16:uniqueId val="{00000000-BCDF-42CA-AD45-5B09A645352A}"/>
            </c:ext>
          </c:extLst>
        </c:ser>
        <c:ser>
          <c:idx val="1"/>
          <c:order val="1"/>
          <c:tx>
            <c:v>Stock Projeté</c:v>
          </c:tx>
          <c:spPr>
            <a:solidFill>
              <a:srgbClr val="FFC000"/>
            </a:solidFill>
            <a:ln w="127000">
              <a:solidFill>
                <a:srgbClr val="FFC000"/>
              </a:solidFill>
            </a:ln>
            <a:effectLst>
              <a:outerShdw blurRad="50800" dist="50800" dir="5400000" sx="1000" sy="1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'DRP V2'!$I$12:$P$12</c:f>
              <c:numCache>
                <c:formatCode>m/d/yyyy</c:formatCode>
                <c:ptCount val="8"/>
                <c:pt idx="0">
                  <c:v>44739</c:v>
                </c:pt>
                <c:pt idx="1">
                  <c:v>44746</c:v>
                </c:pt>
                <c:pt idx="2">
                  <c:v>44753</c:v>
                </c:pt>
                <c:pt idx="3">
                  <c:v>44760</c:v>
                </c:pt>
                <c:pt idx="4">
                  <c:v>44767</c:v>
                </c:pt>
                <c:pt idx="5">
                  <c:v>44774</c:v>
                </c:pt>
                <c:pt idx="6">
                  <c:v>44781</c:v>
                </c:pt>
                <c:pt idx="7">
                  <c:v>44788</c:v>
                </c:pt>
              </c:numCache>
            </c:numRef>
          </c:cat>
          <c:val>
            <c:numRef>
              <c:f>'DRP V2'!$I$14:$P$14</c:f>
              <c:numCache>
                <c:formatCode>0</c:formatCode>
                <c:ptCount val="8"/>
                <c:pt idx="1">
                  <c:v>412</c:v>
                </c:pt>
                <c:pt idx="2">
                  <c:v>482</c:v>
                </c:pt>
                <c:pt idx="3">
                  <c:v>314</c:v>
                </c:pt>
                <c:pt idx="4">
                  <c:v>418</c:v>
                </c:pt>
                <c:pt idx="5">
                  <c:v>308</c:v>
                </c:pt>
                <c:pt idx="6">
                  <c:v>208</c:v>
                </c:pt>
                <c:pt idx="7">
                  <c:v>103</c:v>
                </c:pt>
              </c:numCache>
            </c:numRef>
          </c:val>
          <c:extLst>
            <c:ext xmlns:c16="http://schemas.microsoft.com/office/drawing/2014/chart" uri="{C3380CC4-5D6E-409C-BE32-E72D297353CC}">
              <c16:uniqueId val="{00000001-BCDF-42CA-AD45-5B09A645352A}"/>
            </c:ext>
          </c:extLst>
        </c:ser>
        <c:dLbls>
          <c:showLegendKey val="0"/>
          <c:showVal val="0"/>
          <c:showCatName val="0"/>
          <c:showSerName val="0"/>
          <c:showPercent val="0"/>
          <c:showBubbleSize val="0"/>
        </c:dLbls>
        <c:gapWidth val="219"/>
        <c:overlap val="-27"/>
        <c:axId val="868494368"/>
        <c:axId val="868491008"/>
      </c:barChart>
      <c:dateAx>
        <c:axId val="868494368"/>
        <c:scaling>
          <c:orientation val="minMax"/>
        </c:scaling>
        <c:delete val="0"/>
        <c:axPos val="b"/>
        <c:numFmt formatCode="m/d/yy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fr-FR"/>
          </a:p>
        </c:txPr>
        <c:crossAx val="868491008"/>
        <c:crosses val="autoZero"/>
        <c:auto val="1"/>
        <c:lblOffset val="100"/>
        <c:baseTimeUnit val="days"/>
        <c:majorUnit val="7"/>
        <c:majorTimeUnit val="days"/>
      </c:dateAx>
      <c:valAx>
        <c:axId val="868491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fr-FR"/>
          </a:p>
        </c:txPr>
        <c:crossAx val="868494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28574</xdr:colOff>
      <xdr:row>23</xdr:row>
      <xdr:rowOff>171450</xdr:rowOff>
    </xdr:from>
    <xdr:to>
      <xdr:col>16</xdr:col>
      <xdr:colOff>23811</xdr:colOff>
      <xdr:row>34</xdr:row>
      <xdr:rowOff>142874</xdr:rowOff>
    </xdr:to>
    <xdr:graphicFrame macro="">
      <xdr:nvGraphicFramePr>
        <xdr:cNvPr id="2" name="Graphique 1">
          <a:extLst>
            <a:ext uri="{FF2B5EF4-FFF2-40B4-BE49-F238E27FC236}">
              <a16:creationId xmlns:a16="http://schemas.microsoft.com/office/drawing/2014/main" id="{D545C828-F35B-48B9-AA01-F7ABBFFB3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0BCDC-DAE1-428C-AADE-AB9F5FA44289}" name="Table1" displayName="Table1" ref="A1:D96" totalsRowShown="0" headerRowDxfId="40">
  <autoFilter ref="A1:D96" xr:uid="{B71C1565-E435-FE43-B990-395F3ECFCBF7}"/>
  <sortState xmlns:xlrd2="http://schemas.microsoft.com/office/spreadsheetml/2017/richdata2" ref="B2:D91">
    <sortCondition ref="B1:B91"/>
  </sortState>
  <tableColumns count="4">
    <tableColumn id="4" xr3:uid="{B584204C-1641-4102-8892-FCA08C2ED308}" name="Concatenation" dataDxfId="39" dataCellStyle="Normal 2">
      <calculatedColumnFormula>Table1[[#This Row],[Fournisseur ID]]&amp;Table1[[#This Row],[Shop ID]]</calculatedColumnFormula>
    </tableColumn>
    <tableColumn id="1" xr3:uid="{D082A676-78C7-4C07-A50A-210F9DB84E7D}" name="Fournisseur ID"/>
    <tableColumn id="2" xr3:uid="{925BF61A-E1CC-4B07-8831-35F01E44F660}" name="Shop ID"/>
    <tableColumn id="3" xr3:uid="{0FD68469-B69B-4949-8232-84A825BC0D7A}" name="Dista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BB7A5C-F0C6-4DC3-9A98-B0D575F3212A}" name="Table3" displayName="Table3" ref="A1:E9" totalsRowShown="0" headerRowDxfId="38">
  <tableColumns count="5">
    <tableColumn id="1" xr3:uid="{AC84ADC6-0B7D-4B2D-B298-9555E1C45826}" name="Transporteur ID"/>
    <tableColumn id="2" xr3:uid="{F3490730-DE07-4829-B743-B2D58C2BD500}" name="Prix Fixe €"/>
    <tableColumn id="3" xr3:uid="{59A1F8C6-654F-4137-AD54-1D3767370016}" name="€/km au-delà fixe"/>
    <tableColumn id="4" xr3:uid="{C20B2319-47CC-443A-8577-453CDC93165B}" name="Prix transport DRP V2" dataDxfId="37" dataCellStyle="Monétaire 2">
      <calculatedColumnFormula>Table3[[#This Row],[Prix Fixe €]]+Table3[[#This Row],[€/km au-delà fixe]]*'DRP V2'!$C$18</calculatedColumnFormula>
    </tableColumn>
    <tableColumn id="5" xr3:uid="{0CF57129-C0A9-4EC6-9E34-A8283FD0671B}" name="Prix Min Transport DRP V2" dataDxfId="36" dataCellStyle="Monétaire 2">
      <calculatedColumnFormula>IF(Table3[[#This Row],[Prix transport DRP V2]]=MIN(D:D),1,0)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04D84-D489-4B11-A681-D4214E5D5929}">
  <sheetPr>
    <tabColor rgb="FFC5E0B3"/>
  </sheetPr>
  <dimension ref="A1:HR924"/>
  <sheetViews>
    <sheetView tabSelected="1" zoomScale="80" zoomScaleNormal="80" zoomScaleSheetLayoutView="90" workbookViewId="0">
      <selection activeCell="A8" sqref="A8"/>
    </sheetView>
  </sheetViews>
  <sheetFormatPr baseColWidth="10" defaultColWidth="14.42578125" defaultRowHeight="15" customHeight="1" x14ac:dyDescent="0.25"/>
  <cols>
    <col min="1" max="1" width="17.5703125" customWidth="1"/>
    <col min="2" max="2" width="22.85546875" customWidth="1"/>
    <col min="3" max="4" width="21.140625" customWidth="1"/>
    <col min="5" max="5" width="6.140625" customWidth="1"/>
    <col min="6" max="6" width="7.42578125" customWidth="1"/>
    <col min="7" max="7" width="22.85546875" customWidth="1"/>
    <col min="8" max="8" width="14" customWidth="1"/>
    <col min="9" max="9" width="17" customWidth="1"/>
    <col min="10" max="10" width="14" customWidth="1"/>
    <col min="11" max="11" width="17.5703125" customWidth="1"/>
    <col min="12" max="12" width="15.42578125" customWidth="1"/>
    <col min="13" max="13" width="15" customWidth="1"/>
    <col min="14" max="14" width="12.85546875" customWidth="1"/>
    <col min="15" max="15" width="13.85546875" customWidth="1"/>
    <col min="16" max="16" width="14.140625" customWidth="1"/>
    <col min="17" max="17" width="15" customWidth="1"/>
    <col min="18" max="18" width="12.85546875" customWidth="1"/>
    <col min="19" max="19" width="13.140625" customWidth="1"/>
    <col min="20" max="20" width="12.85546875" customWidth="1"/>
    <col min="21" max="21" width="13" customWidth="1"/>
    <col min="22" max="22" width="7.42578125" customWidth="1"/>
    <col min="23" max="23" width="10.42578125" customWidth="1"/>
    <col min="24" max="226" width="8.7109375" customWidth="1"/>
  </cols>
  <sheetData>
    <row r="1" spans="1:226" ht="14.25" customHeight="1" x14ac:dyDescent="0.25">
      <c r="A1" s="147" t="s">
        <v>0</v>
      </c>
      <c r="B1" s="148"/>
      <c r="C1" s="148"/>
      <c r="D1" s="148"/>
      <c r="E1" s="148"/>
      <c r="F1" s="148"/>
      <c r="G1" s="148"/>
      <c r="H1" s="148"/>
      <c r="I1" s="148"/>
      <c r="J1" s="148"/>
      <c r="K1" s="148"/>
      <c r="L1" s="148"/>
      <c r="M1" s="148"/>
      <c r="N1" s="148"/>
      <c r="O1" s="148"/>
      <c r="P1" s="148"/>
      <c r="Q1" s="148"/>
      <c r="R1" s="148"/>
      <c r="S1" s="148"/>
      <c r="T1" s="148"/>
      <c r="U1" s="148"/>
      <c r="V1" s="149"/>
      <c r="W1" s="1"/>
      <c r="X1" s="1"/>
      <c r="Y1" s="1"/>
      <c r="Z1" s="1"/>
      <c r="AA1" s="1">
        <v>0</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v>0</v>
      </c>
      <c r="DR1" s="1"/>
      <c r="DS1" s="1"/>
      <c r="DT1" s="1"/>
      <c r="DU1" s="1"/>
      <c r="DV1" s="1">
        <v>0</v>
      </c>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v>0</v>
      </c>
      <c r="HN1" s="1"/>
      <c r="HO1" s="1"/>
      <c r="HP1" s="1"/>
      <c r="HQ1" s="1"/>
      <c r="HR1" s="1">
        <v>0</v>
      </c>
    </row>
    <row r="2" spans="1:226" ht="14.25" customHeight="1" x14ac:dyDescent="0.25">
      <c r="A2" s="150"/>
      <c r="B2" s="142"/>
      <c r="C2" s="142"/>
      <c r="D2" s="142"/>
      <c r="E2" s="142"/>
      <c r="F2" s="142"/>
      <c r="G2" s="142"/>
      <c r="H2" s="142"/>
      <c r="I2" s="142"/>
      <c r="J2" s="142"/>
      <c r="K2" s="142"/>
      <c r="L2" s="142"/>
      <c r="M2" s="142"/>
      <c r="N2" s="142"/>
      <c r="O2" s="142"/>
      <c r="P2" s="142"/>
      <c r="Q2" s="142"/>
      <c r="R2" s="142"/>
      <c r="S2" s="142"/>
      <c r="T2" s="142"/>
      <c r="U2" s="142"/>
      <c r="V2" s="15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row>
    <row r="3" spans="1:226" ht="14.25" customHeight="1" x14ac:dyDescent="0.25">
      <c r="A3" s="150"/>
      <c r="B3" s="142"/>
      <c r="C3" s="142"/>
      <c r="D3" s="142"/>
      <c r="E3" s="142"/>
      <c r="F3" s="142"/>
      <c r="G3" s="142"/>
      <c r="H3" s="142"/>
      <c r="I3" s="142"/>
      <c r="J3" s="142"/>
      <c r="K3" s="142"/>
      <c r="L3" s="142"/>
      <c r="M3" s="142"/>
      <c r="N3" s="142"/>
      <c r="O3" s="142"/>
      <c r="P3" s="142"/>
      <c r="Q3" s="142"/>
      <c r="R3" s="142"/>
      <c r="S3" s="142"/>
      <c r="T3" s="142"/>
      <c r="U3" s="142"/>
      <c r="V3" s="15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row>
    <row r="4" spans="1:226" ht="15" customHeight="1" thickBot="1" x14ac:dyDescent="0.3">
      <c r="A4" s="152"/>
      <c r="B4" s="153"/>
      <c r="C4" s="153"/>
      <c r="D4" s="153"/>
      <c r="E4" s="153"/>
      <c r="F4" s="153"/>
      <c r="G4" s="153"/>
      <c r="H4" s="153"/>
      <c r="I4" s="153"/>
      <c r="J4" s="153"/>
      <c r="K4" s="153"/>
      <c r="L4" s="153"/>
      <c r="M4" s="153"/>
      <c r="N4" s="153"/>
      <c r="O4" s="153"/>
      <c r="P4" s="153"/>
      <c r="Q4" s="153"/>
      <c r="R4" s="153"/>
      <c r="S4" s="153"/>
      <c r="T4" s="153"/>
      <c r="U4" s="153"/>
      <c r="V4" s="154"/>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row>
    <row r="5" spans="1:226" ht="14.25" customHeight="1" thickBot="1" x14ac:dyDescent="0.3">
      <c r="A5" s="2"/>
      <c r="B5" s="2"/>
      <c r="C5" s="2"/>
      <c r="D5" s="2"/>
      <c r="E5" s="2"/>
      <c r="F5" s="2"/>
      <c r="G5" s="2"/>
      <c r="H5" s="2"/>
      <c r="I5" s="2"/>
      <c r="J5" s="2"/>
      <c r="K5" s="2"/>
      <c r="L5" s="2"/>
      <c r="M5" s="2"/>
      <c r="N5" s="2"/>
      <c r="O5" s="2"/>
      <c r="P5" s="2"/>
      <c r="Q5" s="2"/>
      <c r="R5" s="2"/>
      <c r="S5" s="2"/>
      <c r="T5" s="3"/>
      <c r="U5" s="3"/>
      <c r="V5" s="3"/>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row>
    <row r="6" spans="1:226" ht="14.25" customHeight="1" thickBot="1" x14ac:dyDescent="0.3">
      <c r="A6" s="2"/>
      <c r="B6" s="155" t="s">
        <v>1</v>
      </c>
      <c r="C6" s="156"/>
      <c r="D6" s="157"/>
      <c r="E6" s="2"/>
      <c r="F6" s="2"/>
      <c r="G6" s="165" t="s">
        <v>2</v>
      </c>
      <c r="H6" s="166"/>
      <c r="I6" s="166"/>
      <c r="J6" s="166"/>
      <c r="K6" s="166"/>
      <c r="L6" s="166"/>
      <c r="M6" s="167"/>
      <c r="N6" s="2"/>
      <c r="O6" s="2"/>
      <c r="P6" s="2"/>
      <c r="Q6" s="2"/>
      <c r="R6" s="2"/>
      <c r="S6" s="2"/>
      <c r="T6" s="3"/>
      <c r="U6" s="3"/>
      <c r="V6" s="3"/>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row>
    <row r="7" spans="1:226" ht="72.75" customHeight="1" thickBot="1" x14ac:dyDescent="0.3">
      <c r="A7" s="4"/>
      <c r="B7" s="117" t="s">
        <v>3</v>
      </c>
      <c r="C7" s="117" t="s">
        <v>4</v>
      </c>
      <c r="D7" s="118" t="s">
        <v>5</v>
      </c>
      <c r="E7" s="4"/>
      <c r="F7" s="4"/>
      <c r="G7" s="110" t="s">
        <v>6</v>
      </c>
      <c r="H7" s="111" t="s">
        <v>7</v>
      </c>
      <c r="I7" s="111" t="s">
        <v>8</v>
      </c>
      <c r="J7" s="111" t="s">
        <v>9</v>
      </c>
      <c r="K7" s="112" t="s">
        <v>10</v>
      </c>
      <c r="L7" s="113" t="s">
        <v>4754</v>
      </c>
      <c r="M7" s="113" t="s">
        <v>4755</v>
      </c>
      <c r="N7" s="4"/>
      <c r="O7" s="4"/>
      <c r="P7" s="4"/>
      <c r="Q7" s="4"/>
      <c r="R7" s="4"/>
      <c r="S7" s="4"/>
      <c r="T7" s="5"/>
      <c r="U7" s="5"/>
      <c r="V7" s="5"/>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row>
    <row r="8" spans="1:226" ht="49.5" customHeight="1" thickBot="1" x14ac:dyDescent="0.3">
      <c r="A8" s="2"/>
      <c r="B8" s="119">
        <v>44739</v>
      </c>
      <c r="C8" s="120">
        <v>23393</v>
      </c>
      <c r="D8" s="116">
        <v>1201</v>
      </c>
      <c r="E8" s="2"/>
      <c r="F8" s="2"/>
      <c r="G8" s="114" t="str">
        <f>IFERROR(IF(ISBLANK($C$8),"-",VLOOKUP($C$8,Article!$A:$B,2,FALSE)),"Saisie Incorrecte")</f>
        <v>CLIPS POUR PLINTHE</v>
      </c>
      <c r="H8" s="115" t="str">
        <f>IFERROR(IF(ISBLANK($C$8),"-",VLOOKUP($C$8,Article!$A:$C,3,FALSE)),"Saisie Incorrecte")</f>
        <v>SALLE DE BAINS</v>
      </c>
      <c r="I8" s="115" t="str">
        <f>IFERROR(IF(ISBLANK($D$8),"-",VLOOKUP($D$8,Shop!$A:$B,2,FALSE)),"Saisie Incorrecte ou donnée KO")</f>
        <v>LA ROCHELLE</v>
      </c>
      <c r="J8" s="115" t="str">
        <f>IFERROR(IF(ISBLANK($C$8),"-",VLOOKUP($C$8,Article!$A:$D,4,FALSE)),"Saisie Incorrecte")</f>
        <v>UVC</v>
      </c>
      <c r="K8" s="116">
        <f>IFERROR(IF(ISBLANK($C$8),"-",VLOOKUP($C$8,Article!$A:$E,5,FALSE)),"Saisie incorrecte")</f>
        <v>7</v>
      </c>
      <c r="L8" s="116">
        <f>IFERROR(IF(ISBLANK($C$8),"-",VLOOKUP($C$8,'Article-Paramètre'!$A:$C,3,FALSE)),"Saisie incorrecte")</f>
        <v>5</v>
      </c>
      <c r="M8" s="116">
        <f>IFERROR(IF(ISBLANK($C$8),"-",VLOOKUP($C$8,'Article-Paramètre'!$A:$C,2,FALSE)),"Saisie incorrecte")</f>
        <v>400</v>
      </c>
      <c r="N8" s="2"/>
      <c r="O8" s="2"/>
      <c r="P8" s="2"/>
      <c r="Q8" s="2"/>
      <c r="R8" s="2"/>
      <c r="S8" s="2"/>
      <c r="T8" s="3"/>
      <c r="U8" s="3"/>
      <c r="V8" s="3"/>
      <c r="W8" s="7"/>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row>
    <row r="9" spans="1:226" ht="14.25" customHeight="1" x14ac:dyDescent="0.25">
      <c r="A9" s="2"/>
      <c r="B9" s="2"/>
      <c r="C9" s="2"/>
      <c r="D9" s="2"/>
      <c r="E9" s="2"/>
      <c r="F9" s="2"/>
      <c r="G9" s="2"/>
      <c r="H9" s="2"/>
      <c r="I9" s="2"/>
      <c r="J9" s="2"/>
      <c r="K9" s="2"/>
      <c r="L9" s="2"/>
      <c r="M9" s="2"/>
      <c r="N9" s="2"/>
      <c r="O9" s="2"/>
      <c r="P9" s="2"/>
      <c r="Q9" s="2"/>
      <c r="R9" s="2"/>
      <c r="S9" s="2"/>
      <c r="T9" s="3"/>
      <c r="U9" s="3"/>
      <c r="V9" s="3"/>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row>
    <row r="10" spans="1:226" ht="14.25" customHeight="1" thickBot="1" x14ac:dyDescent="0.3">
      <c r="A10" s="8"/>
      <c r="B10" s="8"/>
      <c r="C10" s="8"/>
      <c r="D10" s="8"/>
      <c r="E10" s="8"/>
      <c r="F10" s="8"/>
      <c r="G10" s="8"/>
      <c r="H10" s="8"/>
      <c r="I10" s="8"/>
      <c r="J10" s="8"/>
      <c r="K10" s="8"/>
      <c r="L10" s="8"/>
      <c r="M10" s="8"/>
      <c r="N10" s="8"/>
      <c r="O10" s="8"/>
      <c r="P10" s="8"/>
      <c r="Q10" s="8"/>
      <c r="R10" s="8"/>
      <c r="S10" s="8"/>
      <c r="T10" s="9"/>
      <c r="U10" s="9"/>
      <c r="V10" s="9"/>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row>
    <row r="11" spans="1:226" ht="20.25" customHeight="1" thickBot="1" x14ac:dyDescent="0.3">
      <c r="A11" s="8"/>
      <c r="B11" s="162" t="s">
        <v>11</v>
      </c>
      <c r="C11" s="163"/>
      <c r="D11" s="164"/>
      <c r="E11" s="8"/>
      <c r="F11" s="8"/>
      <c r="G11" s="158" t="s">
        <v>12</v>
      </c>
      <c r="H11" s="159"/>
      <c r="I11" s="91"/>
      <c r="J11" s="91"/>
      <c r="K11" s="91"/>
      <c r="L11" s="91"/>
      <c r="M11" s="91"/>
      <c r="N11" s="91"/>
      <c r="O11" s="91"/>
      <c r="P11" s="92"/>
      <c r="Q11" s="8"/>
      <c r="R11" s="8"/>
      <c r="S11" s="8"/>
      <c r="T11" s="8"/>
      <c r="U11" s="8"/>
      <c r="V11" s="9"/>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row>
    <row r="12" spans="1:226" ht="27.75" customHeight="1" thickBot="1" x14ac:dyDescent="0.3">
      <c r="A12" s="8"/>
      <c r="B12" s="10" t="s">
        <v>13</v>
      </c>
      <c r="C12" s="126" t="s">
        <v>14</v>
      </c>
      <c r="D12" s="107" t="s">
        <v>15</v>
      </c>
      <c r="E12" s="8"/>
      <c r="F12" s="8"/>
      <c r="G12" s="160"/>
      <c r="H12" s="161"/>
      <c r="I12" s="93">
        <f>IF(ISBLANK(B8),"-",B8)</f>
        <v>44739</v>
      </c>
      <c r="J12" s="93">
        <f>IF(ISBLANK($B$8),"-",I12+7)</f>
        <v>44746</v>
      </c>
      <c r="K12" s="93">
        <f t="shared" ref="K12:P12" si="0">IF(ISBLANK($B$8),"-",J12+7)</f>
        <v>44753</v>
      </c>
      <c r="L12" s="93">
        <f t="shared" si="0"/>
        <v>44760</v>
      </c>
      <c r="M12" s="93">
        <f t="shared" si="0"/>
        <v>44767</v>
      </c>
      <c r="N12" s="93">
        <f t="shared" si="0"/>
        <v>44774</v>
      </c>
      <c r="O12" s="93">
        <f t="shared" si="0"/>
        <v>44781</v>
      </c>
      <c r="P12" s="93">
        <f t="shared" si="0"/>
        <v>44788</v>
      </c>
      <c r="Q12" s="8"/>
      <c r="R12" s="8"/>
      <c r="S12" s="8"/>
      <c r="T12" s="8"/>
      <c r="U12" s="8"/>
      <c r="V12" s="9"/>
      <c r="W12" s="6"/>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6"/>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row>
    <row r="13" spans="1:226" ht="24" customHeight="1" thickBot="1" x14ac:dyDescent="0.3">
      <c r="A13" s="8"/>
      <c r="B13" s="11">
        <f>IFERROR(C13-K8,"-")</f>
        <v>44732</v>
      </c>
      <c r="C13" s="127" cm="1">
        <f t="array" ref="C13">IFERROR(IF(SUM(I23:P23)=0,"-",IF(I23&gt;0,I12,IF(J23&gt;0,J12,IF(K23&gt;0,K12,INDEX(I12:P23,1,MATCH(0.01,I23:P23,1)+1))))),"-")</f>
        <v>44739</v>
      </c>
      <c r="D13" s="128" cm="1">
        <f t="array" ref="D13">IFERROR(IF(I21&gt;0,I21,IF(J21&gt;0,J21,IF(K21&gt;0,K21,INDEX(I21:P21,1,MATCH(0,I21:P21,1)+1)))),"-")</f>
        <v>400</v>
      </c>
      <c r="E13" s="8"/>
      <c r="F13" s="8"/>
      <c r="G13" s="94" t="s">
        <v>16</v>
      </c>
      <c r="H13" s="95"/>
      <c r="I13" s="96">
        <f>IFERROR(IF(OR(ISBLANK($D$8),ISBLANK($C$8)),"-",VLOOKUP($D$8&amp;"-"&amp;$C$8,Stock_S_Encours!$A:$D,4,FALSE)),0)</f>
        <v>114</v>
      </c>
      <c r="J13" s="97"/>
      <c r="K13" s="97"/>
      <c r="L13" s="97"/>
      <c r="M13" s="97"/>
      <c r="N13" s="97"/>
      <c r="O13" s="97"/>
      <c r="P13" s="98"/>
      <c r="Q13" s="8"/>
      <c r="R13" s="8"/>
      <c r="S13" s="8"/>
      <c r="T13" s="8"/>
      <c r="U13" s="8"/>
      <c r="V13" s="9"/>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6"/>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row>
    <row r="14" spans="1:226" ht="14.25" customHeight="1" x14ac:dyDescent="0.25">
      <c r="A14" s="8"/>
      <c r="B14" s="8"/>
      <c r="C14" s="8"/>
      <c r="D14" s="8"/>
      <c r="E14" s="8"/>
      <c r="F14" s="8"/>
      <c r="G14" s="99" t="s">
        <v>17</v>
      </c>
      <c r="H14" s="100"/>
      <c r="I14" s="101"/>
      <c r="J14" s="102">
        <f>IFERROR(IF((I13-I19+I20+I21)&lt;0,0,I13-I19+I20+I21),0)</f>
        <v>412</v>
      </c>
      <c r="K14" s="102">
        <f>IFERROR(IF((J14-J19+J20+J21)&lt;0,0,J14-J19+J20+J21),0)</f>
        <v>482</v>
      </c>
      <c r="L14" s="102">
        <f>IFERROR(IF((K14-K19+K20+K21)&lt;0,0,K14-K19+K20+K21),0)</f>
        <v>314</v>
      </c>
      <c r="M14" s="102">
        <f t="shared" ref="M14:O14" si="1">IFERROR(IF((L14-L19+L20+L21)&lt;0,0,L14-L19+L20+L21),0)</f>
        <v>418</v>
      </c>
      <c r="N14" s="102">
        <f t="shared" si="1"/>
        <v>308</v>
      </c>
      <c r="O14" s="102">
        <f t="shared" si="1"/>
        <v>208</v>
      </c>
      <c r="P14" s="102">
        <f>IFERROR(IF((O14-O19+O20+O21)&lt;0,0,O14-O19+O20+O21),0)</f>
        <v>103</v>
      </c>
      <c r="Q14" s="8"/>
      <c r="R14" s="8"/>
      <c r="S14" s="8"/>
      <c r="T14" s="8"/>
      <c r="U14" s="8"/>
      <c r="V14" s="9"/>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row>
    <row r="15" spans="1:226" ht="14.25" customHeight="1" thickBot="1" x14ac:dyDescent="0.3">
      <c r="A15" s="8"/>
      <c r="B15" s="8"/>
      <c r="C15" s="8"/>
      <c r="D15" s="8"/>
      <c r="E15" s="8"/>
      <c r="F15" s="8"/>
      <c r="G15" s="131" t="s">
        <v>4756</v>
      </c>
      <c r="H15" s="132"/>
      <c r="I15" s="133">
        <f>IFERROR(($L$8/7)*I19,0)</f>
        <v>72.857142857142861</v>
      </c>
      <c r="J15" s="133">
        <f>IFERROR(($L$8/7)*J19,0)</f>
        <v>252.85714285714286</v>
      </c>
      <c r="K15" s="133">
        <f t="shared" ref="K15:P15" si="2">IFERROR(($L$8/7)*K19,0)</f>
        <v>120</v>
      </c>
      <c r="L15" s="133">
        <f t="shared" si="2"/>
        <v>211.42857142857144</v>
      </c>
      <c r="M15" s="133">
        <f t="shared" si="2"/>
        <v>78.571428571428569</v>
      </c>
      <c r="N15" s="133">
        <f t="shared" si="2"/>
        <v>71.428571428571431</v>
      </c>
      <c r="O15" s="133">
        <f t="shared" si="2"/>
        <v>75</v>
      </c>
      <c r="P15" s="133">
        <f t="shared" si="2"/>
        <v>175.71428571428572</v>
      </c>
      <c r="Q15" s="8"/>
      <c r="R15" s="8"/>
      <c r="S15" s="8"/>
      <c r="T15" s="8"/>
      <c r="U15" s="8"/>
      <c r="V15" s="9"/>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row>
    <row r="16" spans="1:226" ht="14.25" customHeight="1" thickBot="1" x14ac:dyDescent="0.3">
      <c r="A16" s="8"/>
      <c r="B16" s="168" t="s">
        <v>4762</v>
      </c>
      <c r="C16" s="169"/>
      <c r="D16" s="8"/>
      <c r="E16" s="8"/>
      <c r="F16" s="8"/>
      <c r="G16" s="99" t="s">
        <v>4757</v>
      </c>
      <c r="H16" s="100"/>
      <c r="I16" s="103">
        <f>IF(I13+I20&lt;I15+I19,(I13+I20)-(I15+I19),0)</f>
        <v>-60.857142857142861</v>
      </c>
      <c r="J16" s="103">
        <f>IF(J14+J20&lt;J15+J19,(J14+J20)-(J15+J19),0)</f>
        <v>-170.85714285714289</v>
      </c>
      <c r="K16" s="103">
        <f>IFERROR(IF(((K14+K20)-(K19+K15))&gt;0,0,((K14+K20)-(K19+K15))),"0")</f>
        <v>0</v>
      </c>
      <c r="L16" s="103">
        <f>IFERROR(IF(((L14+L20)-(L19+L15))&gt;0,0,((L14+L20)-(L19+L15))),"0")</f>
        <v>-193.42857142857144</v>
      </c>
      <c r="M16" s="103">
        <f t="shared" ref="M16:P16" si="3">IFERROR(IF(((M14+M20)-(M19+M15))&gt;0,0,((M14+M20)-(M19+M15))),"0")</f>
        <v>0</v>
      </c>
      <c r="N16" s="103">
        <f t="shared" si="3"/>
        <v>0</v>
      </c>
      <c r="O16" s="103">
        <f t="shared" si="3"/>
        <v>0</v>
      </c>
      <c r="P16" s="103">
        <f t="shared" si="3"/>
        <v>-318.71428571428572</v>
      </c>
      <c r="Q16" s="8"/>
      <c r="R16" s="8"/>
      <c r="S16" s="8"/>
      <c r="T16" s="8"/>
      <c r="U16" s="8"/>
      <c r="V16" s="9"/>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row>
    <row r="17" spans="1:226" ht="14.25" customHeight="1" thickBot="1" x14ac:dyDescent="0.3">
      <c r="A17" s="8"/>
      <c r="B17" s="121" t="s">
        <v>4760</v>
      </c>
      <c r="C17" s="122">
        <f>IFERROR(IF(C13="-","-",VLOOKUP(C8,Article!A:F,6,FALSE)),"-")</f>
        <v>14673</v>
      </c>
      <c r="D17" s="8"/>
      <c r="E17" s="8"/>
      <c r="F17" s="8"/>
      <c r="G17" s="99" t="s">
        <v>18</v>
      </c>
      <c r="H17" s="100"/>
      <c r="I17" s="103">
        <f>IFERROR(IF(((I13+I20)-I19)&gt;0,0,(I13+I20)-I19),0)</f>
        <v>0</v>
      </c>
      <c r="J17" s="103">
        <f>IFERROR(IF(((J14+J20)-J19)&gt;0,0,(J14+J20)-J19),0)</f>
        <v>0</v>
      </c>
      <c r="K17" s="103">
        <f>IFERROR(IF(((K14+K20)-K19)&gt;0,0,(K14+K20)-K19),0)</f>
        <v>0</v>
      </c>
      <c r="L17" s="103">
        <f t="shared" ref="L17:P17" si="4">IFERROR(IF(((L14+L20)-L19)&gt;0,0,(L14+L20)-L19),0)</f>
        <v>0</v>
      </c>
      <c r="M17" s="103">
        <f t="shared" si="4"/>
        <v>0</v>
      </c>
      <c r="N17" s="103">
        <f>IFERROR(IF(((N14+N20)-N19)&gt;0,0,(N14+N20)-N19),0)</f>
        <v>0</v>
      </c>
      <c r="O17" s="103">
        <f>IFERROR(IF(((O14+O20)-O19)&gt;0,0,(O14+O20)-O19),0)</f>
        <v>0</v>
      </c>
      <c r="P17" s="103">
        <f t="shared" si="4"/>
        <v>-143</v>
      </c>
      <c r="Q17" s="8"/>
      <c r="R17" s="8"/>
      <c r="S17" s="8"/>
      <c r="T17" s="8"/>
      <c r="U17" s="8"/>
      <c r="V17" s="9"/>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row>
    <row r="18" spans="1:226" ht="14.25" customHeight="1" thickBot="1" x14ac:dyDescent="0.3">
      <c r="A18" s="8"/>
      <c r="B18" s="123" t="s">
        <v>4761</v>
      </c>
      <c r="C18" s="124">
        <f>IFERROR(VLOOKUP(C17&amp;D8,'Fournisseurs-Magasin'!A:D,4,FALSE),"-")</f>
        <v>666</v>
      </c>
      <c r="D18" s="8"/>
      <c r="E18" s="8"/>
      <c r="F18" s="8"/>
      <c r="G18" s="99" t="s">
        <v>19</v>
      </c>
      <c r="H18" s="100"/>
      <c r="I18" s="101">
        <f>IF(I13+I20&lt;0,0,IF(SUM($I$13:$P$14)=0,0,IF(I17&lt;0,(1+I17/I19)*7,IF(J17&lt;0,7+(1+J17/J19)*7,IF(K17&lt;0,14+(1+K17/K19)*7,IF(L17&lt;0,21+(1+L17/L19)*7,IF(M17&lt;0,28+(1+M17/M19)*7,IF(N17&lt;0,35+(1+N17/N19)*7,IF(O17&lt;0,42+(1+O17/O19)*7,IF(P17&lt;0,49+(1+P17/P19)*7,56))))))))))</f>
        <v>51.930894308943088</v>
      </c>
      <c r="J18" s="101">
        <f>IF(J13+J20&lt;0,0,IF(SUM($I$13:$P$14)=0,0,IF(J17&lt;0,(1+J17/J19)*7,IF(K17&lt;0,7+(1+K17/K19)*7,IF(L17&lt;0,14+(1+L17/L19)*7,IF(M17&lt;0,21+(1+M17/M19)*7,IF(N17&lt;0,28+(1+N17/N19)*7,IF(O17&lt;0,35+(1+O17/O19)*7,IF(P17&lt;0,42+(1+P17/P19)*7,IF(Q17&lt;0,49+(1+Q17/Q19)*7,56))))))))))</f>
        <v>44.930894308943088</v>
      </c>
      <c r="K18" s="101">
        <f t="shared" ref="K18:P18" si="5">IF(K13+K20&lt;0,0,IF(SUM($I$13:$P$14)=0,0,IF(K17&lt;0,(1+K17/K19)*7,IF(L17&lt;0,7+(1+L17/L19)*7,IF(M17&lt;0,14+(1+M17/M19)*7,IF(N17&lt;0,21+(1+N17/N19)*7,IF(O17&lt;0,28+(1+O17/O19)*7,IF(P17&lt;0,35+(1+P17/P19)*7,IF(Q17&lt;0,42+(1+Q17/Q19)*7,IF(R17&lt;0,49+(1+R17/R19)*7,56))))))))))</f>
        <v>37.930894308943088</v>
      </c>
      <c r="L18" s="101">
        <f t="shared" si="5"/>
        <v>30.930894308943088</v>
      </c>
      <c r="M18" s="101">
        <f t="shared" si="5"/>
        <v>23.930894308943088</v>
      </c>
      <c r="N18" s="101">
        <f t="shared" si="5"/>
        <v>16.930894308943088</v>
      </c>
      <c r="O18" s="101">
        <f t="shared" si="5"/>
        <v>9.9308943089430883</v>
      </c>
      <c r="P18" s="101">
        <f t="shared" si="5"/>
        <v>2.9308943089430892</v>
      </c>
      <c r="Q18" s="8"/>
      <c r="R18" s="8"/>
      <c r="S18" s="8"/>
      <c r="T18" s="8"/>
      <c r="U18" s="8"/>
      <c r="V18" s="9"/>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row>
    <row r="19" spans="1:226" ht="14.25" customHeight="1" thickBot="1" x14ac:dyDescent="0.3">
      <c r="A19" s="8"/>
      <c r="B19" s="123" t="s">
        <v>4765</v>
      </c>
      <c r="C19" s="124" t="str">
        <f>IFERROR(INDEX(Table3[],MATCH(1,Table3[Prix Min Transport DRP V2],0),1),"-")</f>
        <v>PL</v>
      </c>
      <c r="D19" s="8"/>
      <c r="E19" s="8"/>
      <c r="F19" s="8"/>
      <c r="G19" s="134" t="s">
        <v>20</v>
      </c>
      <c r="H19" s="135"/>
      <c r="I19" s="130">
        <f>IFERROR(IF(OR(ISBLANK($C$8),ISBLANK($D$8),ISBLANK(I$12)),"-",VLOOKUP($D$8&amp;"-"&amp;$C$8&amp;"-"&amp;I$12,Forecast!$A:$E,5,FALSE)),0)</f>
        <v>102</v>
      </c>
      <c r="J19" s="130">
        <f>IFERROR(IF(OR(ISBLANK($C$8),ISBLANK($D$8),ISBLANK(J$12)),"-",VLOOKUP($D$8&amp;"-"&amp;$C$8&amp;"-"&amp;J$12,Forecast!$A:$E,5,FALSE)),0)</f>
        <v>354</v>
      </c>
      <c r="K19" s="130">
        <f>IFERROR(IF(OR(ISBLANK($C$8),ISBLANK($D$8),ISBLANK(K$12)),"-",VLOOKUP($D$8&amp;"-"&amp;$C$8&amp;"-"&amp;K$12,Forecast!$A:$E,5,FALSE)),0)</f>
        <v>168</v>
      </c>
      <c r="L19" s="130">
        <f>IFERROR(IF(OR(ISBLANK($C$8),ISBLANK($D$8),ISBLANK(L$12)),"-",VLOOKUP($D$8&amp;"-"&amp;$C$8&amp;"-"&amp;L$12,Forecast!$A:$E,5,FALSE)),0)</f>
        <v>296</v>
      </c>
      <c r="M19" s="130">
        <f>IFERROR(IF(OR(ISBLANK($C$8),ISBLANK($D$8),ISBLANK(M$12)),"-",VLOOKUP($D$8&amp;"-"&amp;$C$8&amp;"-"&amp;M$12,Forecast!$A:$E,5,FALSE)),0)</f>
        <v>110</v>
      </c>
      <c r="N19" s="130">
        <f>IFERROR(IF(OR(ISBLANK($C$8),ISBLANK($D$8),ISBLANK(N$12)),"-",VLOOKUP($D$8&amp;"-"&amp;$C$8&amp;"-"&amp;N$12,Forecast!$A:$E,5,FALSE)),0)</f>
        <v>100</v>
      </c>
      <c r="O19" s="130">
        <f>IFERROR(IF(OR(ISBLANK($C$8),ISBLANK($D$8),ISBLANK(O$12)),"-",VLOOKUP($D$8&amp;"-"&amp;$C$8&amp;"-"&amp;O$12,Forecast!$A:$E,5,FALSE)),0)</f>
        <v>105</v>
      </c>
      <c r="P19" s="130">
        <f>IFERROR(IF(OR(ISBLANK($C$8),ISBLANK($D$8),ISBLANK(P$12)),"-",VLOOKUP($D$8&amp;"-"&amp;$C$8&amp;"-"&amp;P$12,Forecast!$A:$E,5,FALSE)),0)</f>
        <v>246</v>
      </c>
      <c r="Q19" s="8"/>
      <c r="R19" s="8"/>
      <c r="S19" s="8"/>
      <c r="T19" s="8"/>
      <c r="U19" s="8"/>
      <c r="V19" s="9"/>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row>
    <row r="20" spans="1:226" ht="14.25" customHeight="1" thickBot="1" x14ac:dyDescent="0.3">
      <c r="A20" s="8"/>
      <c r="B20" s="123" t="s">
        <v>4766</v>
      </c>
      <c r="C20" s="125">
        <f>IFERROR(INDEX(Table3[],MATCH(1,Table3[Prix Min Transport DRP V2],0),4),"-")</f>
        <v>740.66</v>
      </c>
      <c r="D20" s="8"/>
      <c r="E20" s="8"/>
      <c r="F20" s="8"/>
      <c r="G20" s="99" t="s">
        <v>21</v>
      </c>
      <c r="H20" s="100"/>
      <c r="I20" s="101">
        <f>IFERROR(IF(OR(ISBLANK($C$8),ISBLANK($D$8),ISBLANK(I$12)),"-",VLOOKUP($D$8&amp;"-"&amp;$C$8&amp;"-"&amp;I$12,Commandes_EnCours!$A:$E,5,FALSE)),0)</f>
        <v>0</v>
      </c>
      <c r="J20" s="101">
        <f>IFERROR(IF(OR(ISBLANK($C$8),ISBLANK($D$8),ISBLANK(J$12)),"-",VLOOKUP($D$8&amp;"-"&amp;$C$8&amp;"-"&amp;J$12,Commandes_EnCours!$A:$E,5,FALSE)),0)</f>
        <v>24</v>
      </c>
      <c r="K20" s="101">
        <f>IFERROR(IF(OR(ISBLANK($C$8),ISBLANK($D$8),ISBLANK(K$12)),"-",VLOOKUP($D$8&amp;"-"&amp;$C$8&amp;"-"&amp;K$12,Commandes_EnCours!$A:$E,5,FALSE)),0)</f>
        <v>0</v>
      </c>
      <c r="L20" s="101">
        <f>IFERROR(IF(OR(ISBLANK($C$8),ISBLANK($D$8),ISBLANK(L$12)),"-",VLOOKUP($D$8&amp;"-"&amp;$C$8&amp;"-"&amp;L$12,Commandes_EnCours!$A:$E,5,FALSE)),0)</f>
        <v>0</v>
      </c>
      <c r="M20" s="101">
        <f>IFERROR(IF(OR(ISBLANK($C$8),ISBLANK($D$8),ISBLANK(M$12)),"-",VLOOKUP($D$8&amp;"-"&amp;$C$8&amp;"-"&amp;M$12,Commandes_EnCours!$A:$E,5,FALSE)),0)</f>
        <v>0</v>
      </c>
      <c r="N20" s="101">
        <f>IFERROR(IF(OR(ISBLANK($C$8),ISBLANK($D$8),ISBLANK(N$12)),"-",VLOOKUP($D$8&amp;"-"&amp;$C$8&amp;"-"&amp;N$12,Commandes_EnCours!$A:$E,5,FALSE)),0)</f>
        <v>0</v>
      </c>
      <c r="O20" s="101">
        <f>IFERROR(IF(OR(ISBLANK($C$8),ISBLANK($D$8),ISBLANK(O$12)),"-",VLOOKUP($D$8&amp;"-"&amp;$C$8&amp;"-"&amp;O$12,Commandes_EnCours!$A:$E,5,FALSE)),0)</f>
        <v>0</v>
      </c>
      <c r="P20" s="101">
        <f>IFERROR(IF(OR(ISBLANK($C$8),ISBLANK($D$8),ISBLANK(P$12)),"-",VLOOKUP($D$8&amp;"-"&amp;$C$8&amp;"-"&amp;P$12,Commandes_EnCours!$A:$E,5,FALSE)),0)</f>
        <v>0</v>
      </c>
      <c r="Q20" s="8"/>
      <c r="R20" s="8"/>
      <c r="S20" s="8"/>
      <c r="T20" s="8"/>
      <c r="U20" s="8"/>
      <c r="V20" s="9"/>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row>
    <row r="21" spans="1:226" ht="14.25" customHeight="1" x14ac:dyDescent="0.25">
      <c r="A21" s="8"/>
      <c r="B21" s="8"/>
      <c r="C21" s="8"/>
      <c r="D21" s="8"/>
      <c r="E21" s="8"/>
      <c r="F21" s="8"/>
      <c r="G21" s="99" t="s">
        <v>4759</v>
      </c>
      <c r="H21" s="100"/>
      <c r="I21" s="101">
        <f>IF(AND(I23&lt;$M$8,I23&gt;0),$M$8,I23)</f>
        <v>400</v>
      </c>
      <c r="J21" s="101">
        <f>IF(AND(J23&lt;$M$8,J23&gt;0),$M$8,J23)</f>
        <v>400</v>
      </c>
      <c r="K21" s="101">
        <f>IF(AND(K23&lt;$M$8,K23&gt;0),$M$8,K23)</f>
        <v>0</v>
      </c>
      <c r="L21" s="101">
        <f>IF(AND(L23&lt;$M$8,L23&gt;0),$M$8,L23)</f>
        <v>400</v>
      </c>
      <c r="M21" s="101">
        <f>IF(AND(M23&lt;$M$8,M23&gt;0),$M$8,M23)</f>
        <v>0</v>
      </c>
      <c r="N21" s="101">
        <f t="shared" ref="N21:P21" si="6">IF(AND(N23&lt;$M$8,N23&gt;0),$M$8,N23)</f>
        <v>0</v>
      </c>
      <c r="O21" s="101">
        <f t="shared" si="6"/>
        <v>0</v>
      </c>
      <c r="P21" s="101">
        <f t="shared" si="6"/>
        <v>400</v>
      </c>
      <c r="Q21" s="8"/>
      <c r="R21" s="8"/>
      <c r="S21" s="8"/>
      <c r="T21" s="8"/>
      <c r="U21" s="8"/>
      <c r="V21" s="9"/>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row>
    <row r="22" spans="1:226" ht="14.25" customHeight="1" thickBot="1" x14ac:dyDescent="0.3">
      <c r="A22" s="8"/>
      <c r="B22" s="8"/>
      <c r="C22" s="8"/>
      <c r="D22" s="8"/>
      <c r="E22" s="8"/>
      <c r="F22" s="8"/>
      <c r="G22" s="104" t="s">
        <v>4758</v>
      </c>
      <c r="H22" s="105"/>
      <c r="I22" s="106">
        <f>IFERROR(IF((I$17)&lt;0,ABS(I$17),0),0)</f>
        <v>0</v>
      </c>
      <c r="J22" s="106">
        <f>IFERROR(IF((J$17)&lt;0,ABS(J$17),0),0)</f>
        <v>0</v>
      </c>
      <c r="K22" s="106">
        <f t="shared" ref="K22:P22" si="7">IFERROR(IF((K$17)&lt;0,ABS(K$17),0),0)</f>
        <v>0</v>
      </c>
      <c r="L22" s="106">
        <f t="shared" si="7"/>
        <v>0</v>
      </c>
      <c r="M22" s="106">
        <f t="shared" si="7"/>
        <v>0</v>
      </c>
      <c r="N22" s="106">
        <f t="shared" si="7"/>
        <v>0</v>
      </c>
      <c r="O22" s="106">
        <f t="shared" si="7"/>
        <v>0</v>
      </c>
      <c r="P22" s="106">
        <f t="shared" si="7"/>
        <v>143</v>
      </c>
      <c r="Q22" s="8"/>
      <c r="R22" s="8"/>
      <c r="S22" s="8"/>
      <c r="T22" s="8"/>
      <c r="U22" s="8"/>
      <c r="V22" s="9"/>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row>
    <row r="23" spans="1:226" ht="14.25" customHeight="1" thickBot="1" x14ac:dyDescent="0.3">
      <c r="A23" s="8"/>
      <c r="B23" s="8"/>
      <c r="C23" s="8"/>
      <c r="D23" s="8"/>
      <c r="E23" s="8"/>
      <c r="F23" s="8"/>
      <c r="G23" s="136" t="s">
        <v>22</v>
      </c>
      <c r="H23" s="137"/>
      <c r="I23" s="129">
        <f>IFERROR(IF((I$16)&lt;0,ABS(I$16),0),0)</f>
        <v>60.857142857142861</v>
      </c>
      <c r="J23" s="129">
        <f>IFERROR(IF((J$16)&lt;0,ABS(J$16),0),0)</f>
        <v>170.85714285714289</v>
      </c>
      <c r="K23" s="129">
        <f>IFERROR(IF((K$16)&lt;0,ABS(K$16),0),0)</f>
        <v>0</v>
      </c>
      <c r="L23" s="129">
        <f t="shared" ref="L23:P23" si="8">IFERROR(IF((L$16)&lt;0,ABS(L$16),0),0)</f>
        <v>193.42857142857144</v>
      </c>
      <c r="M23" s="129">
        <f t="shared" si="8"/>
        <v>0</v>
      </c>
      <c r="N23" s="129">
        <f t="shared" si="8"/>
        <v>0</v>
      </c>
      <c r="O23" s="129">
        <f t="shared" si="8"/>
        <v>0</v>
      </c>
      <c r="P23" s="129">
        <f t="shared" si="8"/>
        <v>318.71428571428572</v>
      </c>
      <c r="Q23" s="8"/>
      <c r="R23" s="8"/>
      <c r="S23" s="8"/>
      <c r="T23" s="8"/>
      <c r="U23" s="8"/>
      <c r="V23" s="9"/>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row>
    <row r="24" spans="1:226" ht="14.25" customHeight="1" thickBot="1" x14ac:dyDescent="0.3">
      <c r="A24" s="8"/>
      <c r="B24" s="8"/>
      <c r="C24" s="8"/>
      <c r="D24" s="8"/>
      <c r="E24" s="8"/>
      <c r="F24" s="8"/>
      <c r="G24" s="8"/>
      <c r="H24" s="8"/>
      <c r="I24" s="8"/>
      <c r="J24" s="8"/>
      <c r="K24" s="8"/>
      <c r="L24" s="8"/>
      <c r="M24" s="8"/>
      <c r="N24" s="8"/>
      <c r="O24" s="8"/>
      <c r="P24" s="8"/>
      <c r="Q24" s="8"/>
      <c r="R24" s="8"/>
      <c r="S24" s="8"/>
      <c r="T24" s="8"/>
      <c r="U24" s="8"/>
      <c r="V24" s="9"/>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row>
    <row r="25" spans="1:226" ht="14.25" customHeight="1" thickBot="1" x14ac:dyDescent="0.3">
      <c r="A25" s="8"/>
      <c r="B25" s="8"/>
      <c r="C25" s="8"/>
      <c r="D25" s="8"/>
      <c r="E25" s="8"/>
      <c r="F25" s="8"/>
      <c r="G25" s="107" t="s">
        <v>23</v>
      </c>
      <c r="H25" s="108">
        <f>IFERROR(IF(SUM(I18:P18)=0,"-",AVERAGE(I18:P18)),"-")</f>
        <v>27.430894308943092</v>
      </c>
      <c r="I25" s="8"/>
      <c r="J25" s="8"/>
      <c r="K25" s="8"/>
      <c r="L25" s="8"/>
      <c r="M25" s="8"/>
      <c r="N25" s="8"/>
      <c r="O25" s="8"/>
      <c r="P25" s="8"/>
      <c r="Q25" s="8"/>
      <c r="R25" s="8"/>
      <c r="S25" s="8"/>
      <c r="T25" s="8"/>
      <c r="U25" s="8"/>
      <c r="V25" s="9"/>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row>
    <row r="26" spans="1:226" ht="17.25" customHeight="1" thickBot="1" x14ac:dyDescent="0.3">
      <c r="A26" s="8"/>
      <c r="B26" s="8"/>
      <c r="C26" s="8"/>
      <c r="D26" s="8"/>
      <c r="E26" s="8"/>
      <c r="F26" s="8"/>
      <c r="G26" s="107" t="s">
        <v>24</v>
      </c>
      <c r="H26" s="109">
        <f>IFERROR(P14/I13-1,"-")</f>
        <v>-9.6491228070175405E-2</v>
      </c>
      <c r="I26" s="8"/>
      <c r="J26" s="8"/>
      <c r="K26" s="8"/>
      <c r="L26" s="8"/>
      <c r="M26" s="8"/>
      <c r="N26" s="8"/>
      <c r="O26" s="8"/>
      <c r="P26" s="8"/>
      <c r="Q26" s="8"/>
      <c r="R26" s="8"/>
      <c r="S26" s="8"/>
      <c r="T26" s="8"/>
      <c r="U26" s="8"/>
      <c r="V26" s="9"/>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row>
    <row r="27" spans="1:226" ht="19.5" customHeight="1" x14ac:dyDescent="0.25">
      <c r="A27" s="8"/>
      <c r="B27" s="8"/>
      <c r="C27" s="8"/>
      <c r="D27" s="8"/>
      <c r="E27" s="8"/>
      <c r="F27" s="8"/>
      <c r="G27" s="8"/>
      <c r="H27" s="8"/>
      <c r="I27" s="8"/>
      <c r="J27" s="8"/>
      <c r="K27" s="8"/>
      <c r="L27" s="8"/>
      <c r="M27" s="8"/>
      <c r="N27" s="8"/>
      <c r="O27" s="8"/>
      <c r="P27" s="8"/>
      <c r="Q27" s="8"/>
      <c r="R27" s="8"/>
      <c r="S27" s="8"/>
      <c r="T27" s="8"/>
      <c r="U27" s="8"/>
      <c r="V27" s="9"/>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row>
    <row r="28" spans="1:226" ht="18.75" customHeight="1" x14ac:dyDescent="0.25">
      <c r="A28" s="8"/>
      <c r="B28" s="8"/>
      <c r="C28" s="8"/>
      <c r="D28" s="8"/>
      <c r="E28" s="8"/>
      <c r="F28" s="8"/>
      <c r="G28" s="8"/>
      <c r="H28" s="8"/>
      <c r="I28" s="8"/>
      <c r="J28" s="8"/>
      <c r="K28" s="8"/>
      <c r="L28" s="8"/>
      <c r="M28" s="8"/>
      <c r="N28" s="8"/>
      <c r="O28" s="8"/>
      <c r="P28" s="8"/>
      <c r="Q28" s="8"/>
      <c r="R28" s="8"/>
      <c r="S28" s="8"/>
      <c r="T28" s="8"/>
      <c r="U28" s="8"/>
      <c r="V28" s="9"/>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row>
    <row r="29" spans="1:226" ht="14.25" customHeight="1" x14ac:dyDescent="0.25">
      <c r="A29" s="8"/>
      <c r="B29" s="8"/>
      <c r="C29" s="8"/>
      <c r="D29" s="8"/>
      <c r="E29" s="8"/>
      <c r="F29" s="8"/>
      <c r="G29" s="8"/>
      <c r="H29" s="8"/>
      <c r="I29" s="8"/>
      <c r="J29" s="8"/>
      <c r="K29" s="8"/>
      <c r="L29" s="8"/>
      <c r="M29" s="8"/>
      <c r="N29" s="8"/>
      <c r="O29" s="8"/>
      <c r="P29" s="8"/>
      <c r="Q29" s="8"/>
      <c r="R29" s="8"/>
      <c r="S29" s="8"/>
      <c r="T29" s="8"/>
      <c r="U29" s="8"/>
      <c r="V29" s="9"/>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row>
    <row r="30" spans="1:226" ht="14.25" customHeight="1" x14ac:dyDescent="0.25">
      <c r="A30" s="8"/>
      <c r="B30" s="8"/>
      <c r="C30" s="8"/>
      <c r="D30" s="8"/>
      <c r="E30" s="8"/>
      <c r="F30" s="8"/>
      <c r="G30" s="8"/>
      <c r="H30" s="8"/>
      <c r="I30" s="8"/>
      <c r="J30" s="8"/>
      <c r="K30" s="8"/>
      <c r="L30" s="8"/>
      <c r="M30" s="8"/>
      <c r="N30" s="8"/>
      <c r="O30" s="8"/>
      <c r="P30" s="8"/>
      <c r="Q30" s="8"/>
      <c r="R30" s="8"/>
      <c r="S30" s="8"/>
      <c r="T30" s="8"/>
      <c r="U30" s="8"/>
      <c r="V30" s="9"/>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row>
    <row r="31" spans="1:226" ht="36" customHeight="1" x14ac:dyDescent="0.25">
      <c r="A31" s="8"/>
      <c r="B31" s="8"/>
      <c r="C31" s="8"/>
      <c r="D31" s="8"/>
      <c r="E31" s="8"/>
      <c r="F31" s="8"/>
      <c r="G31" s="8"/>
      <c r="H31" s="8"/>
      <c r="I31" s="8"/>
      <c r="J31" s="8"/>
      <c r="K31" s="8"/>
      <c r="L31" s="8"/>
      <c r="M31" s="8"/>
      <c r="N31" s="8"/>
      <c r="O31" s="8"/>
      <c r="P31" s="8"/>
      <c r="Q31" s="8"/>
      <c r="R31" s="8"/>
      <c r="S31" s="8"/>
      <c r="T31" s="8"/>
      <c r="U31" s="8"/>
      <c r="V31" s="9"/>
      <c r="W31" s="12"/>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row>
    <row r="32" spans="1:226" ht="14.25" customHeight="1" x14ac:dyDescent="0.25">
      <c r="A32" s="8"/>
      <c r="B32" s="8"/>
      <c r="C32" s="8"/>
      <c r="D32" s="8"/>
      <c r="E32" s="9"/>
      <c r="F32" s="9"/>
      <c r="G32" s="8"/>
      <c r="H32" s="9"/>
      <c r="I32" s="8"/>
      <c r="J32" s="8"/>
      <c r="K32" s="8"/>
      <c r="L32" s="8"/>
      <c r="M32" s="8"/>
      <c r="N32" s="8"/>
      <c r="O32" s="8"/>
      <c r="P32" s="8"/>
      <c r="Q32" s="13"/>
      <c r="R32" s="8"/>
      <c r="S32" s="8"/>
      <c r="T32" s="8"/>
      <c r="U32" s="8"/>
      <c r="V32" s="9"/>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row>
    <row r="33" spans="1:226" ht="15" customHeight="1" x14ac:dyDescent="0.25">
      <c r="A33" s="8"/>
      <c r="B33" s="8"/>
      <c r="C33" s="8"/>
      <c r="D33" s="8"/>
      <c r="E33" s="8"/>
      <c r="F33" s="8"/>
      <c r="G33" s="8"/>
      <c r="H33" s="8"/>
      <c r="I33" s="8"/>
      <c r="J33" s="8"/>
      <c r="K33" s="8"/>
      <c r="L33" s="8"/>
      <c r="M33" s="8"/>
      <c r="N33" s="8"/>
      <c r="O33" s="8"/>
      <c r="P33" s="8"/>
      <c r="Q33" s="8"/>
      <c r="R33" s="8"/>
      <c r="S33" s="8"/>
      <c r="T33" s="8"/>
      <c r="U33" s="8"/>
      <c r="V33" s="9"/>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row>
    <row r="34" spans="1:226" ht="14.25" customHeight="1" x14ac:dyDescent="0.25">
      <c r="A34" s="8"/>
      <c r="B34" s="8"/>
      <c r="C34" s="8"/>
      <c r="D34" s="8"/>
      <c r="E34" s="8"/>
      <c r="F34" s="8"/>
      <c r="G34" s="8"/>
      <c r="H34" s="8"/>
      <c r="I34" s="8"/>
      <c r="J34" s="8"/>
      <c r="K34" s="8"/>
      <c r="L34" s="8"/>
      <c r="M34" s="8"/>
      <c r="N34" s="8"/>
      <c r="O34" s="8"/>
      <c r="P34" s="8"/>
      <c r="Q34" s="8"/>
      <c r="R34" s="8"/>
      <c r="S34" s="8"/>
      <c r="T34" s="8"/>
      <c r="U34" s="8"/>
      <c r="V34" s="9"/>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row>
    <row r="35" spans="1:226" ht="14.25" customHeight="1" x14ac:dyDescent="0.25">
      <c r="A35" s="8"/>
      <c r="B35" s="8"/>
      <c r="C35" s="8"/>
      <c r="D35" s="8"/>
      <c r="E35" s="8"/>
      <c r="F35" s="8"/>
      <c r="G35" s="8"/>
      <c r="H35" s="8"/>
      <c r="I35" s="8"/>
      <c r="J35" s="8"/>
      <c r="K35" s="8"/>
      <c r="L35" s="8"/>
      <c r="M35" s="8"/>
      <c r="N35" s="8"/>
      <c r="O35" s="8"/>
      <c r="P35" s="8"/>
      <c r="Q35" s="8"/>
      <c r="R35" s="8"/>
      <c r="S35" s="8"/>
      <c r="T35" s="8"/>
      <c r="U35" s="8"/>
      <c r="V35" s="9"/>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row>
    <row r="36" spans="1:226" ht="14.25" customHeight="1" x14ac:dyDescent="0.25">
      <c r="A36" s="8"/>
      <c r="B36" s="8"/>
      <c r="C36" s="8"/>
      <c r="D36" s="8"/>
      <c r="E36" s="8"/>
      <c r="F36" s="8"/>
      <c r="G36" s="8"/>
      <c r="H36" s="8"/>
      <c r="I36" s="8"/>
      <c r="J36" s="8"/>
      <c r="K36" s="8"/>
      <c r="L36" s="8"/>
      <c r="M36" s="8"/>
      <c r="N36" s="8"/>
      <c r="O36" s="8"/>
      <c r="P36" s="8"/>
      <c r="Q36" s="8"/>
      <c r="R36" s="8"/>
      <c r="S36" s="8"/>
      <c r="T36" s="8"/>
      <c r="U36" s="8"/>
      <c r="V36" s="9"/>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row>
    <row r="37" spans="1:226" ht="14.25" customHeight="1" x14ac:dyDescent="0.25">
      <c r="A37" s="8"/>
      <c r="B37" s="8"/>
      <c r="C37" s="8"/>
      <c r="D37" s="8"/>
      <c r="E37" s="8"/>
      <c r="F37" s="8"/>
      <c r="G37" s="8"/>
      <c r="H37" s="8"/>
      <c r="I37" s="8"/>
      <c r="J37" s="8"/>
      <c r="K37" s="8"/>
      <c r="L37" s="8"/>
      <c r="M37" s="8"/>
      <c r="N37" s="8"/>
      <c r="O37" s="8"/>
      <c r="P37" s="8"/>
      <c r="Q37" s="8"/>
      <c r="R37" s="8"/>
      <c r="S37" s="8"/>
      <c r="T37" s="8"/>
      <c r="U37" s="8"/>
      <c r="V37" s="9"/>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row>
    <row r="38" spans="1:226" ht="14.25" customHeight="1" x14ac:dyDescent="0.25">
      <c r="A38" s="8"/>
      <c r="B38" s="8"/>
      <c r="C38" s="8"/>
      <c r="D38" s="8"/>
      <c r="E38" s="8"/>
      <c r="F38" s="8"/>
      <c r="G38" s="8"/>
      <c r="H38" s="8"/>
      <c r="I38" s="8"/>
      <c r="J38" s="8"/>
      <c r="K38" s="8"/>
      <c r="L38" s="8"/>
      <c r="M38" s="8"/>
      <c r="N38" s="8"/>
      <c r="O38" s="8"/>
      <c r="P38" s="8"/>
      <c r="Q38" s="8"/>
      <c r="R38" s="8"/>
      <c r="S38" s="8"/>
      <c r="T38" s="9"/>
      <c r="U38" s="9"/>
      <c r="V38" s="9"/>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row>
    <row r="39" spans="1:226" ht="14.25" customHeight="1" x14ac:dyDescent="0.25">
      <c r="A39" s="8"/>
      <c r="B39" s="8"/>
      <c r="C39" s="8"/>
      <c r="D39" s="8"/>
      <c r="E39" s="8"/>
      <c r="F39" s="8"/>
      <c r="G39" s="8"/>
      <c r="H39" s="8"/>
      <c r="I39" s="8"/>
      <c r="J39" s="8"/>
      <c r="K39" s="8"/>
      <c r="L39" s="8"/>
      <c r="M39" s="8"/>
      <c r="N39" s="8"/>
      <c r="O39" s="8"/>
      <c r="P39" s="8"/>
      <c r="Q39" s="8"/>
      <c r="R39" s="8"/>
      <c r="S39" s="8"/>
      <c r="T39" s="9"/>
      <c r="U39" s="9"/>
      <c r="V39" s="9"/>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row>
    <row r="40" spans="1:226" ht="14.25" customHeight="1" x14ac:dyDescent="0.25">
      <c r="A40" s="8"/>
      <c r="B40" s="8"/>
      <c r="C40" s="8"/>
      <c r="D40" s="8"/>
      <c r="E40" s="8"/>
      <c r="F40" s="8"/>
      <c r="G40" s="8"/>
      <c r="H40" s="8"/>
      <c r="I40" s="8"/>
      <c r="J40" s="8"/>
      <c r="K40" s="8"/>
      <c r="L40" s="8"/>
      <c r="M40" s="8"/>
      <c r="N40" s="8"/>
      <c r="O40" s="8"/>
      <c r="P40" s="8"/>
      <c r="Q40" s="8"/>
      <c r="R40" s="8"/>
      <c r="S40" s="8"/>
      <c r="T40" s="9"/>
      <c r="U40" s="9"/>
      <c r="V40" s="9"/>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row>
    <row r="41" spans="1:226" ht="14.25" customHeight="1" x14ac:dyDescent="0.25">
      <c r="A41" s="8"/>
      <c r="B41" s="8"/>
      <c r="C41" s="8"/>
      <c r="D41" s="8"/>
      <c r="E41" s="8"/>
      <c r="F41" s="8"/>
      <c r="G41" s="8"/>
      <c r="H41" s="8"/>
      <c r="I41" s="8"/>
      <c r="J41" s="8"/>
      <c r="K41" s="8"/>
      <c r="L41" s="8"/>
      <c r="M41" s="8"/>
      <c r="N41" s="8"/>
      <c r="O41" s="8"/>
      <c r="P41" s="8"/>
      <c r="Q41" s="8"/>
      <c r="R41" s="8"/>
      <c r="S41" s="8"/>
      <c r="T41" s="9"/>
      <c r="U41" s="9"/>
      <c r="V41" s="9"/>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row>
    <row r="42" spans="1:226" ht="14.25" customHeight="1" thickBot="1" x14ac:dyDescent="0.3">
      <c r="A42" s="1"/>
      <c r="B42" s="1"/>
      <c r="C42" s="1"/>
      <c r="D42" s="1"/>
      <c r="E42" s="1"/>
      <c r="F42" s="1"/>
      <c r="G42" s="1"/>
      <c r="H42" s="1"/>
      <c r="I42" s="1"/>
      <c r="J42" s="1"/>
      <c r="K42" s="1"/>
      <c r="L42" s="1"/>
      <c r="M42" s="1"/>
      <c r="N42" s="1"/>
      <c r="O42" s="1"/>
      <c r="P42" s="1"/>
      <c r="Q42" s="1"/>
      <c r="R42" s="1"/>
      <c r="S42" s="1"/>
      <c r="T42" s="14"/>
      <c r="U42" s="14"/>
      <c r="V42" s="14"/>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row>
    <row r="43" spans="1:226" ht="14.25" customHeight="1" thickTop="1" x14ac:dyDescent="0.25">
      <c r="A43" s="138" t="s">
        <v>25</v>
      </c>
      <c r="B43" s="139"/>
      <c r="C43" s="139"/>
      <c r="D43" s="139"/>
      <c r="E43" s="139"/>
      <c r="F43" s="139"/>
      <c r="G43" s="139"/>
      <c r="H43" s="139"/>
      <c r="I43" s="139"/>
      <c r="J43" s="139"/>
      <c r="K43" s="140"/>
      <c r="L43" s="1"/>
      <c r="M43" s="1"/>
      <c r="N43" s="1"/>
      <c r="O43" s="1"/>
      <c r="P43" s="1"/>
      <c r="Q43" s="1"/>
      <c r="R43" s="1"/>
      <c r="S43" s="1"/>
      <c r="T43" s="14"/>
      <c r="U43" s="14"/>
      <c r="V43" s="14"/>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row>
    <row r="44" spans="1:226" ht="14.25" customHeight="1" x14ac:dyDescent="0.25">
      <c r="A44" s="141"/>
      <c r="B44" s="142"/>
      <c r="C44" s="142"/>
      <c r="D44" s="142"/>
      <c r="E44" s="142"/>
      <c r="F44" s="142"/>
      <c r="G44" s="142"/>
      <c r="H44" s="142"/>
      <c r="I44" s="142"/>
      <c r="J44" s="142"/>
      <c r="K44" s="143"/>
      <c r="L44" s="1"/>
      <c r="M44" s="1"/>
      <c r="N44" s="1"/>
      <c r="O44" s="1"/>
      <c r="P44" s="1"/>
      <c r="Q44" s="1"/>
      <c r="R44" s="1"/>
      <c r="S44" s="1"/>
      <c r="T44" s="14"/>
      <c r="U44" s="14"/>
      <c r="V44" s="14"/>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row>
    <row r="45" spans="1:226" ht="14.25" customHeight="1" x14ac:dyDescent="0.25">
      <c r="A45" s="141"/>
      <c r="B45" s="142"/>
      <c r="C45" s="142"/>
      <c r="D45" s="142"/>
      <c r="E45" s="142"/>
      <c r="F45" s="142"/>
      <c r="G45" s="142"/>
      <c r="H45" s="142"/>
      <c r="I45" s="142"/>
      <c r="J45" s="142"/>
      <c r="K45" s="143"/>
      <c r="L45" s="1"/>
      <c r="M45" s="1"/>
      <c r="N45" s="1"/>
      <c r="O45" s="1"/>
      <c r="P45" s="1"/>
      <c r="Q45" s="1"/>
      <c r="R45" s="1"/>
      <c r="S45" s="1"/>
      <c r="T45" s="14"/>
      <c r="U45" s="14"/>
      <c r="V45" s="14"/>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row>
    <row r="46" spans="1:226" ht="14.25" customHeight="1" x14ac:dyDescent="0.25">
      <c r="A46" s="141"/>
      <c r="B46" s="142"/>
      <c r="C46" s="142"/>
      <c r="D46" s="142"/>
      <c r="E46" s="142"/>
      <c r="F46" s="142"/>
      <c r="G46" s="142"/>
      <c r="H46" s="142"/>
      <c r="I46" s="142"/>
      <c r="J46" s="142"/>
      <c r="K46" s="143"/>
      <c r="L46" s="1"/>
      <c r="M46" s="1"/>
      <c r="N46" s="1"/>
      <c r="O46" s="1"/>
      <c r="P46" s="1"/>
      <c r="Q46" s="1"/>
      <c r="R46" s="1"/>
      <c r="S46" s="1"/>
      <c r="T46" s="14"/>
      <c r="U46" s="14"/>
      <c r="V46" s="14"/>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row>
    <row r="47" spans="1:226" ht="14.25" customHeight="1" x14ac:dyDescent="0.25">
      <c r="A47" s="141"/>
      <c r="B47" s="142"/>
      <c r="C47" s="142"/>
      <c r="D47" s="142"/>
      <c r="E47" s="142"/>
      <c r="F47" s="142"/>
      <c r="G47" s="142"/>
      <c r="H47" s="142"/>
      <c r="I47" s="142"/>
      <c r="J47" s="142"/>
      <c r="K47" s="143"/>
      <c r="L47" s="1"/>
      <c r="M47" s="1"/>
      <c r="N47" s="1"/>
      <c r="O47" s="1"/>
      <c r="P47" s="1"/>
      <c r="Q47" s="1"/>
      <c r="R47" s="1"/>
      <c r="S47" s="1"/>
      <c r="T47" s="14"/>
      <c r="U47" s="14"/>
      <c r="V47" s="14"/>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row>
    <row r="48" spans="1:226" ht="14.25" customHeight="1" x14ac:dyDescent="0.25">
      <c r="A48" s="141"/>
      <c r="B48" s="142"/>
      <c r="C48" s="142"/>
      <c r="D48" s="142"/>
      <c r="E48" s="142"/>
      <c r="F48" s="142"/>
      <c r="G48" s="142"/>
      <c r="H48" s="142"/>
      <c r="I48" s="142"/>
      <c r="J48" s="142"/>
      <c r="K48" s="143"/>
      <c r="L48" s="1"/>
      <c r="M48" s="1"/>
      <c r="N48" s="1"/>
      <c r="O48" s="1"/>
      <c r="P48" s="1"/>
      <c r="Q48" s="1"/>
      <c r="R48" s="1"/>
      <c r="S48" s="1"/>
      <c r="T48" s="14"/>
      <c r="U48" s="14"/>
      <c r="V48" s="14"/>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row>
    <row r="49" spans="1:226" ht="14.25" customHeight="1" x14ac:dyDescent="0.25">
      <c r="A49" s="141"/>
      <c r="B49" s="142"/>
      <c r="C49" s="142"/>
      <c r="D49" s="142"/>
      <c r="E49" s="142"/>
      <c r="F49" s="142"/>
      <c r="G49" s="142"/>
      <c r="H49" s="142"/>
      <c r="I49" s="142"/>
      <c r="J49" s="142"/>
      <c r="K49" s="143"/>
      <c r="L49" s="1"/>
      <c r="M49" s="1"/>
      <c r="N49" s="1"/>
      <c r="O49" s="1"/>
      <c r="P49" s="1"/>
      <c r="Q49" s="1"/>
      <c r="R49" s="1"/>
      <c r="S49" s="1"/>
      <c r="T49" s="14"/>
      <c r="U49" s="14"/>
      <c r="V49" s="14"/>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row>
    <row r="50" spans="1:226" ht="14.25" customHeight="1" x14ac:dyDescent="0.25">
      <c r="A50" s="141"/>
      <c r="B50" s="142"/>
      <c r="C50" s="142"/>
      <c r="D50" s="142"/>
      <c r="E50" s="142"/>
      <c r="F50" s="142"/>
      <c r="G50" s="142"/>
      <c r="H50" s="142"/>
      <c r="I50" s="142"/>
      <c r="J50" s="142"/>
      <c r="K50" s="143"/>
      <c r="L50" s="1"/>
      <c r="M50" s="1"/>
      <c r="N50" s="1"/>
      <c r="O50" s="1"/>
      <c r="P50" s="1"/>
      <c r="Q50" s="1"/>
      <c r="R50" s="1"/>
      <c r="S50" s="1"/>
      <c r="T50" s="14"/>
      <c r="U50" s="14"/>
      <c r="V50" s="14"/>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row>
    <row r="51" spans="1:226" ht="14.25" customHeight="1" x14ac:dyDescent="0.25">
      <c r="A51" s="141"/>
      <c r="B51" s="142"/>
      <c r="C51" s="142"/>
      <c r="D51" s="142"/>
      <c r="E51" s="142"/>
      <c r="F51" s="142"/>
      <c r="G51" s="142"/>
      <c r="H51" s="142"/>
      <c r="I51" s="142"/>
      <c r="J51" s="142"/>
      <c r="K51" s="143"/>
      <c r="L51" s="1"/>
      <c r="M51" s="1"/>
      <c r="N51" s="1"/>
      <c r="O51" s="1"/>
      <c r="P51" s="1"/>
      <c r="Q51" s="1"/>
      <c r="R51" s="1"/>
      <c r="S51" s="1"/>
      <c r="T51" s="14"/>
      <c r="U51" s="14"/>
      <c r="V51" s="14"/>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row>
    <row r="52" spans="1:226" ht="14.25" customHeight="1" x14ac:dyDescent="0.25">
      <c r="A52" s="141"/>
      <c r="B52" s="142"/>
      <c r="C52" s="142"/>
      <c r="D52" s="142"/>
      <c r="E52" s="142"/>
      <c r="F52" s="142"/>
      <c r="G52" s="142"/>
      <c r="H52" s="142"/>
      <c r="I52" s="142"/>
      <c r="J52" s="142"/>
      <c r="K52" s="143"/>
      <c r="L52" s="1"/>
      <c r="M52" s="1"/>
      <c r="N52" s="1"/>
      <c r="O52" s="1"/>
      <c r="P52" s="1"/>
      <c r="Q52" s="1"/>
      <c r="R52" s="1"/>
      <c r="S52" s="1"/>
      <c r="T52" s="14"/>
      <c r="U52" s="14"/>
      <c r="V52" s="14"/>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row>
    <row r="53" spans="1:226" ht="14.25" customHeight="1" x14ac:dyDescent="0.25">
      <c r="A53" s="141"/>
      <c r="B53" s="142"/>
      <c r="C53" s="142"/>
      <c r="D53" s="142"/>
      <c r="E53" s="142"/>
      <c r="F53" s="142"/>
      <c r="G53" s="142"/>
      <c r="H53" s="142"/>
      <c r="I53" s="142"/>
      <c r="J53" s="142"/>
      <c r="K53" s="143"/>
      <c r="L53" s="1"/>
      <c r="M53" s="1"/>
      <c r="N53" s="1"/>
      <c r="O53" s="1"/>
      <c r="P53" s="1"/>
      <c r="Q53" s="1"/>
      <c r="R53" s="1"/>
      <c r="S53" s="1"/>
      <c r="T53" s="14"/>
      <c r="U53" s="14"/>
      <c r="V53" s="14"/>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row>
    <row r="54" spans="1:226" ht="14.25" customHeight="1" x14ac:dyDescent="0.25">
      <c r="A54" s="141"/>
      <c r="B54" s="142"/>
      <c r="C54" s="142"/>
      <c r="D54" s="142"/>
      <c r="E54" s="142"/>
      <c r="F54" s="142"/>
      <c r="G54" s="142"/>
      <c r="H54" s="142"/>
      <c r="I54" s="142"/>
      <c r="J54" s="142"/>
      <c r="K54" s="143"/>
      <c r="L54" s="1"/>
      <c r="M54" s="1"/>
      <c r="N54" s="1"/>
      <c r="O54" s="1"/>
      <c r="P54" s="1"/>
      <c r="Q54" s="1"/>
      <c r="R54" s="1"/>
      <c r="S54" s="1"/>
      <c r="T54" s="14"/>
      <c r="U54" s="14"/>
      <c r="V54" s="14"/>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row>
    <row r="55" spans="1:226" ht="14.25" customHeight="1" thickBot="1" x14ac:dyDescent="0.3">
      <c r="A55" s="144"/>
      <c r="B55" s="145"/>
      <c r="C55" s="145"/>
      <c r="D55" s="145"/>
      <c r="E55" s="145"/>
      <c r="F55" s="145"/>
      <c r="G55" s="145"/>
      <c r="H55" s="145"/>
      <c r="I55" s="145"/>
      <c r="J55" s="145"/>
      <c r="K55" s="146"/>
      <c r="L55" s="1"/>
      <c r="M55" s="1"/>
      <c r="N55" s="1"/>
      <c r="O55" s="1"/>
      <c r="P55" s="1"/>
      <c r="Q55" s="1"/>
      <c r="R55" s="1"/>
      <c r="S55" s="1"/>
      <c r="T55" s="14"/>
      <c r="U55" s="14"/>
      <c r="V55" s="14"/>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row>
    <row r="56" spans="1:226" ht="14.25" customHeight="1" thickTop="1" x14ac:dyDescent="0.25">
      <c r="A56" s="1"/>
      <c r="B56" s="1"/>
      <c r="C56" s="1"/>
      <c r="D56" s="1"/>
      <c r="E56" s="1"/>
      <c r="F56" s="1"/>
      <c r="G56" s="1"/>
      <c r="H56" s="1"/>
      <c r="I56" s="1"/>
      <c r="J56" s="1"/>
      <c r="K56" s="1"/>
      <c r="L56" s="1"/>
      <c r="M56" s="1"/>
      <c r="N56" s="1"/>
      <c r="O56" s="1"/>
      <c r="P56" s="1"/>
      <c r="Q56" s="1"/>
      <c r="R56" s="1"/>
      <c r="S56" s="1"/>
      <c r="T56" s="14"/>
      <c r="U56" s="14"/>
      <c r="V56" s="14"/>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row>
    <row r="57" spans="1:226" ht="14.25" customHeight="1" x14ac:dyDescent="0.25">
      <c r="A57" s="1"/>
      <c r="B57" s="1"/>
      <c r="C57" s="1"/>
      <c r="D57" s="1"/>
      <c r="E57" s="1"/>
      <c r="F57" s="1"/>
      <c r="G57" s="1"/>
      <c r="H57" s="1"/>
      <c r="I57" s="1"/>
      <c r="J57" s="1"/>
      <c r="K57" s="1"/>
      <c r="L57" s="1"/>
      <c r="M57" s="1"/>
      <c r="N57" s="1"/>
      <c r="O57" s="1"/>
      <c r="P57" s="1"/>
      <c r="Q57" s="1"/>
      <c r="R57" s="1"/>
      <c r="S57" s="1"/>
      <c r="T57" s="14"/>
      <c r="U57" s="14"/>
      <c r="V57" s="14"/>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row>
    <row r="58" spans="1:226" ht="14.25" customHeight="1" x14ac:dyDescent="0.25">
      <c r="A58" s="1"/>
      <c r="B58" s="1"/>
      <c r="C58" s="1"/>
      <c r="D58" s="1"/>
      <c r="E58" s="1"/>
      <c r="F58" s="1"/>
      <c r="G58" s="1"/>
      <c r="H58" s="1"/>
      <c r="I58" s="1"/>
      <c r="J58" s="1"/>
      <c r="K58" s="1"/>
      <c r="L58" s="1"/>
      <c r="M58" s="1"/>
      <c r="N58" s="1"/>
      <c r="O58" s="1"/>
      <c r="P58" s="1"/>
      <c r="Q58" s="1"/>
      <c r="R58" s="1"/>
      <c r="S58" s="1"/>
      <c r="T58" s="14"/>
      <c r="U58" s="14"/>
      <c r="V58" s="14"/>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row>
    <row r="59" spans="1:226" ht="14.25" customHeight="1" x14ac:dyDescent="0.25">
      <c r="A59" s="1"/>
      <c r="B59" s="1"/>
      <c r="C59" s="1"/>
      <c r="D59" s="1"/>
      <c r="E59" s="1"/>
      <c r="F59" s="1"/>
      <c r="G59" s="1"/>
      <c r="H59" s="1"/>
      <c r="I59" s="1"/>
      <c r="J59" s="1"/>
      <c r="K59" s="1"/>
      <c r="L59" s="1"/>
      <c r="M59" s="1"/>
      <c r="N59" s="1"/>
      <c r="O59" s="1"/>
      <c r="P59" s="1"/>
      <c r="Q59" s="1"/>
      <c r="R59" s="1"/>
      <c r="S59" s="1"/>
      <c r="T59" s="14"/>
      <c r="U59" s="14"/>
      <c r="V59" s="14"/>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row>
    <row r="60" spans="1:226" ht="14.25" customHeight="1" x14ac:dyDescent="0.25">
      <c r="A60" s="1"/>
      <c r="B60" s="1"/>
      <c r="C60" s="1"/>
      <c r="D60" s="1"/>
      <c r="E60" s="1"/>
      <c r="F60" s="1"/>
      <c r="G60" s="1"/>
      <c r="H60" s="1"/>
      <c r="I60" s="1"/>
      <c r="J60" s="1"/>
      <c r="K60" s="1"/>
      <c r="L60" s="1"/>
      <c r="M60" s="1"/>
      <c r="N60" s="1"/>
      <c r="O60" s="1"/>
      <c r="P60" s="1"/>
      <c r="Q60" s="1"/>
      <c r="R60" s="1"/>
      <c r="S60" s="1"/>
      <c r="T60" s="14"/>
      <c r="U60" s="14"/>
      <c r="V60" s="14"/>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row>
    <row r="61" spans="1:226" ht="14.25" customHeight="1" x14ac:dyDescent="0.25">
      <c r="A61" s="1"/>
      <c r="B61" s="1"/>
      <c r="C61" s="1"/>
      <c r="D61" s="1"/>
      <c r="E61" s="1"/>
      <c r="F61" s="1"/>
      <c r="G61" s="1"/>
      <c r="H61" s="1"/>
      <c r="I61" s="1"/>
      <c r="J61" s="1"/>
      <c r="K61" s="1"/>
      <c r="L61" s="1"/>
      <c r="M61" s="1"/>
      <c r="N61" s="1"/>
      <c r="O61" s="1"/>
      <c r="P61" s="1"/>
      <c r="Q61" s="1"/>
      <c r="R61" s="1"/>
      <c r="S61" s="1"/>
      <c r="T61" s="14"/>
      <c r="U61" s="14"/>
      <c r="V61" s="14"/>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row>
    <row r="62" spans="1:226" ht="14.25" customHeight="1" x14ac:dyDescent="0.25">
      <c r="A62" s="1"/>
      <c r="B62" s="1"/>
      <c r="C62" s="1"/>
      <c r="D62" s="1"/>
      <c r="E62" s="1"/>
      <c r="F62" s="1"/>
      <c r="G62" s="1"/>
      <c r="H62" s="1"/>
      <c r="I62" s="1"/>
      <c r="J62" s="1"/>
      <c r="K62" s="1"/>
      <c r="L62" s="1"/>
      <c r="M62" s="1"/>
      <c r="N62" s="1"/>
      <c r="O62" s="1"/>
      <c r="P62" s="1"/>
      <c r="Q62" s="1"/>
      <c r="R62" s="1"/>
      <c r="S62" s="1"/>
      <c r="T62" s="14"/>
      <c r="U62" s="14"/>
      <c r="V62" s="14"/>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row>
    <row r="63" spans="1:226" ht="14.25" customHeight="1" x14ac:dyDescent="0.25">
      <c r="A63" s="1"/>
      <c r="B63" s="1"/>
      <c r="C63" s="1"/>
      <c r="D63" s="1"/>
      <c r="E63" s="1"/>
      <c r="F63" s="1"/>
      <c r="G63" s="1"/>
      <c r="H63" s="1"/>
      <c r="I63" s="1"/>
      <c r="J63" s="1"/>
      <c r="K63" s="1"/>
      <c r="L63" s="1"/>
      <c r="M63" s="1"/>
      <c r="N63" s="1"/>
      <c r="O63" s="1"/>
      <c r="P63" s="1"/>
      <c r="Q63" s="1"/>
      <c r="R63" s="1"/>
      <c r="S63" s="1"/>
      <c r="T63" s="14"/>
      <c r="U63" s="14"/>
      <c r="V63" s="14"/>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row>
    <row r="64" spans="1:226" ht="14.25" customHeight="1" x14ac:dyDescent="0.25">
      <c r="A64" s="1"/>
      <c r="B64" s="1"/>
      <c r="C64" s="1"/>
      <c r="D64" s="1"/>
      <c r="E64" s="1"/>
      <c r="F64" s="1"/>
      <c r="G64" s="1"/>
      <c r="H64" s="1"/>
      <c r="I64" s="1"/>
      <c r="J64" s="1"/>
      <c r="K64" s="1"/>
      <c r="L64" s="1"/>
      <c r="M64" s="1"/>
      <c r="N64" s="1"/>
      <c r="O64" s="1"/>
      <c r="P64" s="1"/>
      <c r="Q64" s="1"/>
      <c r="R64" s="1"/>
      <c r="S64" s="1"/>
      <c r="T64" s="14"/>
      <c r="U64" s="14"/>
      <c r="V64" s="14"/>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row>
    <row r="65" spans="1:226" ht="14.25" customHeight="1" x14ac:dyDescent="0.25">
      <c r="A65" s="1"/>
      <c r="B65" s="1"/>
      <c r="C65" s="1"/>
      <c r="D65" s="1"/>
      <c r="E65" s="1"/>
      <c r="F65" s="1"/>
      <c r="G65" s="1"/>
      <c r="H65" s="1"/>
      <c r="I65" s="1"/>
      <c r="J65" s="1"/>
      <c r="K65" s="1"/>
      <c r="L65" s="1"/>
      <c r="M65" s="1"/>
      <c r="N65" s="1"/>
      <c r="O65" s="1"/>
      <c r="P65" s="1"/>
      <c r="Q65" s="1"/>
      <c r="R65" s="1"/>
      <c r="S65" s="1"/>
      <c r="T65" s="14"/>
      <c r="U65" s="14"/>
      <c r="V65" s="14"/>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row>
    <row r="66" spans="1:226" ht="14.25" customHeight="1" x14ac:dyDescent="0.25">
      <c r="A66" s="1"/>
      <c r="B66" s="1"/>
      <c r="C66" s="1"/>
      <c r="D66" s="1"/>
      <c r="E66" s="1"/>
      <c r="F66" s="1"/>
      <c r="G66" s="1"/>
      <c r="H66" s="1"/>
      <c r="I66" s="1"/>
      <c r="J66" s="1"/>
      <c r="K66" s="1"/>
      <c r="L66" s="1"/>
      <c r="M66" s="1"/>
      <c r="N66" s="1"/>
      <c r="O66" s="1"/>
      <c r="P66" s="1"/>
      <c r="Q66" s="1"/>
      <c r="R66" s="1"/>
      <c r="S66" s="1"/>
      <c r="T66" s="14"/>
      <c r="U66" s="14"/>
      <c r="V66" s="14"/>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row>
    <row r="67" spans="1:226" ht="14.25" customHeight="1" x14ac:dyDescent="0.25">
      <c r="A67" s="1"/>
      <c r="B67" s="1"/>
      <c r="C67" s="1"/>
      <c r="D67" s="1"/>
      <c r="E67" s="1"/>
      <c r="F67" s="1"/>
      <c r="G67" s="1"/>
      <c r="H67" s="1"/>
      <c r="I67" s="1"/>
      <c r="J67" s="1"/>
      <c r="K67" s="1"/>
      <c r="L67" s="1"/>
      <c r="M67" s="1"/>
      <c r="N67" s="1"/>
      <c r="O67" s="1"/>
      <c r="P67" s="1"/>
      <c r="Q67" s="1"/>
      <c r="R67" s="1"/>
      <c r="S67" s="1"/>
      <c r="T67" s="14"/>
      <c r="U67" s="14"/>
      <c r="V67" s="14"/>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row>
    <row r="68" spans="1:226" ht="14.25" customHeight="1" x14ac:dyDescent="0.25">
      <c r="A68" s="1"/>
      <c r="B68" s="1"/>
      <c r="C68" s="1"/>
      <c r="D68" s="1"/>
      <c r="E68" s="1"/>
      <c r="F68" s="1"/>
      <c r="G68" s="1"/>
      <c r="H68" s="1"/>
      <c r="I68" s="1"/>
      <c r="J68" s="1"/>
      <c r="K68" s="1"/>
      <c r="L68" s="1"/>
      <c r="M68" s="1"/>
      <c r="N68" s="1"/>
      <c r="O68" s="1"/>
      <c r="P68" s="1"/>
      <c r="Q68" s="1"/>
      <c r="R68" s="1"/>
      <c r="S68" s="1"/>
      <c r="T68" s="14"/>
      <c r="U68" s="14"/>
      <c r="V68" s="14"/>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row>
    <row r="69" spans="1:226" ht="14.25" customHeight="1" x14ac:dyDescent="0.25">
      <c r="A69" s="1"/>
      <c r="B69" s="1"/>
      <c r="C69" s="1"/>
      <c r="D69" s="1"/>
      <c r="E69" s="1"/>
      <c r="F69" s="1"/>
      <c r="G69" s="1"/>
      <c r="H69" s="1"/>
      <c r="I69" s="1"/>
      <c r="J69" s="1"/>
      <c r="K69" s="1"/>
      <c r="L69" s="1"/>
      <c r="M69" s="1"/>
      <c r="N69" s="1"/>
      <c r="O69" s="1"/>
      <c r="P69" s="1"/>
      <c r="Q69" s="1"/>
      <c r="R69" s="1"/>
      <c r="S69" s="1"/>
      <c r="T69" s="14"/>
      <c r="U69" s="14"/>
      <c r="V69" s="14"/>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row>
    <row r="70" spans="1:226" ht="14.25" customHeight="1" x14ac:dyDescent="0.25">
      <c r="A70" s="1"/>
      <c r="B70" s="1"/>
      <c r="C70" s="1"/>
      <c r="D70" s="1"/>
      <c r="E70" s="1"/>
      <c r="F70" s="1"/>
      <c r="G70" s="1"/>
      <c r="H70" s="1"/>
      <c r="I70" s="1"/>
      <c r="J70" s="1"/>
      <c r="K70" s="1"/>
      <c r="L70" s="1"/>
      <c r="M70" s="1"/>
      <c r="N70" s="1"/>
      <c r="O70" s="1"/>
      <c r="P70" s="1"/>
      <c r="Q70" s="1"/>
      <c r="R70" s="1"/>
      <c r="S70" s="1"/>
      <c r="T70" s="14"/>
      <c r="U70" s="14"/>
      <c r="V70" s="14"/>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row>
    <row r="71" spans="1:226" ht="14.25" customHeight="1" x14ac:dyDescent="0.25">
      <c r="A71" s="1"/>
      <c r="B71" s="1"/>
      <c r="C71" s="1"/>
      <c r="D71" s="1"/>
      <c r="E71" s="1"/>
      <c r="F71" s="1"/>
      <c r="G71" s="1"/>
      <c r="H71" s="1"/>
      <c r="I71" s="1"/>
      <c r="J71" s="1"/>
      <c r="K71" s="1"/>
      <c r="L71" s="1"/>
      <c r="M71" s="1"/>
      <c r="N71" s="1"/>
      <c r="O71" s="1"/>
      <c r="P71" s="1"/>
      <c r="Q71" s="1"/>
      <c r="R71" s="1"/>
      <c r="S71" s="1"/>
      <c r="T71" s="14"/>
      <c r="U71" s="14"/>
      <c r="V71" s="14"/>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row>
    <row r="72" spans="1:226" ht="14.25" customHeight="1" x14ac:dyDescent="0.25">
      <c r="A72" s="1"/>
      <c r="B72" s="1"/>
      <c r="C72" s="1"/>
      <c r="D72" s="1"/>
      <c r="E72" s="1"/>
      <c r="F72" s="1"/>
      <c r="G72" s="1"/>
      <c r="H72" s="1"/>
      <c r="I72" s="1"/>
      <c r="J72" s="1"/>
      <c r="K72" s="1"/>
      <c r="L72" s="1"/>
      <c r="M72" s="1"/>
      <c r="N72" s="1"/>
      <c r="O72" s="1"/>
      <c r="P72" s="1"/>
      <c r="Q72" s="1"/>
      <c r="R72" s="1"/>
      <c r="S72" s="1"/>
      <c r="T72" s="14"/>
      <c r="U72" s="14"/>
      <c r="V72" s="14"/>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row>
    <row r="73" spans="1:226" ht="14.25" customHeight="1" x14ac:dyDescent="0.25">
      <c r="A73" s="1"/>
      <c r="B73" s="1"/>
      <c r="C73" s="1"/>
      <c r="D73" s="1"/>
      <c r="E73" s="1"/>
      <c r="F73" s="1"/>
      <c r="G73" s="1"/>
      <c r="H73" s="1"/>
      <c r="I73" s="1"/>
      <c r="J73" s="1"/>
      <c r="K73" s="1"/>
      <c r="L73" s="1"/>
      <c r="M73" s="1"/>
      <c r="N73" s="1"/>
      <c r="O73" s="1"/>
      <c r="P73" s="1"/>
      <c r="Q73" s="1"/>
      <c r="R73" s="1"/>
      <c r="S73" s="1"/>
      <c r="T73" s="14"/>
      <c r="U73" s="14"/>
      <c r="V73" s="14"/>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row>
    <row r="74" spans="1:226" ht="14.25" customHeight="1" x14ac:dyDescent="0.25">
      <c r="A74" s="1"/>
      <c r="B74" s="1"/>
      <c r="C74" s="1"/>
      <c r="D74" s="1"/>
      <c r="E74" s="1"/>
      <c r="F74" s="1"/>
      <c r="G74" s="1"/>
      <c r="H74" s="1"/>
      <c r="I74" s="1"/>
      <c r="J74" s="1"/>
      <c r="K74" s="1"/>
      <c r="L74" s="1"/>
      <c r="M74" s="1"/>
      <c r="N74" s="1"/>
      <c r="O74" s="1"/>
      <c r="P74" s="1"/>
      <c r="Q74" s="1"/>
      <c r="R74" s="1"/>
      <c r="S74" s="1"/>
      <c r="T74" s="14"/>
      <c r="U74" s="14"/>
      <c r="V74" s="14"/>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row>
    <row r="75" spans="1:226" ht="14.25" customHeight="1" x14ac:dyDescent="0.25">
      <c r="A75" s="1"/>
      <c r="B75" s="1"/>
      <c r="C75" s="1"/>
      <c r="D75" s="1"/>
      <c r="E75" s="1"/>
      <c r="F75" s="1"/>
      <c r="G75" s="1"/>
      <c r="H75" s="1"/>
      <c r="I75" s="1"/>
      <c r="J75" s="1"/>
      <c r="K75" s="1"/>
      <c r="L75" s="1"/>
      <c r="M75" s="1"/>
      <c r="N75" s="1"/>
      <c r="O75" s="1"/>
      <c r="P75" s="1"/>
      <c r="Q75" s="1"/>
      <c r="R75" s="1"/>
      <c r="S75" s="1"/>
      <c r="T75" s="14"/>
      <c r="U75" s="14"/>
      <c r="V75" s="14"/>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row>
    <row r="76" spans="1:226" ht="14.25" customHeight="1" x14ac:dyDescent="0.25">
      <c r="A76" s="1"/>
      <c r="B76" s="1"/>
      <c r="C76" s="1"/>
      <c r="D76" s="1"/>
      <c r="E76" s="1"/>
      <c r="F76" s="1"/>
      <c r="G76" s="1"/>
      <c r="H76" s="1"/>
      <c r="I76" s="1"/>
      <c r="J76" s="1"/>
      <c r="K76" s="1"/>
      <c r="L76" s="1"/>
      <c r="M76" s="1"/>
      <c r="N76" s="1"/>
      <c r="O76" s="1"/>
      <c r="P76" s="1"/>
      <c r="Q76" s="1"/>
      <c r="R76" s="1"/>
      <c r="S76" s="1"/>
      <c r="T76" s="14"/>
      <c r="U76" s="14"/>
      <c r="V76" s="14"/>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row>
    <row r="77" spans="1:226" ht="14.25" customHeight="1" x14ac:dyDescent="0.25">
      <c r="A77" s="1"/>
      <c r="B77" s="1"/>
      <c r="C77" s="1"/>
      <c r="D77" s="1"/>
      <c r="E77" s="1"/>
      <c r="F77" s="1"/>
      <c r="G77" s="1"/>
      <c r="H77" s="1"/>
      <c r="I77" s="1"/>
      <c r="J77" s="1"/>
      <c r="K77" s="1"/>
      <c r="L77" s="1"/>
      <c r="M77" s="1"/>
      <c r="N77" s="1"/>
      <c r="O77" s="1"/>
      <c r="P77" s="1"/>
      <c r="Q77" s="1"/>
      <c r="R77" s="1"/>
      <c r="S77" s="1"/>
      <c r="T77" s="14"/>
      <c r="U77" s="14"/>
      <c r="V77" s="14"/>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row>
    <row r="78" spans="1:226" ht="14.25" customHeight="1" x14ac:dyDescent="0.25">
      <c r="A78" s="1"/>
      <c r="B78" s="1"/>
      <c r="C78" s="1"/>
      <c r="D78" s="1"/>
      <c r="E78" s="1"/>
      <c r="F78" s="1"/>
      <c r="G78" s="1"/>
      <c r="H78" s="1"/>
      <c r="I78" s="1"/>
      <c r="J78" s="1"/>
      <c r="K78" s="1"/>
      <c r="L78" s="1"/>
      <c r="M78" s="1"/>
      <c r="N78" s="1"/>
      <c r="O78" s="1"/>
      <c r="P78" s="1"/>
      <c r="Q78" s="1"/>
      <c r="R78" s="1"/>
      <c r="S78" s="1"/>
      <c r="T78" s="14"/>
      <c r="U78" s="14"/>
      <c r="V78" s="14"/>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row>
    <row r="79" spans="1:226" ht="14.25" customHeight="1" x14ac:dyDescent="0.25">
      <c r="A79" s="1"/>
      <c r="B79" s="1"/>
      <c r="C79" s="1"/>
      <c r="D79" s="1"/>
      <c r="E79" s="1"/>
      <c r="F79" s="1"/>
      <c r="G79" s="1"/>
      <c r="H79" s="1"/>
      <c r="I79" s="1"/>
      <c r="J79" s="1"/>
      <c r="K79" s="1"/>
      <c r="L79" s="1"/>
      <c r="M79" s="1"/>
      <c r="N79" s="1"/>
      <c r="O79" s="1"/>
      <c r="P79" s="1"/>
      <c r="Q79" s="1"/>
      <c r="R79" s="1"/>
      <c r="S79" s="1"/>
      <c r="T79" s="14"/>
      <c r="U79" s="14"/>
      <c r="V79" s="14"/>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row>
    <row r="80" spans="1:226" ht="14.25" customHeight="1" x14ac:dyDescent="0.25">
      <c r="A80" s="1"/>
      <c r="B80" s="1"/>
      <c r="C80" s="1"/>
      <c r="D80" s="1"/>
      <c r="E80" s="1"/>
      <c r="F80" s="1"/>
      <c r="G80" s="1"/>
      <c r="H80" s="1"/>
      <c r="I80" s="1"/>
      <c r="J80" s="1"/>
      <c r="K80" s="1"/>
      <c r="L80" s="1"/>
      <c r="M80" s="1"/>
      <c r="N80" s="1"/>
      <c r="O80" s="1"/>
      <c r="P80" s="1"/>
      <c r="Q80" s="1"/>
      <c r="R80" s="1"/>
      <c r="S80" s="1"/>
      <c r="T80" s="14"/>
      <c r="U80" s="14"/>
      <c r="V80" s="14"/>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row>
    <row r="81" spans="1:226" ht="14.25" customHeight="1" x14ac:dyDescent="0.25">
      <c r="A81" s="1"/>
      <c r="B81" s="1"/>
      <c r="C81" s="1"/>
      <c r="D81" s="1"/>
      <c r="E81" s="1"/>
      <c r="F81" s="1"/>
      <c r="G81" s="1"/>
      <c r="H81" s="1"/>
      <c r="I81" s="1"/>
      <c r="J81" s="1"/>
      <c r="K81" s="1"/>
      <c r="L81" s="1"/>
      <c r="M81" s="1"/>
      <c r="N81" s="1"/>
      <c r="O81" s="1"/>
      <c r="P81" s="1"/>
      <c r="Q81" s="1"/>
      <c r="R81" s="1"/>
      <c r="S81" s="1"/>
      <c r="T81" s="14"/>
      <c r="U81" s="14"/>
      <c r="V81" s="14"/>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row>
    <row r="82" spans="1:226" ht="14.25" customHeight="1" x14ac:dyDescent="0.25">
      <c r="A82" s="1"/>
      <c r="B82" s="1"/>
      <c r="C82" s="1"/>
      <c r="D82" s="1"/>
      <c r="E82" s="1"/>
      <c r="F82" s="1"/>
      <c r="G82" s="1"/>
      <c r="H82" s="1"/>
      <c r="I82" s="1"/>
      <c r="J82" s="1"/>
      <c r="K82" s="1"/>
      <c r="L82" s="1"/>
      <c r="M82" s="1"/>
      <c r="N82" s="1"/>
      <c r="O82" s="1"/>
      <c r="P82" s="1"/>
      <c r="Q82" s="1"/>
      <c r="R82" s="1"/>
      <c r="S82" s="1"/>
      <c r="T82" s="14"/>
      <c r="U82" s="14"/>
      <c r="V82" s="14"/>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row>
    <row r="83" spans="1:226" ht="14.25" customHeight="1" x14ac:dyDescent="0.25">
      <c r="A83" s="1"/>
      <c r="B83" s="1"/>
      <c r="C83" s="1"/>
      <c r="D83" s="1"/>
      <c r="E83" s="1"/>
      <c r="F83" s="1"/>
      <c r="G83" s="1"/>
      <c r="H83" s="1"/>
      <c r="I83" s="1"/>
      <c r="J83" s="1"/>
      <c r="K83" s="1"/>
      <c r="L83" s="1"/>
      <c r="M83" s="1"/>
      <c r="N83" s="1"/>
      <c r="O83" s="1"/>
      <c r="P83" s="1"/>
      <c r="Q83" s="1"/>
      <c r="R83" s="1"/>
      <c r="S83" s="1"/>
      <c r="T83" s="14"/>
      <c r="U83" s="14"/>
      <c r="V83" s="14"/>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row>
    <row r="84" spans="1:226" ht="14.25" customHeight="1" x14ac:dyDescent="0.25">
      <c r="A84" s="1"/>
      <c r="B84" s="1"/>
      <c r="C84" s="1"/>
      <c r="D84" s="1"/>
      <c r="E84" s="1"/>
      <c r="F84" s="1"/>
      <c r="G84" s="1"/>
      <c r="H84" s="1"/>
      <c r="I84" s="1"/>
      <c r="J84" s="1"/>
      <c r="K84" s="1"/>
      <c r="L84" s="1"/>
      <c r="M84" s="1"/>
      <c r="N84" s="1"/>
      <c r="O84" s="1"/>
      <c r="P84" s="1"/>
      <c r="Q84" s="1"/>
      <c r="R84" s="1"/>
      <c r="S84" s="1"/>
      <c r="T84" s="14"/>
      <c r="U84" s="14"/>
      <c r="V84" s="14"/>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row>
    <row r="85" spans="1:226" ht="14.25" customHeight="1" x14ac:dyDescent="0.25">
      <c r="A85" s="1"/>
      <c r="B85" s="1"/>
      <c r="C85" s="1"/>
      <c r="D85" s="1"/>
      <c r="E85" s="1"/>
      <c r="F85" s="1"/>
      <c r="G85" s="1"/>
      <c r="H85" s="1"/>
      <c r="I85" s="1"/>
      <c r="J85" s="1"/>
      <c r="K85" s="1"/>
      <c r="L85" s="1"/>
      <c r="M85" s="1"/>
      <c r="N85" s="1"/>
      <c r="O85" s="1"/>
      <c r="P85" s="1"/>
      <c r="Q85" s="1"/>
      <c r="R85" s="1"/>
      <c r="S85" s="1"/>
      <c r="T85" s="14"/>
      <c r="U85" s="14"/>
      <c r="V85" s="14"/>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row>
    <row r="86" spans="1:226" ht="14.25" customHeight="1" x14ac:dyDescent="0.25">
      <c r="A86" s="1"/>
      <c r="B86" s="1"/>
      <c r="C86" s="1"/>
      <c r="D86" s="1"/>
      <c r="E86" s="1"/>
      <c r="F86" s="1"/>
      <c r="G86" s="1"/>
      <c r="H86" s="1"/>
      <c r="I86" s="1"/>
      <c r="J86" s="1"/>
      <c r="K86" s="1"/>
      <c r="L86" s="1"/>
      <c r="M86" s="1"/>
      <c r="N86" s="1"/>
      <c r="O86" s="1"/>
      <c r="P86" s="1"/>
      <c r="Q86" s="1"/>
      <c r="R86" s="1"/>
      <c r="S86" s="1"/>
      <c r="T86" s="14"/>
      <c r="U86" s="14"/>
      <c r="V86" s="14"/>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row>
    <row r="87" spans="1:226" ht="14.25" customHeight="1" x14ac:dyDescent="0.25">
      <c r="A87" s="1"/>
      <c r="B87" s="1"/>
      <c r="C87" s="1"/>
      <c r="D87" s="1"/>
      <c r="E87" s="1"/>
      <c r="F87" s="1"/>
      <c r="G87" s="1"/>
      <c r="H87" s="1"/>
      <c r="I87" s="1"/>
      <c r="J87" s="1"/>
      <c r="K87" s="1"/>
      <c r="L87" s="1"/>
      <c r="M87" s="1"/>
      <c r="N87" s="1"/>
      <c r="O87" s="1"/>
      <c r="P87" s="1"/>
      <c r="Q87" s="1"/>
      <c r="R87" s="1"/>
      <c r="S87" s="1"/>
      <c r="T87" s="14"/>
      <c r="U87" s="14"/>
      <c r="V87" s="14"/>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row>
    <row r="88" spans="1:226" ht="14.25" customHeight="1" x14ac:dyDescent="0.25">
      <c r="A88" s="1"/>
      <c r="B88" s="1"/>
      <c r="C88" s="1"/>
      <c r="D88" s="1"/>
      <c r="E88" s="1"/>
      <c r="F88" s="1"/>
      <c r="G88" s="1"/>
      <c r="H88" s="1"/>
      <c r="I88" s="1"/>
      <c r="J88" s="1"/>
      <c r="K88" s="1"/>
      <c r="L88" s="1"/>
      <c r="M88" s="1"/>
      <c r="N88" s="1"/>
      <c r="O88" s="1"/>
      <c r="P88" s="1"/>
      <c r="Q88" s="1"/>
      <c r="R88" s="1"/>
      <c r="S88" s="1"/>
      <c r="T88" s="14"/>
      <c r="U88" s="14"/>
      <c r="V88" s="14"/>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row>
    <row r="89" spans="1:226" ht="14.25" customHeight="1" x14ac:dyDescent="0.25">
      <c r="A89" s="1"/>
      <c r="B89" s="1"/>
      <c r="C89" s="1"/>
      <c r="D89" s="1"/>
      <c r="E89" s="1"/>
      <c r="F89" s="1"/>
      <c r="G89" s="1"/>
      <c r="H89" s="1"/>
      <c r="I89" s="1"/>
      <c r="J89" s="1"/>
      <c r="K89" s="1"/>
      <c r="L89" s="1"/>
      <c r="M89" s="1"/>
      <c r="N89" s="1"/>
      <c r="O89" s="1"/>
      <c r="P89" s="1"/>
      <c r="Q89" s="1"/>
      <c r="R89" s="1"/>
      <c r="S89" s="1"/>
      <c r="T89" s="14"/>
      <c r="U89" s="14"/>
      <c r="V89" s="14"/>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row>
    <row r="90" spans="1:226" ht="14.25" customHeight="1" x14ac:dyDescent="0.25">
      <c r="A90" s="1"/>
      <c r="B90" s="1"/>
      <c r="C90" s="1"/>
      <c r="D90" s="1"/>
      <c r="E90" s="1"/>
      <c r="F90" s="1"/>
      <c r="G90" s="1"/>
      <c r="H90" s="1"/>
      <c r="I90" s="1"/>
      <c r="J90" s="1"/>
      <c r="K90" s="1"/>
      <c r="L90" s="1"/>
      <c r="M90" s="1"/>
      <c r="N90" s="1"/>
      <c r="O90" s="1"/>
      <c r="P90" s="1"/>
      <c r="Q90" s="1"/>
      <c r="R90" s="1"/>
      <c r="S90" s="1"/>
      <c r="T90" s="14"/>
      <c r="U90" s="14"/>
      <c r="V90" s="14"/>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row>
    <row r="91" spans="1:226" ht="14.25" customHeight="1" x14ac:dyDescent="0.25">
      <c r="A91" s="1"/>
      <c r="B91" s="1"/>
      <c r="C91" s="1"/>
      <c r="D91" s="1"/>
      <c r="E91" s="1"/>
      <c r="F91" s="1"/>
      <c r="G91" s="1"/>
      <c r="H91" s="1"/>
      <c r="I91" s="1"/>
      <c r="J91" s="1"/>
      <c r="K91" s="1"/>
      <c r="L91" s="1"/>
      <c r="M91" s="1"/>
      <c r="N91" s="1"/>
      <c r="O91" s="1"/>
      <c r="P91" s="1"/>
      <c r="Q91" s="1"/>
      <c r="R91" s="1"/>
      <c r="S91" s="1"/>
      <c r="T91" s="14"/>
      <c r="U91" s="14"/>
      <c r="V91" s="14"/>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row>
    <row r="92" spans="1:226" ht="14.25" customHeight="1" x14ac:dyDescent="0.25">
      <c r="A92" s="1"/>
      <c r="B92" s="1"/>
      <c r="C92" s="1"/>
      <c r="D92" s="1"/>
      <c r="E92" s="1"/>
      <c r="F92" s="1"/>
      <c r="G92" s="1"/>
      <c r="H92" s="1"/>
      <c r="I92" s="1"/>
      <c r="J92" s="1"/>
      <c r="K92" s="1"/>
      <c r="L92" s="1"/>
      <c r="M92" s="1"/>
      <c r="N92" s="1"/>
      <c r="O92" s="1"/>
      <c r="P92" s="1"/>
      <c r="Q92" s="1"/>
      <c r="R92" s="1"/>
      <c r="S92" s="1"/>
      <c r="T92" s="14"/>
      <c r="U92" s="14"/>
      <c r="V92" s="14"/>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row>
    <row r="93" spans="1:226" ht="14.25" customHeight="1" x14ac:dyDescent="0.25">
      <c r="A93" s="1"/>
      <c r="B93" s="1"/>
      <c r="C93" s="1"/>
      <c r="D93" s="1"/>
      <c r="E93" s="1"/>
      <c r="F93" s="1"/>
      <c r="G93" s="1"/>
      <c r="H93" s="1"/>
      <c r="I93" s="1"/>
      <c r="J93" s="1"/>
      <c r="K93" s="1"/>
      <c r="L93" s="1"/>
      <c r="M93" s="1"/>
      <c r="N93" s="1"/>
      <c r="O93" s="1"/>
      <c r="P93" s="1"/>
      <c r="Q93" s="1"/>
      <c r="R93" s="1"/>
      <c r="S93" s="1"/>
      <c r="T93" s="14"/>
      <c r="U93" s="14"/>
      <c r="V93" s="14"/>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row>
    <row r="94" spans="1:226" ht="14.25" customHeight="1" x14ac:dyDescent="0.25">
      <c r="A94" s="1"/>
      <c r="B94" s="1"/>
      <c r="C94" s="1"/>
      <c r="D94" s="1"/>
      <c r="E94" s="1"/>
      <c r="F94" s="1"/>
      <c r="G94" s="1"/>
      <c r="H94" s="1"/>
      <c r="I94" s="1"/>
      <c r="J94" s="1"/>
      <c r="K94" s="1"/>
      <c r="L94" s="1"/>
      <c r="M94" s="1"/>
      <c r="N94" s="1"/>
      <c r="O94" s="1"/>
      <c r="P94" s="1"/>
      <c r="Q94" s="1"/>
      <c r="R94" s="1"/>
      <c r="S94" s="1"/>
      <c r="T94" s="14"/>
      <c r="U94" s="14"/>
      <c r="V94" s="14"/>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row>
    <row r="95" spans="1:226" ht="14.25" customHeight="1" x14ac:dyDescent="0.25">
      <c r="A95" s="1"/>
      <c r="B95" s="1"/>
      <c r="C95" s="1"/>
      <c r="D95" s="1"/>
      <c r="E95" s="1"/>
      <c r="F95" s="1"/>
      <c r="G95" s="1"/>
      <c r="H95" s="1"/>
      <c r="I95" s="1"/>
      <c r="J95" s="1"/>
      <c r="K95" s="1"/>
      <c r="L95" s="1"/>
      <c r="M95" s="1"/>
      <c r="N95" s="1"/>
      <c r="O95" s="1"/>
      <c r="P95" s="1"/>
      <c r="Q95" s="1"/>
      <c r="R95" s="1"/>
      <c r="S95" s="1"/>
      <c r="T95" s="14"/>
      <c r="U95" s="14"/>
      <c r="V95" s="14"/>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row>
    <row r="96" spans="1:226" ht="14.25" customHeight="1" x14ac:dyDescent="0.25">
      <c r="A96" s="1"/>
      <c r="B96" s="1"/>
      <c r="C96" s="1"/>
      <c r="D96" s="1"/>
      <c r="E96" s="1"/>
      <c r="F96" s="1"/>
      <c r="G96" s="1"/>
      <c r="H96" s="1"/>
      <c r="I96" s="1"/>
      <c r="J96" s="1"/>
      <c r="K96" s="1"/>
      <c r="L96" s="1"/>
      <c r="M96" s="1"/>
      <c r="N96" s="1"/>
      <c r="O96" s="1"/>
      <c r="P96" s="1"/>
      <c r="Q96" s="1"/>
      <c r="R96" s="1"/>
      <c r="S96" s="1"/>
      <c r="T96" s="14"/>
      <c r="U96" s="14"/>
      <c r="V96" s="14"/>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row>
    <row r="97" spans="1:226" ht="14.25" customHeight="1" x14ac:dyDescent="0.25">
      <c r="A97" s="1"/>
      <c r="B97" s="1"/>
      <c r="C97" s="1"/>
      <c r="D97" s="1"/>
      <c r="E97" s="1"/>
      <c r="F97" s="1"/>
      <c r="G97" s="1"/>
      <c r="H97" s="1"/>
      <c r="I97" s="1"/>
      <c r="J97" s="1"/>
      <c r="K97" s="1"/>
      <c r="L97" s="1"/>
      <c r="M97" s="1"/>
      <c r="N97" s="1"/>
      <c r="O97" s="1"/>
      <c r="P97" s="1"/>
      <c r="Q97" s="1"/>
      <c r="R97" s="1"/>
      <c r="S97" s="1"/>
      <c r="T97" s="14"/>
      <c r="U97" s="14"/>
      <c r="V97" s="14"/>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row>
    <row r="98" spans="1:226" ht="14.25" customHeight="1" x14ac:dyDescent="0.25">
      <c r="A98" s="1"/>
      <c r="B98" s="1"/>
      <c r="C98" s="1"/>
      <c r="D98" s="1"/>
      <c r="E98" s="1"/>
      <c r="F98" s="1"/>
      <c r="G98" s="1"/>
      <c r="H98" s="1"/>
      <c r="I98" s="1"/>
      <c r="J98" s="1"/>
      <c r="K98" s="1"/>
      <c r="L98" s="1"/>
      <c r="M98" s="1"/>
      <c r="N98" s="1"/>
      <c r="O98" s="1"/>
      <c r="P98" s="1"/>
      <c r="Q98" s="1"/>
      <c r="R98" s="1"/>
      <c r="S98" s="1"/>
      <c r="T98" s="14"/>
      <c r="U98" s="14"/>
      <c r="V98" s="14"/>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row>
    <row r="99" spans="1:226" ht="14.25" customHeight="1" x14ac:dyDescent="0.25">
      <c r="A99" s="1"/>
      <c r="B99" s="1"/>
      <c r="C99" s="1"/>
      <c r="D99" s="1"/>
      <c r="E99" s="1"/>
      <c r="F99" s="1"/>
      <c r="G99" s="1"/>
      <c r="H99" s="1"/>
      <c r="I99" s="1"/>
      <c r="J99" s="1"/>
      <c r="K99" s="1"/>
      <c r="L99" s="1"/>
      <c r="M99" s="1"/>
      <c r="N99" s="1"/>
      <c r="O99" s="1"/>
      <c r="P99" s="1"/>
      <c r="Q99" s="1"/>
      <c r="R99" s="1"/>
      <c r="S99" s="1"/>
      <c r="T99" s="14"/>
      <c r="U99" s="14"/>
      <c r="V99" s="14"/>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row>
    <row r="100" spans="1:226" ht="14.25" customHeight="1" x14ac:dyDescent="0.25">
      <c r="A100" s="1"/>
      <c r="B100" s="1"/>
      <c r="C100" s="1"/>
      <c r="D100" s="1"/>
      <c r="E100" s="1"/>
      <c r="F100" s="1"/>
      <c r="G100" s="1"/>
      <c r="H100" s="1"/>
      <c r="I100" s="1"/>
      <c r="J100" s="1"/>
      <c r="K100" s="1"/>
      <c r="L100" s="1"/>
      <c r="M100" s="1"/>
      <c r="N100" s="1"/>
      <c r="O100" s="1"/>
      <c r="P100" s="1"/>
      <c r="Q100" s="1"/>
      <c r="R100" s="1"/>
      <c r="S100" s="1"/>
      <c r="T100" s="14"/>
      <c r="U100" s="14"/>
      <c r="V100" s="14"/>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row>
    <row r="101" spans="1:226" ht="14.25" customHeight="1" x14ac:dyDescent="0.25">
      <c r="A101" s="1"/>
      <c r="B101" s="1"/>
      <c r="C101" s="1"/>
      <c r="D101" s="1"/>
      <c r="E101" s="1"/>
      <c r="F101" s="1"/>
      <c r="G101" s="1"/>
      <c r="H101" s="1"/>
      <c r="I101" s="1"/>
      <c r="J101" s="1"/>
      <c r="K101" s="1"/>
      <c r="L101" s="1"/>
      <c r="M101" s="1"/>
      <c r="N101" s="1"/>
      <c r="O101" s="1"/>
      <c r="P101" s="1"/>
      <c r="Q101" s="1"/>
      <c r="R101" s="1"/>
      <c r="S101" s="1"/>
      <c r="T101" s="14"/>
      <c r="U101" s="14"/>
      <c r="V101" s="14"/>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row>
    <row r="102" spans="1:226" ht="14.25" customHeight="1" x14ac:dyDescent="0.25">
      <c r="A102" s="1"/>
      <c r="B102" s="1"/>
      <c r="C102" s="1"/>
      <c r="D102" s="1"/>
      <c r="E102" s="1"/>
      <c r="F102" s="1"/>
      <c r="G102" s="1"/>
      <c r="H102" s="1"/>
      <c r="I102" s="1"/>
      <c r="J102" s="1"/>
      <c r="K102" s="1"/>
      <c r="L102" s="1"/>
      <c r="M102" s="1"/>
      <c r="N102" s="1"/>
      <c r="O102" s="1"/>
      <c r="P102" s="1"/>
      <c r="Q102" s="1"/>
      <c r="R102" s="1"/>
      <c r="S102" s="1"/>
      <c r="T102" s="14"/>
      <c r="U102" s="14"/>
      <c r="V102" s="14"/>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row>
    <row r="103" spans="1:226" ht="14.25" customHeight="1" x14ac:dyDescent="0.25">
      <c r="A103" s="1"/>
      <c r="B103" s="1"/>
      <c r="C103" s="1"/>
      <c r="D103" s="1"/>
      <c r="E103" s="1"/>
      <c r="F103" s="1"/>
      <c r="G103" s="1"/>
      <c r="H103" s="1"/>
      <c r="I103" s="1"/>
      <c r="J103" s="1"/>
      <c r="K103" s="1"/>
      <c r="L103" s="1"/>
      <c r="M103" s="1"/>
      <c r="N103" s="1"/>
      <c r="O103" s="1"/>
      <c r="P103" s="1"/>
      <c r="Q103" s="1"/>
      <c r="R103" s="1"/>
      <c r="S103" s="1"/>
      <c r="T103" s="14"/>
      <c r="U103" s="14"/>
      <c r="V103" s="14"/>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row>
    <row r="104" spans="1:226" ht="14.25" customHeight="1" x14ac:dyDescent="0.25">
      <c r="A104" s="1"/>
      <c r="B104" s="1"/>
      <c r="C104" s="1"/>
      <c r="D104" s="1"/>
      <c r="E104" s="1"/>
      <c r="F104" s="1"/>
      <c r="G104" s="1"/>
      <c r="H104" s="1"/>
      <c r="I104" s="1"/>
      <c r="J104" s="1"/>
      <c r="K104" s="1"/>
      <c r="L104" s="1"/>
      <c r="M104" s="1"/>
      <c r="N104" s="1"/>
      <c r="O104" s="1"/>
      <c r="P104" s="1"/>
      <c r="Q104" s="1"/>
      <c r="R104" s="1"/>
      <c r="S104" s="1"/>
      <c r="T104" s="14"/>
      <c r="U104" s="14"/>
      <c r="V104" s="14"/>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row>
    <row r="105" spans="1:226" ht="14.25" customHeight="1" x14ac:dyDescent="0.25">
      <c r="A105" s="1"/>
      <c r="B105" s="1"/>
      <c r="C105" s="1"/>
      <c r="D105" s="1"/>
      <c r="E105" s="1"/>
      <c r="F105" s="1"/>
      <c r="G105" s="1"/>
      <c r="H105" s="1"/>
      <c r="I105" s="1"/>
      <c r="J105" s="1"/>
      <c r="K105" s="1"/>
      <c r="L105" s="1"/>
      <c r="M105" s="1"/>
      <c r="N105" s="1"/>
      <c r="O105" s="1"/>
      <c r="P105" s="1"/>
      <c r="Q105" s="1"/>
      <c r="R105" s="1"/>
      <c r="S105" s="1"/>
      <c r="T105" s="14"/>
      <c r="U105" s="14"/>
      <c r="V105" s="14"/>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row>
    <row r="106" spans="1:226" ht="14.25" customHeight="1" x14ac:dyDescent="0.25">
      <c r="A106" s="1"/>
      <c r="B106" s="1"/>
      <c r="C106" s="1"/>
      <c r="D106" s="1"/>
      <c r="E106" s="1"/>
      <c r="F106" s="1"/>
      <c r="G106" s="1"/>
      <c r="H106" s="1"/>
      <c r="I106" s="1"/>
      <c r="J106" s="1"/>
      <c r="K106" s="1"/>
      <c r="L106" s="1"/>
      <c r="M106" s="1"/>
      <c r="N106" s="1"/>
      <c r="O106" s="1"/>
      <c r="P106" s="1"/>
      <c r="Q106" s="1"/>
      <c r="R106" s="1"/>
      <c r="S106" s="1"/>
      <c r="T106" s="14"/>
      <c r="U106" s="14"/>
      <c r="V106" s="14"/>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row>
    <row r="107" spans="1:226" ht="14.25" customHeight="1" x14ac:dyDescent="0.25">
      <c r="A107" s="1"/>
      <c r="B107" s="1"/>
      <c r="C107" s="1"/>
      <c r="D107" s="1"/>
      <c r="E107" s="1"/>
      <c r="F107" s="1"/>
      <c r="G107" s="1"/>
      <c r="H107" s="1"/>
      <c r="I107" s="1"/>
      <c r="J107" s="1"/>
      <c r="K107" s="1"/>
      <c r="L107" s="1"/>
      <c r="M107" s="1"/>
      <c r="N107" s="1"/>
      <c r="O107" s="1"/>
      <c r="P107" s="1"/>
      <c r="Q107" s="1"/>
      <c r="R107" s="1"/>
      <c r="S107" s="1"/>
      <c r="T107" s="14"/>
      <c r="U107" s="14"/>
      <c r="V107" s="14"/>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row>
    <row r="108" spans="1:226" ht="14.25" customHeight="1" x14ac:dyDescent="0.25">
      <c r="A108" s="1"/>
      <c r="B108" s="1"/>
      <c r="C108" s="1"/>
      <c r="D108" s="1"/>
      <c r="E108" s="1"/>
      <c r="F108" s="1"/>
      <c r="G108" s="1"/>
      <c r="H108" s="1"/>
      <c r="I108" s="1"/>
      <c r="J108" s="1"/>
      <c r="K108" s="1"/>
      <c r="L108" s="1"/>
      <c r="M108" s="1"/>
      <c r="N108" s="1"/>
      <c r="O108" s="1"/>
      <c r="P108" s="1"/>
      <c r="Q108" s="1"/>
      <c r="R108" s="1"/>
      <c r="S108" s="1"/>
      <c r="T108" s="14"/>
      <c r="U108" s="14"/>
      <c r="V108" s="14"/>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row>
    <row r="109" spans="1:226" ht="14.25" customHeight="1" x14ac:dyDescent="0.25">
      <c r="A109" s="1"/>
      <c r="B109" s="1"/>
      <c r="C109" s="1"/>
      <c r="D109" s="1"/>
      <c r="E109" s="1"/>
      <c r="F109" s="1"/>
      <c r="G109" s="1"/>
      <c r="H109" s="1"/>
      <c r="I109" s="1"/>
      <c r="J109" s="1"/>
      <c r="K109" s="1"/>
      <c r="L109" s="1"/>
      <c r="M109" s="1"/>
      <c r="N109" s="1"/>
      <c r="O109" s="1"/>
      <c r="P109" s="1"/>
      <c r="Q109" s="1"/>
      <c r="R109" s="1"/>
      <c r="S109" s="1"/>
      <c r="T109" s="14"/>
      <c r="U109" s="14"/>
      <c r="V109" s="14"/>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row>
    <row r="110" spans="1:226" ht="14.25" customHeight="1" x14ac:dyDescent="0.25">
      <c r="A110" s="1"/>
      <c r="B110" s="1"/>
      <c r="C110" s="1"/>
      <c r="D110" s="1"/>
      <c r="E110" s="1"/>
      <c r="F110" s="1"/>
      <c r="G110" s="1"/>
      <c r="H110" s="1"/>
      <c r="I110" s="1"/>
      <c r="J110" s="1"/>
      <c r="K110" s="1"/>
      <c r="L110" s="1"/>
      <c r="M110" s="1"/>
      <c r="N110" s="1"/>
      <c r="O110" s="1"/>
      <c r="P110" s="1"/>
      <c r="Q110" s="1"/>
      <c r="R110" s="1"/>
      <c r="S110" s="1"/>
      <c r="T110" s="14"/>
      <c r="U110" s="14"/>
      <c r="V110" s="14"/>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row>
    <row r="111" spans="1:226" ht="14.25" customHeight="1" x14ac:dyDescent="0.25">
      <c r="A111" s="1"/>
      <c r="B111" s="1"/>
      <c r="C111" s="1"/>
      <c r="D111" s="1"/>
      <c r="E111" s="1"/>
      <c r="F111" s="1"/>
      <c r="G111" s="1"/>
      <c r="H111" s="1"/>
      <c r="I111" s="1"/>
      <c r="J111" s="1"/>
      <c r="K111" s="1"/>
      <c r="L111" s="1"/>
      <c r="M111" s="1"/>
      <c r="N111" s="1"/>
      <c r="O111" s="1"/>
      <c r="P111" s="1"/>
      <c r="Q111" s="1"/>
      <c r="R111" s="1"/>
      <c r="S111" s="1"/>
      <c r="T111" s="14"/>
      <c r="U111" s="14"/>
      <c r="V111" s="14"/>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row>
    <row r="112" spans="1:226" ht="14.25" customHeight="1" x14ac:dyDescent="0.25">
      <c r="A112" s="1"/>
      <c r="B112" s="1"/>
      <c r="C112" s="1"/>
      <c r="D112" s="1"/>
      <c r="E112" s="1"/>
      <c r="F112" s="1"/>
      <c r="G112" s="1"/>
      <c r="H112" s="1"/>
      <c r="I112" s="1"/>
      <c r="J112" s="1"/>
      <c r="K112" s="1"/>
      <c r="L112" s="1"/>
      <c r="M112" s="1"/>
      <c r="N112" s="1"/>
      <c r="O112" s="1"/>
      <c r="P112" s="1"/>
      <c r="Q112" s="1"/>
      <c r="R112" s="1"/>
      <c r="S112" s="1"/>
      <c r="T112" s="14"/>
      <c r="U112" s="14"/>
      <c r="V112" s="14"/>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row>
    <row r="113" spans="1:226" ht="14.25" customHeight="1" x14ac:dyDescent="0.25">
      <c r="A113" s="1"/>
      <c r="B113" s="1"/>
      <c r="C113" s="1"/>
      <c r="D113" s="1"/>
      <c r="E113" s="1"/>
      <c r="F113" s="1"/>
      <c r="G113" s="1"/>
      <c r="H113" s="1"/>
      <c r="I113" s="1"/>
      <c r="J113" s="1"/>
      <c r="K113" s="1"/>
      <c r="L113" s="1"/>
      <c r="M113" s="1"/>
      <c r="N113" s="1"/>
      <c r="O113" s="1"/>
      <c r="P113" s="1"/>
      <c r="Q113" s="1"/>
      <c r="R113" s="1"/>
      <c r="S113" s="1"/>
      <c r="T113" s="14"/>
      <c r="U113" s="14"/>
      <c r="V113" s="14"/>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row>
    <row r="114" spans="1:226" ht="14.25" customHeight="1" x14ac:dyDescent="0.25">
      <c r="A114" s="1"/>
      <c r="B114" s="1"/>
      <c r="C114" s="1"/>
      <c r="D114" s="1"/>
      <c r="E114" s="1"/>
      <c r="F114" s="1"/>
      <c r="G114" s="1"/>
      <c r="H114" s="1"/>
      <c r="I114" s="1"/>
      <c r="J114" s="1"/>
      <c r="K114" s="1"/>
      <c r="L114" s="1"/>
      <c r="M114" s="1"/>
      <c r="N114" s="1"/>
      <c r="O114" s="1"/>
      <c r="P114" s="1"/>
      <c r="Q114" s="1"/>
      <c r="R114" s="1"/>
      <c r="S114" s="1"/>
      <c r="T114" s="14"/>
      <c r="U114" s="14"/>
      <c r="V114" s="14"/>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row>
    <row r="115" spans="1:226" ht="14.25" customHeight="1" x14ac:dyDescent="0.25">
      <c r="A115" s="1"/>
      <c r="B115" s="1"/>
      <c r="C115" s="1"/>
      <c r="D115" s="1"/>
      <c r="E115" s="1"/>
      <c r="F115" s="1"/>
      <c r="G115" s="1"/>
      <c r="H115" s="1"/>
      <c r="I115" s="1"/>
      <c r="J115" s="1"/>
      <c r="K115" s="1"/>
      <c r="L115" s="1"/>
      <c r="M115" s="1"/>
      <c r="N115" s="1"/>
      <c r="O115" s="1"/>
      <c r="P115" s="1"/>
      <c r="Q115" s="1"/>
      <c r="R115" s="1"/>
      <c r="S115" s="1"/>
      <c r="T115" s="14"/>
      <c r="U115" s="14"/>
      <c r="V115" s="14"/>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row>
    <row r="116" spans="1:226" ht="14.25" customHeight="1" x14ac:dyDescent="0.25">
      <c r="A116" s="1"/>
      <c r="B116" s="1"/>
      <c r="C116" s="1"/>
      <c r="D116" s="1"/>
      <c r="E116" s="1"/>
      <c r="F116" s="1"/>
      <c r="G116" s="1"/>
      <c r="H116" s="1"/>
      <c r="I116" s="1"/>
      <c r="J116" s="1"/>
      <c r="K116" s="1"/>
      <c r="L116" s="1"/>
      <c r="M116" s="1"/>
      <c r="N116" s="1"/>
      <c r="O116" s="1"/>
      <c r="P116" s="1"/>
      <c r="Q116" s="1"/>
      <c r="R116" s="1"/>
      <c r="S116" s="1"/>
      <c r="T116" s="14"/>
      <c r="U116" s="14"/>
      <c r="V116" s="14"/>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row>
    <row r="117" spans="1:226" ht="14.25" customHeight="1" x14ac:dyDescent="0.25">
      <c r="A117" s="1"/>
      <c r="B117" s="1"/>
      <c r="C117" s="1"/>
      <c r="D117" s="1"/>
      <c r="E117" s="1"/>
      <c r="F117" s="1"/>
      <c r="G117" s="1"/>
      <c r="H117" s="1"/>
      <c r="I117" s="1"/>
      <c r="J117" s="1"/>
      <c r="K117" s="1"/>
      <c r="L117" s="1"/>
      <c r="M117" s="1"/>
      <c r="N117" s="1"/>
      <c r="O117" s="1"/>
      <c r="P117" s="1"/>
      <c r="Q117" s="1"/>
      <c r="R117" s="1"/>
      <c r="S117" s="1"/>
      <c r="T117" s="14"/>
      <c r="U117" s="14"/>
      <c r="V117" s="14"/>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row>
    <row r="118" spans="1:226" ht="14.25" customHeight="1" x14ac:dyDescent="0.25">
      <c r="A118" s="1"/>
      <c r="B118" s="1"/>
      <c r="C118" s="1"/>
      <c r="D118" s="1"/>
      <c r="E118" s="1"/>
      <c r="F118" s="1"/>
      <c r="G118" s="1"/>
      <c r="H118" s="1"/>
      <c r="I118" s="1"/>
      <c r="J118" s="1"/>
      <c r="K118" s="1"/>
      <c r="L118" s="1"/>
      <c r="M118" s="1"/>
      <c r="N118" s="1"/>
      <c r="O118" s="1"/>
      <c r="P118" s="1"/>
      <c r="Q118" s="1"/>
      <c r="R118" s="1"/>
      <c r="S118" s="1"/>
      <c r="T118" s="14"/>
      <c r="U118" s="14"/>
      <c r="V118" s="14"/>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row>
    <row r="119" spans="1:226" ht="14.25" customHeight="1" x14ac:dyDescent="0.25">
      <c r="A119" s="1"/>
      <c r="B119" s="1"/>
      <c r="C119" s="1"/>
      <c r="D119" s="1"/>
      <c r="E119" s="1"/>
      <c r="F119" s="1"/>
      <c r="G119" s="1"/>
      <c r="H119" s="1"/>
      <c r="I119" s="1"/>
      <c r="J119" s="1"/>
      <c r="K119" s="1"/>
      <c r="L119" s="1"/>
      <c r="M119" s="1"/>
      <c r="N119" s="1"/>
      <c r="O119" s="1"/>
      <c r="P119" s="1"/>
      <c r="Q119" s="1"/>
      <c r="R119" s="1"/>
      <c r="S119" s="1"/>
      <c r="T119" s="14"/>
      <c r="U119" s="14"/>
      <c r="V119" s="14"/>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row>
    <row r="120" spans="1:226" ht="14.25" customHeight="1" x14ac:dyDescent="0.25">
      <c r="A120" s="1"/>
      <c r="B120" s="1"/>
      <c r="C120" s="1"/>
      <c r="D120" s="1"/>
      <c r="E120" s="1"/>
      <c r="F120" s="1"/>
      <c r="G120" s="1"/>
      <c r="H120" s="1"/>
      <c r="I120" s="1"/>
      <c r="J120" s="1"/>
      <c r="K120" s="1"/>
      <c r="L120" s="1"/>
      <c r="M120" s="1"/>
      <c r="N120" s="1"/>
      <c r="O120" s="1"/>
      <c r="P120" s="1"/>
      <c r="Q120" s="1"/>
      <c r="R120" s="1"/>
      <c r="S120" s="1"/>
      <c r="T120" s="14"/>
      <c r="U120" s="14"/>
      <c r="V120" s="14"/>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row>
    <row r="121" spans="1:226" ht="14.25" customHeight="1" x14ac:dyDescent="0.25">
      <c r="A121" s="1"/>
      <c r="B121" s="1"/>
      <c r="C121" s="1"/>
      <c r="D121" s="1"/>
      <c r="E121" s="1"/>
      <c r="F121" s="1"/>
      <c r="G121" s="1"/>
      <c r="H121" s="1"/>
      <c r="I121" s="1"/>
      <c r="J121" s="1"/>
      <c r="K121" s="1"/>
      <c r="L121" s="1"/>
      <c r="M121" s="1"/>
      <c r="N121" s="1"/>
      <c r="O121" s="1"/>
      <c r="P121" s="1"/>
      <c r="Q121" s="1"/>
      <c r="R121" s="1"/>
      <c r="S121" s="1"/>
      <c r="T121" s="14"/>
      <c r="U121" s="14"/>
      <c r="V121" s="14"/>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row>
    <row r="122" spans="1:226" ht="14.25" customHeight="1" x14ac:dyDescent="0.25">
      <c r="A122" s="1"/>
      <c r="B122" s="1"/>
      <c r="C122" s="1"/>
      <c r="D122" s="1"/>
      <c r="E122" s="1"/>
      <c r="F122" s="1"/>
      <c r="G122" s="1"/>
      <c r="H122" s="1"/>
      <c r="I122" s="1"/>
      <c r="J122" s="1"/>
      <c r="K122" s="1"/>
      <c r="L122" s="1"/>
      <c r="M122" s="1"/>
      <c r="N122" s="1"/>
      <c r="O122" s="1"/>
      <c r="P122" s="1"/>
      <c r="Q122" s="1"/>
      <c r="R122" s="1"/>
      <c r="S122" s="1"/>
      <c r="T122" s="14"/>
      <c r="U122" s="14"/>
      <c r="V122" s="14"/>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row>
    <row r="123" spans="1:226" ht="14.25" customHeight="1" x14ac:dyDescent="0.25">
      <c r="A123" s="1"/>
      <c r="B123" s="1"/>
      <c r="C123" s="1"/>
      <c r="D123" s="1"/>
      <c r="E123" s="1"/>
      <c r="F123" s="1"/>
      <c r="G123" s="1"/>
      <c r="H123" s="1"/>
      <c r="I123" s="1"/>
      <c r="J123" s="1"/>
      <c r="K123" s="1"/>
      <c r="L123" s="1"/>
      <c r="M123" s="1"/>
      <c r="N123" s="1"/>
      <c r="O123" s="1"/>
      <c r="P123" s="1"/>
      <c r="Q123" s="1"/>
      <c r="R123" s="1"/>
      <c r="S123" s="1"/>
      <c r="T123" s="14"/>
      <c r="U123" s="14"/>
      <c r="V123" s="14"/>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row>
    <row r="124" spans="1:226" ht="14.25" customHeight="1" x14ac:dyDescent="0.25">
      <c r="A124" s="1"/>
      <c r="B124" s="1"/>
      <c r="C124" s="1"/>
      <c r="D124" s="1"/>
      <c r="E124" s="1"/>
      <c r="F124" s="1"/>
      <c r="G124" s="1"/>
      <c r="H124" s="1"/>
      <c r="I124" s="1"/>
      <c r="J124" s="1"/>
      <c r="K124" s="1"/>
      <c r="L124" s="1"/>
      <c r="M124" s="1"/>
      <c r="N124" s="1"/>
      <c r="O124" s="1"/>
      <c r="P124" s="1"/>
      <c r="Q124" s="1"/>
      <c r="R124" s="1"/>
      <c r="S124" s="1"/>
      <c r="T124" s="14"/>
      <c r="U124" s="14"/>
      <c r="V124" s="14"/>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row>
    <row r="125" spans="1:226" ht="14.25" customHeight="1" x14ac:dyDescent="0.25">
      <c r="A125" s="1"/>
      <c r="B125" s="1"/>
      <c r="C125" s="1"/>
      <c r="D125" s="1"/>
      <c r="E125" s="1"/>
      <c r="F125" s="1"/>
      <c r="G125" s="1"/>
      <c r="H125" s="1"/>
      <c r="I125" s="1"/>
      <c r="J125" s="1"/>
      <c r="K125" s="1"/>
      <c r="L125" s="1"/>
      <c r="M125" s="1"/>
      <c r="N125" s="1"/>
      <c r="O125" s="1"/>
      <c r="P125" s="1"/>
      <c r="Q125" s="1"/>
      <c r="R125" s="1"/>
      <c r="S125" s="1"/>
      <c r="T125" s="14"/>
      <c r="U125" s="14"/>
      <c r="V125" s="14"/>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row>
    <row r="126" spans="1:226" ht="14.25" customHeight="1" x14ac:dyDescent="0.25">
      <c r="A126" s="1"/>
      <c r="B126" s="1"/>
      <c r="C126" s="1"/>
      <c r="D126" s="1"/>
      <c r="E126" s="1"/>
      <c r="F126" s="1"/>
      <c r="G126" s="1"/>
      <c r="H126" s="1"/>
      <c r="I126" s="1"/>
      <c r="J126" s="1"/>
      <c r="K126" s="1"/>
      <c r="L126" s="1"/>
      <c r="M126" s="1"/>
      <c r="N126" s="1"/>
      <c r="O126" s="1"/>
      <c r="P126" s="1"/>
      <c r="Q126" s="1"/>
      <c r="R126" s="1"/>
      <c r="S126" s="1"/>
      <c r="T126" s="14"/>
      <c r="U126" s="14"/>
      <c r="V126" s="14"/>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row>
    <row r="127" spans="1:226" ht="14.25" customHeight="1" x14ac:dyDescent="0.25">
      <c r="A127" s="1"/>
      <c r="B127" s="1"/>
      <c r="C127" s="1"/>
      <c r="D127" s="1"/>
      <c r="E127" s="1"/>
      <c r="F127" s="1"/>
      <c r="G127" s="1"/>
      <c r="H127" s="1"/>
      <c r="I127" s="1"/>
      <c r="J127" s="1"/>
      <c r="K127" s="1"/>
      <c r="L127" s="1"/>
      <c r="M127" s="1"/>
      <c r="N127" s="1"/>
      <c r="O127" s="1"/>
      <c r="P127" s="1"/>
      <c r="Q127" s="1"/>
      <c r="R127" s="1"/>
      <c r="S127" s="1"/>
      <c r="T127" s="14"/>
      <c r="U127" s="14"/>
      <c r="V127" s="14"/>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row>
    <row r="128" spans="1:226" ht="14.25" customHeight="1" x14ac:dyDescent="0.25">
      <c r="A128" s="1"/>
      <c r="B128" s="1"/>
      <c r="C128" s="1"/>
      <c r="D128" s="1"/>
      <c r="E128" s="1"/>
      <c r="F128" s="1"/>
      <c r="G128" s="1"/>
      <c r="H128" s="1"/>
      <c r="I128" s="1"/>
      <c r="J128" s="1"/>
      <c r="K128" s="1"/>
      <c r="L128" s="1"/>
      <c r="M128" s="1"/>
      <c r="N128" s="1"/>
      <c r="O128" s="1"/>
      <c r="P128" s="1"/>
      <c r="Q128" s="1"/>
      <c r="R128" s="1"/>
      <c r="S128" s="1"/>
      <c r="T128" s="14"/>
      <c r="U128" s="14"/>
      <c r="V128" s="14"/>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row>
    <row r="129" spans="1:226" ht="14.25" customHeight="1" x14ac:dyDescent="0.25">
      <c r="A129" s="1"/>
      <c r="B129" s="1"/>
      <c r="C129" s="1"/>
      <c r="D129" s="1"/>
      <c r="E129" s="1"/>
      <c r="F129" s="1"/>
      <c r="G129" s="1"/>
      <c r="H129" s="1"/>
      <c r="I129" s="1"/>
      <c r="J129" s="1"/>
      <c r="K129" s="1"/>
      <c r="L129" s="1"/>
      <c r="M129" s="1"/>
      <c r="N129" s="1"/>
      <c r="O129" s="1"/>
      <c r="P129" s="1"/>
      <c r="Q129" s="1"/>
      <c r="R129" s="1"/>
      <c r="S129" s="1"/>
      <c r="T129" s="14"/>
      <c r="U129" s="14"/>
      <c r="V129" s="14"/>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row>
    <row r="130" spans="1:226" ht="14.25" customHeight="1" x14ac:dyDescent="0.25">
      <c r="A130" s="1"/>
      <c r="B130" s="1"/>
      <c r="C130" s="1"/>
      <c r="D130" s="1"/>
      <c r="E130" s="1"/>
      <c r="F130" s="1"/>
      <c r="G130" s="1"/>
      <c r="H130" s="1"/>
      <c r="I130" s="1"/>
      <c r="J130" s="1"/>
      <c r="K130" s="1"/>
      <c r="L130" s="1"/>
      <c r="M130" s="1"/>
      <c r="N130" s="1"/>
      <c r="O130" s="1"/>
      <c r="P130" s="1"/>
      <c r="Q130" s="1"/>
      <c r="R130" s="1"/>
      <c r="S130" s="1"/>
      <c r="T130" s="14"/>
      <c r="U130" s="14"/>
      <c r="V130" s="14"/>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row>
    <row r="131" spans="1:226" ht="14.25" customHeight="1" x14ac:dyDescent="0.25">
      <c r="A131" s="1"/>
      <c r="B131" s="1"/>
      <c r="C131" s="1"/>
      <c r="D131" s="1"/>
      <c r="E131" s="1"/>
      <c r="F131" s="1"/>
      <c r="G131" s="1"/>
      <c r="H131" s="1"/>
      <c r="I131" s="1"/>
      <c r="J131" s="1"/>
      <c r="K131" s="1"/>
      <c r="L131" s="1"/>
      <c r="M131" s="1"/>
      <c r="N131" s="1"/>
      <c r="O131" s="1"/>
      <c r="P131" s="1"/>
      <c r="Q131" s="1"/>
      <c r="R131" s="1"/>
      <c r="S131" s="1"/>
      <c r="T131" s="14"/>
      <c r="U131" s="14"/>
      <c r="V131" s="14"/>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row>
    <row r="132" spans="1:226" ht="14.25" customHeight="1" x14ac:dyDescent="0.25">
      <c r="A132" s="1"/>
      <c r="B132" s="1"/>
      <c r="C132" s="1"/>
      <c r="D132" s="1"/>
      <c r="E132" s="1"/>
      <c r="F132" s="1"/>
      <c r="G132" s="1"/>
      <c r="H132" s="1"/>
      <c r="I132" s="1"/>
      <c r="J132" s="1"/>
      <c r="K132" s="1"/>
      <c r="L132" s="1"/>
      <c r="M132" s="1"/>
      <c r="N132" s="1"/>
      <c r="O132" s="1"/>
      <c r="P132" s="1"/>
      <c r="Q132" s="1"/>
      <c r="R132" s="1"/>
      <c r="S132" s="1"/>
      <c r="T132" s="14"/>
      <c r="U132" s="14"/>
      <c r="V132" s="14"/>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row>
    <row r="133" spans="1:226" ht="14.25" customHeight="1" x14ac:dyDescent="0.25">
      <c r="A133" s="1"/>
      <c r="B133" s="1"/>
      <c r="C133" s="1"/>
      <c r="D133" s="1"/>
      <c r="E133" s="1"/>
      <c r="F133" s="1"/>
      <c r="G133" s="1"/>
      <c r="H133" s="1"/>
      <c r="I133" s="1"/>
      <c r="J133" s="1"/>
      <c r="K133" s="1"/>
      <c r="L133" s="1"/>
      <c r="M133" s="1"/>
      <c r="N133" s="1"/>
      <c r="O133" s="1"/>
      <c r="P133" s="1"/>
      <c r="Q133" s="1"/>
      <c r="R133" s="1"/>
      <c r="S133" s="1"/>
      <c r="T133" s="14"/>
      <c r="U133" s="14"/>
      <c r="V133" s="14"/>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row>
    <row r="134" spans="1:226" ht="14.25" customHeight="1" x14ac:dyDescent="0.25">
      <c r="A134" s="1"/>
      <c r="B134" s="1"/>
      <c r="C134" s="1"/>
      <c r="D134" s="1"/>
      <c r="E134" s="1"/>
      <c r="F134" s="1"/>
      <c r="G134" s="1"/>
      <c r="H134" s="1"/>
      <c r="I134" s="1"/>
      <c r="J134" s="1"/>
      <c r="K134" s="1"/>
      <c r="L134" s="1"/>
      <c r="M134" s="1"/>
      <c r="N134" s="1"/>
      <c r="O134" s="1"/>
      <c r="P134" s="1"/>
      <c r="Q134" s="1"/>
      <c r="R134" s="1"/>
      <c r="S134" s="1"/>
      <c r="T134" s="14"/>
      <c r="U134" s="14"/>
      <c r="V134" s="14"/>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row>
    <row r="135" spans="1:226" ht="14.25" customHeight="1" x14ac:dyDescent="0.25">
      <c r="A135" s="1"/>
      <c r="B135" s="1"/>
      <c r="C135" s="1"/>
      <c r="D135" s="1"/>
      <c r="E135" s="1"/>
      <c r="F135" s="1"/>
      <c r="G135" s="1"/>
      <c r="H135" s="1"/>
      <c r="I135" s="1"/>
      <c r="J135" s="1"/>
      <c r="K135" s="1"/>
      <c r="L135" s="1"/>
      <c r="M135" s="1"/>
      <c r="N135" s="1"/>
      <c r="O135" s="1"/>
      <c r="P135" s="1"/>
      <c r="Q135" s="1"/>
      <c r="R135" s="1"/>
      <c r="S135" s="1"/>
      <c r="T135" s="14"/>
      <c r="U135" s="14"/>
      <c r="V135" s="14"/>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row>
    <row r="136" spans="1:226" ht="14.25" customHeight="1" x14ac:dyDescent="0.25">
      <c r="A136" s="1"/>
      <c r="B136" s="1"/>
      <c r="C136" s="1"/>
      <c r="D136" s="1"/>
      <c r="E136" s="1"/>
      <c r="F136" s="1"/>
      <c r="G136" s="1"/>
      <c r="H136" s="1"/>
      <c r="I136" s="1"/>
      <c r="J136" s="1"/>
      <c r="K136" s="1"/>
      <c r="L136" s="1"/>
      <c r="M136" s="1"/>
      <c r="N136" s="1"/>
      <c r="O136" s="1"/>
      <c r="P136" s="1"/>
      <c r="Q136" s="1"/>
      <c r="R136" s="1"/>
      <c r="S136" s="1"/>
      <c r="T136" s="14"/>
      <c r="U136" s="14"/>
      <c r="V136" s="14"/>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row>
    <row r="137" spans="1:226" ht="14.25" customHeight="1" x14ac:dyDescent="0.25">
      <c r="A137" s="1"/>
      <c r="B137" s="1"/>
      <c r="C137" s="1"/>
      <c r="D137" s="1"/>
      <c r="E137" s="1"/>
      <c r="F137" s="1"/>
      <c r="G137" s="1"/>
      <c r="H137" s="1"/>
      <c r="I137" s="1"/>
      <c r="J137" s="1"/>
      <c r="K137" s="1"/>
      <c r="L137" s="1"/>
      <c r="M137" s="1"/>
      <c r="N137" s="1"/>
      <c r="O137" s="1"/>
      <c r="P137" s="1"/>
      <c r="Q137" s="1"/>
      <c r="R137" s="1"/>
      <c r="S137" s="1"/>
      <c r="T137" s="14"/>
      <c r="U137" s="14"/>
      <c r="V137" s="14"/>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row>
    <row r="138" spans="1:226" ht="14.25" customHeight="1" x14ac:dyDescent="0.25">
      <c r="A138" s="1"/>
      <c r="B138" s="1"/>
      <c r="C138" s="1"/>
      <c r="D138" s="1"/>
      <c r="E138" s="1"/>
      <c r="F138" s="1"/>
      <c r="G138" s="1"/>
      <c r="H138" s="1"/>
      <c r="I138" s="1"/>
      <c r="J138" s="1"/>
      <c r="K138" s="1"/>
      <c r="L138" s="1"/>
      <c r="M138" s="1"/>
      <c r="N138" s="1"/>
      <c r="O138" s="1"/>
      <c r="P138" s="1"/>
      <c r="Q138" s="1"/>
      <c r="R138" s="1"/>
      <c r="S138" s="1"/>
      <c r="T138" s="14"/>
      <c r="U138" s="14"/>
      <c r="V138" s="14"/>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row>
    <row r="139" spans="1:226" ht="14.25" customHeight="1" x14ac:dyDescent="0.25">
      <c r="A139" s="1"/>
      <c r="B139" s="1"/>
      <c r="C139" s="1"/>
      <c r="D139" s="1"/>
      <c r="E139" s="1"/>
      <c r="F139" s="1"/>
      <c r="G139" s="1"/>
      <c r="H139" s="1"/>
      <c r="I139" s="1"/>
      <c r="J139" s="1"/>
      <c r="K139" s="1"/>
      <c r="L139" s="1"/>
      <c r="M139" s="1"/>
      <c r="N139" s="1"/>
      <c r="O139" s="1"/>
      <c r="P139" s="1"/>
      <c r="Q139" s="1"/>
      <c r="R139" s="1"/>
      <c r="S139" s="1"/>
      <c r="T139" s="14"/>
      <c r="U139" s="14"/>
      <c r="V139" s="14"/>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row>
    <row r="140" spans="1:226" ht="14.25" customHeight="1" x14ac:dyDescent="0.25">
      <c r="A140" s="1"/>
      <c r="B140" s="1"/>
      <c r="C140" s="1"/>
      <c r="D140" s="1"/>
      <c r="E140" s="1"/>
      <c r="F140" s="1"/>
      <c r="G140" s="1"/>
      <c r="H140" s="1"/>
      <c r="I140" s="1"/>
      <c r="J140" s="1"/>
      <c r="K140" s="1"/>
      <c r="L140" s="1"/>
      <c r="M140" s="1"/>
      <c r="N140" s="1"/>
      <c r="O140" s="1"/>
      <c r="P140" s="1"/>
      <c r="Q140" s="1"/>
      <c r="R140" s="1"/>
      <c r="S140" s="1"/>
      <c r="T140" s="14"/>
      <c r="U140" s="14"/>
      <c r="V140" s="14"/>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row>
    <row r="141" spans="1:226" ht="14.25" customHeight="1" x14ac:dyDescent="0.25">
      <c r="A141" s="1"/>
      <c r="B141" s="1"/>
      <c r="C141" s="1"/>
      <c r="D141" s="1"/>
      <c r="E141" s="1"/>
      <c r="F141" s="1"/>
      <c r="G141" s="1"/>
      <c r="H141" s="1"/>
      <c r="I141" s="1"/>
      <c r="J141" s="1"/>
      <c r="K141" s="1"/>
      <c r="L141" s="1"/>
      <c r="M141" s="1"/>
      <c r="N141" s="1"/>
      <c r="O141" s="1"/>
      <c r="P141" s="1"/>
      <c r="Q141" s="1"/>
      <c r="R141" s="1"/>
      <c r="S141" s="1"/>
      <c r="T141" s="14"/>
      <c r="U141" s="14"/>
      <c r="V141" s="14"/>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row>
    <row r="142" spans="1:226" ht="14.25" customHeight="1" x14ac:dyDescent="0.25">
      <c r="A142" s="1"/>
      <c r="B142" s="1"/>
      <c r="C142" s="1"/>
      <c r="D142" s="1"/>
      <c r="E142" s="1"/>
      <c r="F142" s="1"/>
      <c r="G142" s="1"/>
      <c r="H142" s="1"/>
      <c r="I142" s="1"/>
      <c r="J142" s="1"/>
      <c r="K142" s="1"/>
      <c r="L142" s="1"/>
      <c r="M142" s="1"/>
      <c r="N142" s="1"/>
      <c r="O142" s="1"/>
      <c r="P142" s="1"/>
      <c r="Q142" s="1"/>
      <c r="R142" s="1"/>
      <c r="S142" s="1"/>
      <c r="T142" s="14"/>
      <c r="U142" s="14"/>
      <c r="V142" s="14"/>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row>
    <row r="143" spans="1:226" ht="14.25" customHeight="1" x14ac:dyDescent="0.25">
      <c r="A143" s="1"/>
      <c r="B143" s="1"/>
      <c r="C143" s="1"/>
      <c r="D143" s="1"/>
      <c r="E143" s="1"/>
      <c r="F143" s="1"/>
      <c r="G143" s="1"/>
      <c r="H143" s="1"/>
      <c r="I143" s="1"/>
      <c r="J143" s="1"/>
      <c r="K143" s="1"/>
      <c r="L143" s="1"/>
      <c r="M143" s="1"/>
      <c r="N143" s="1"/>
      <c r="O143" s="1"/>
      <c r="P143" s="1"/>
      <c r="Q143" s="1"/>
      <c r="R143" s="1"/>
      <c r="S143" s="1"/>
      <c r="T143" s="14"/>
      <c r="U143" s="14"/>
      <c r="V143" s="14"/>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row>
    <row r="144" spans="1:226" ht="14.25" customHeight="1" x14ac:dyDescent="0.25">
      <c r="A144" s="1"/>
      <c r="B144" s="1"/>
      <c r="C144" s="1"/>
      <c r="D144" s="1"/>
      <c r="E144" s="1"/>
      <c r="F144" s="1"/>
      <c r="G144" s="1"/>
      <c r="H144" s="1"/>
      <c r="I144" s="1"/>
      <c r="J144" s="1"/>
      <c r="K144" s="1"/>
      <c r="L144" s="1"/>
      <c r="M144" s="1"/>
      <c r="N144" s="1"/>
      <c r="O144" s="1"/>
      <c r="P144" s="1"/>
      <c r="Q144" s="1"/>
      <c r="R144" s="1"/>
      <c r="S144" s="1"/>
      <c r="T144" s="14"/>
      <c r="U144" s="14"/>
      <c r="V144" s="14"/>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row>
    <row r="145" spans="1:226" ht="14.25" customHeight="1" x14ac:dyDescent="0.25">
      <c r="A145" s="1"/>
      <c r="B145" s="1"/>
      <c r="C145" s="1"/>
      <c r="D145" s="1"/>
      <c r="E145" s="1"/>
      <c r="F145" s="1"/>
      <c r="G145" s="1"/>
      <c r="H145" s="1"/>
      <c r="I145" s="1"/>
      <c r="J145" s="1"/>
      <c r="K145" s="1"/>
      <c r="L145" s="1"/>
      <c r="M145" s="1"/>
      <c r="N145" s="1"/>
      <c r="O145" s="1"/>
      <c r="P145" s="1"/>
      <c r="Q145" s="1"/>
      <c r="R145" s="1"/>
      <c r="S145" s="1"/>
      <c r="T145" s="14"/>
      <c r="U145" s="14"/>
      <c r="V145" s="14"/>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row>
    <row r="146" spans="1:226" ht="14.25" customHeight="1" x14ac:dyDescent="0.25">
      <c r="A146" s="1"/>
      <c r="B146" s="1"/>
      <c r="C146" s="1"/>
      <c r="D146" s="1"/>
      <c r="E146" s="1"/>
      <c r="F146" s="1"/>
      <c r="G146" s="1"/>
      <c r="H146" s="1"/>
      <c r="I146" s="1"/>
      <c r="J146" s="1"/>
      <c r="K146" s="1"/>
      <c r="L146" s="1"/>
      <c r="M146" s="1"/>
      <c r="N146" s="1"/>
      <c r="O146" s="1"/>
      <c r="P146" s="1"/>
      <c r="Q146" s="1"/>
      <c r="R146" s="1"/>
      <c r="S146" s="1"/>
      <c r="T146" s="14"/>
      <c r="U146" s="14"/>
      <c r="V146" s="14"/>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row>
    <row r="147" spans="1:226" ht="14.25" customHeight="1" x14ac:dyDescent="0.25">
      <c r="A147" s="1"/>
      <c r="B147" s="1"/>
      <c r="C147" s="1"/>
      <c r="D147" s="1"/>
      <c r="E147" s="1"/>
      <c r="F147" s="1"/>
      <c r="G147" s="1"/>
      <c r="H147" s="1"/>
      <c r="I147" s="1"/>
      <c r="J147" s="1"/>
      <c r="K147" s="1"/>
      <c r="L147" s="1"/>
      <c r="M147" s="1"/>
      <c r="N147" s="1"/>
      <c r="O147" s="1"/>
      <c r="P147" s="1"/>
      <c r="Q147" s="1"/>
      <c r="R147" s="1"/>
      <c r="S147" s="1"/>
      <c r="T147" s="14"/>
      <c r="U147" s="14"/>
      <c r="V147" s="14"/>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row>
    <row r="148" spans="1:226" ht="14.25" customHeight="1" x14ac:dyDescent="0.25">
      <c r="A148" s="1"/>
      <c r="B148" s="1"/>
      <c r="C148" s="1"/>
      <c r="D148" s="1"/>
      <c r="E148" s="1"/>
      <c r="F148" s="1"/>
      <c r="G148" s="1"/>
      <c r="H148" s="1"/>
      <c r="I148" s="1"/>
      <c r="J148" s="1"/>
      <c r="K148" s="1"/>
      <c r="L148" s="1"/>
      <c r="M148" s="1"/>
      <c r="N148" s="1"/>
      <c r="O148" s="1"/>
      <c r="P148" s="1"/>
      <c r="Q148" s="1"/>
      <c r="R148" s="1"/>
      <c r="S148" s="1"/>
      <c r="T148" s="14"/>
      <c r="U148" s="14"/>
      <c r="V148" s="14"/>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row>
    <row r="149" spans="1:226" ht="14.25" customHeight="1" x14ac:dyDescent="0.25">
      <c r="A149" s="1"/>
      <c r="B149" s="1"/>
      <c r="C149" s="1"/>
      <c r="D149" s="1"/>
      <c r="E149" s="1"/>
      <c r="F149" s="1"/>
      <c r="G149" s="1"/>
      <c r="H149" s="1"/>
      <c r="I149" s="1"/>
      <c r="J149" s="1"/>
      <c r="K149" s="1"/>
      <c r="L149" s="1"/>
      <c r="M149" s="1"/>
      <c r="N149" s="1"/>
      <c r="O149" s="1"/>
      <c r="P149" s="1"/>
      <c r="Q149" s="1"/>
      <c r="R149" s="1"/>
      <c r="S149" s="1"/>
      <c r="T149" s="14"/>
      <c r="U149" s="14"/>
      <c r="V149" s="14"/>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row>
    <row r="150" spans="1:226" ht="14.25" customHeight="1" x14ac:dyDescent="0.25">
      <c r="A150" s="1"/>
      <c r="B150" s="1"/>
      <c r="C150" s="1"/>
      <c r="D150" s="1"/>
      <c r="E150" s="1"/>
      <c r="F150" s="1"/>
      <c r="G150" s="1"/>
      <c r="H150" s="1"/>
      <c r="I150" s="1"/>
      <c r="J150" s="1"/>
      <c r="K150" s="1"/>
      <c r="L150" s="1"/>
      <c r="M150" s="1"/>
      <c r="N150" s="1"/>
      <c r="O150" s="1"/>
      <c r="P150" s="1"/>
      <c r="Q150" s="1"/>
      <c r="R150" s="1"/>
      <c r="S150" s="1"/>
      <c r="T150" s="14"/>
      <c r="U150" s="14"/>
      <c r="V150" s="14"/>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row>
    <row r="151" spans="1:226" ht="14.25" customHeight="1" x14ac:dyDescent="0.25">
      <c r="A151" s="1"/>
      <c r="B151" s="1"/>
      <c r="C151" s="1"/>
      <c r="D151" s="1"/>
      <c r="E151" s="1"/>
      <c r="F151" s="1"/>
      <c r="G151" s="1"/>
      <c r="H151" s="1"/>
      <c r="I151" s="1"/>
      <c r="J151" s="1"/>
      <c r="K151" s="1"/>
      <c r="L151" s="1"/>
      <c r="M151" s="1"/>
      <c r="N151" s="1"/>
      <c r="O151" s="1"/>
      <c r="P151" s="1"/>
      <c r="Q151" s="1"/>
      <c r="R151" s="1"/>
      <c r="S151" s="1"/>
      <c r="T151" s="14"/>
      <c r="U151" s="14"/>
      <c r="V151" s="14"/>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row>
    <row r="152" spans="1:226" ht="14.25" customHeight="1" x14ac:dyDescent="0.25">
      <c r="A152" s="1"/>
      <c r="B152" s="1"/>
      <c r="C152" s="1"/>
      <c r="D152" s="1"/>
      <c r="E152" s="1"/>
      <c r="F152" s="1"/>
      <c r="G152" s="1"/>
      <c r="H152" s="1"/>
      <c r="I152" s="1"/>
      <c r="J152" s="1"/>
      <c r="K152" s="1"/>
      <c r="L152" s="1"/>
      <c r="M152" s="1"/>
      <c r="N152" s="1"/>
      <c r="O152" s="1"/>
      <c r="P152" s="1"/>
      <c r="Q152" s="1"/>
      <c r="R152" s="1"/>
      <c r="S152" s="1"/>
      <c r="T152" s="14"/>
      <c r="U152" s="14"/>
      <c r="V152" s="14"/>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row>
    <row r="153" spans="1:226" ht="14.25" customHeight="1" x14ac:dyDescent="0.25">
      <c r="A153" s="1"/>
      <c r="B153" s="1"/>
      <c r="C153" s="1"/>
      <c r="D153" s="1"/>
      <c r="E153" s="1"/>
      <c r="F153" s="1"/>
      <c r="G153" s="1"/>
      <c r="H153" s="1"/>
      <c r="I153" s="1"/>
      <c r="J153" s="1"/>
      <c r="K153" s="1"/>
      <c r="L153" s="1"/>
      <c r="M153" s="1"/>
      <c r="N153" s="1"/>
      <c r="O153" s="1"/>
      <c r="P153" s="1"/>
      <c r="Q153" s="1"/>
      <c r="R153" s="1"/>
      <c r="S153" s="1"/>
      <c r="T153" s="14"/>
      <c r="U153" s="14"/>
      <c r="V153" s="14"/>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row>
    <row r="154" spans="1:226" ht="14.25" customHeight="1" x14ac:dyDescent="0.25">
      <c r="A154" s="1"/>
      <c r="B154" s="1"/>
      <c r="C154" s="1"/>
      <c r="D154" s="1"/>
      <c r="E154" s="1"/>
      <c r="F154" s="1"/>
      <c r="G154" s="1"/>
      <c r="H154" s="1"/>
      <c r="I154" s="1"/>
      <c r="J154" s="1"/>
      <c r="K154" s="1"/>
      <c r="L154" s="1"/>
      <c r="M154" s="1"/>
      <c r="N154" s="1"/>
      <c r="O154" s="1"/>
      <c r="P154" s="1"/>
      <c r="Q154" s="1"/>
      <c r="R154" s="1"/>
      <c r="S154" s="1"/>
      <c r="T154" s="14"/>
      <c r="U154" s="14"/>
      <c r="V154" s="14"/>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row>
    <row r="155" spans="1:226" ht="14.25" customHeight="1" x14ac:dyDescent="0.25">
      <c r="A155" s="1"/>
      <c r="B155" s="1"/>
      <c r="C155" s="1"/>
      <c r="D155" s="1"/>
      <c r="E155" s="1"/>
      <c r="F155" s="1"/>
      <c r="G155" s="1"/>
      <c r="H155" s="1"/>
      <c r="I155" s="1"/>
      <c r="J155" s="1"/>
      <c r="K155" s="1"/>
      <c r="L155" s="1"/>
      <c r="M155" s="1"/>
      <c r="N155" s="1"/>
      <c r="O155" s="1"/>
      <c r="P155" s="1"/>
      <c r="Q155" s="1"/>
      <c r="R155" s="1"/>
      <c r="S155" s="1"/>
      <c r="T155" s="14"/>
      <c r="U155" s="14"/>
      <c r="V155" s="14"/>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row>
    <row r="156" spans="1:226" ht="14.25" customHeight="1" x14ac:dyDescent="0.25">
      <c r="A156" s="1"/>
      <c r="B156" s="1"/>
      <c r="C156" s="1"/>
      <c r="D156" s="1"/>
      <c r="E156" s="1"/>
      <c r="F156" s="1"/>
      <c r="G156" s="1"/>
      <c r="H156" s="1"/>
      <c r="I156" s="1"/>
      <c r="J156" s="1"/>
      <c r="K156" s="1"/>
      <c r="L156" s="1"/>
      <c r="M156" s="1"/>
      <c r="N156" s="1"/>
      <c r="O156" s="1"/>
      <c r="P156" s="1"/>
      <c r="Q156" s="1"/>
      <c r="R156" s="1"/>
      <c r="S156" s="1"/>
      <c r="T156" s="14"/>
      <c r="U156" s="14"/>
      <c r="V156" s="14"/>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row>
    <row r="157" spans="1:226" ht="14.25" customHeight="1" x14ac:dyDescent="0.25">
      <c r="A157" s="1"/>
      <c r="B157" s="1"/>
      <c r="C157" s="1"/>
      <c r="D157" s="1"/>
      <c r="E157" s="1"/>
      <c r="F157" s="1"/>
      <c r="G157" s="1"/>
      <c r="H157" s="1"/>
      <c r="I157" s="1"/>
      <c r="J157" s="1"/>
      <c r="K157" s="1"/>
      <c r="L157" s="1"/>
      <c r="M157" s="1"/>
      <c r="N157" s="1"/>
      <c r="O157" s="1"/>
      <c r="P157" s="1"/>
      <c r="Q157" s="1"/>
      <c r="R157" s="1"/>
      <c r="S157" s="1"/>
      <c r="T157" s="14"/>
      <c r="U157" s="14"/>
      <c r="V157" s="14"/>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row>
    <row r="158" spans="1:226" ht="14.25" customHeight="1" x14ac:dyDescent="0.25">
      <c r="A158" s="1"/>
      <c r="B158" s="1"/>
      <c r="C158" s="1"/>
      <c r="D158" s="1"/>
      <c r="E158" s="1"/>
      <c r="F158" s="1"/>
      <c r="G158" s="1"/>
      <c r="H158" s="1"/>
      <c r="I158" s="1"/>
      <c r="J158" s="1"/>
      <c r="K158" s="1"/>
      <c r="L158" s="1"/>
      <c r="M158" s="1"/>
      <c r="N158" s="1"/>
      <c r="O158" s="1"/>
      <c r="P158" s="1"/>
      <c r="Q158" s="1"/>
      <c r="R158" s="1"/>
      <c r="S158" s="1"/>
      <c r="T158" s="14"/>
      <c r="U158" s="14"/>
      <c r="V158" s="14"/>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row>
    <row r="159" spans="1:226" ht="14.25" customHeight="1" x14ac:dyDescent="0.25">
      <c r="A159" s="1"/>
      <c r="B159" s="1"/>
      <c r="C159" s="1"/>
      <c r="D159" s="1"/>
      <c r="E159" s="1"/>
      <c r="F159" s="1"/>
      <c r="G159" s="1"/>
      <c r="H159" s="1"/>
      <c r="I159" s="1"/>
      <c r="J159" s="1"/>
      <c r="K159" s="1"/>
      <c r="L159" s="1"/>
      <c r="M159" s="1"/>
      <c r="N159" s="1"/>
      <c r="O159" s="1"/>
      <c r="P159" s="1"/>
      <c r="Q159" s="1"/>
      <c r="R159" s="1"/>
      <c r="S159" s="1"/>
      <c r="T159" s="14"/>
      <c r="U159" s="14"/>
      <c r="V159" s="14"/>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row>
    <row r="160" spans="1:226" ht="14.25" customHeight="1" x14ac:dyDescent="0.25">
      <c r="A160" s="1"/>
      <c r="B160" s="1"/>
      <c r="C160" s="1"/>
      <c r="D160" s="1"/>
      <c r="E160" s="1"/>
      <c r="F160" s="1"/>
      <c r="G160" s="1"/>
      <c r="H160" s="1"/>
      <c r="I160" s="1"/>
      <c r="J160" s="1"/>
      <c r="K160" s="1"/>
      <c r="L160" s="1"/>
      <c r="M160" s="1"/>
      <c r="N160" s="1"/>
      <c r="O160" s="1"/>
      <c r="P160" s="1"/>
      <c r="Q160" s="1"/>
      <c r="R160" s="1"/>
      <c r="S160" s="1"/>
      <c r="T160" s="14"/>
      <c r="U160" s="14"/>
      <c r="V160" s="14"/>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row>
    <row r="161" spans="1:226" ht="14.25" customHeight="1" x14ac:dyDescent="0.25">
      <c r="A161" s="1"/>
      <c r="B161" s="1"/>
      <c r="C161" s="1"/>
      <c r="D161" s="1"/>
      <c r="E161" s="1"/>
      <c r="F161" s="1"/>
      <c r="G161" s="1"/>
      <c r="H161" s="1"/>
      <c r="I161" s="1"/>
      <c r="J161" s="1"/>
      <c r="K161" s="1"/>
      <c r="L161" s="1"/>
      <c r="M161" s="1"/>
      <c r="N161" s="1"/>
      <c r="O161" s="1"/>
      <c r="P161" s="1"/>
      <c r="Q161" s="1"/>
      <c r="R161" s="1"/>
      <c r="S161" s="1"/>
      <c r="T161" s="14"/>
      <c r="U161" s="14"/>
      <c r="V161" s="14"/>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row>
    <row r="162" spans="1:226" ht="14.25" customHeight="1" x14ac:dyDescent="0.25">
      <c r="A162" s="1"/>
      <c r="B162" s="1"/>
      <c r="C162" s="1"/>
      <c r="D162" s="1"/>
      <c r="E162" s="1"/>
      <c r="F162" s="1"/>
      <c r="G162" s="1"/>
      <c r="H162" s="1"/>
      <c r="I162" s="1"/>
      <c r="J162" s="1"/>
      <c r="K162" s="1"/>
      <c r="L162" s="1"/>
      <c r="M162" s="1"/>
      <c r="N162" s="1"/>
      <c r="O162" s="1"/>
      <c r="P162" s="1"/>
      <c r="Q162" s="1"/>
      <c r="R162" s="1"/>
      <c r="S162" s="1"/>
      <c r="T162" s="14"/>
      <c r="U162" s="14"/>
      <c r="V162" s="14"/>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row>
    <row r="163" spans="1:226" ht="14.25" customHeight="1" x14ac:dyDescent="0.25">
      <c r="A163" s="1"/>
      <c r="B163" s="1"/>
      <c r="C163" s="1"/>
      <c r="D163" s="1"/>
      <c r="E163" s="1"/>
      <c r="F163" s="1"/>
      <c r="G163" s="1"/>
      <c r="H163" s="1"/>
      <c r="I163" s="1"/>
      <c r="J163" s="1"/>
      <c r="K163" s="1"/>
      <c r="L163" s="1"/>
      <c r="M163" s="1"/>
      <c r="N163" s="1"/>
      <c r="O163" s="1"/>
      <c r="P163" s="1"/>
      <c r="Q163" s="1"/>
      <c r="R163" s="1"/>
      <c r="S163" s="1"/>
      <c r="T163" s="14"/>
      <c r="U163" s="14"/>
      <c r="V163" s="14"/>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row>
    <row r="164" spans="1:226" ht="14.25" customHeight="1" x14ac:dyDescent="0.25">
      <c r="A164" s="1"/>
      <c r="B164" s="1"/>
      <c r="C164" s="1"/>
      <c r="D164" s="1"/>
      <c r="E164" s="1"/>
      <c r="F164" s="1"/>
      <c r="G164" s="1"/>
      <c r="H164" s="1"/>
      <c r="I164" s="1"/>
      <c r="J164" s="1"/>
      <c r="K164" s="1"/>
      <c r="L164" s="1"/>
      <c r="M164" s="1"/>
      <c r="N164" s="1"/>
      <c r="O164" s="1"/>
      <c r="P164" s="1"/>
      <c r="Q164" s="1"/>
      <c r="R164" s="1"/>
      <c r="S164" s="1"/>
      <c r="T164" s="14"/>
      <c r="U164" s="14"/>
      <c r="V164" s="14"/>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row>
    <row r="165" spans="1:226" ht="14.25" customHeight="1" x14ac:dyDescent="0.25">
      <c r="A165" s="1"/>
      <c r="B165" s="1"/>
      <c r="C165" s="1"/>
      <c r="D165" s="1"/>
      <c r="E165" s="1"/>
      <c r="F165" s="1"/>
      <c r="G165" s="1"/>
      <c r="H165" s="1"/>
      <c r="I165" s="1"/>
      <c r="J165" s="1"/>
      <c r="K165" s="1"/>
      <c r="L165" s="1"/>
      <c r="M165" s="1"/>
      <c r="N165" s="1"/>
      <c r="O165" s="1"/>
      <c r="P165" s="1"/>
      <c r="Q165" s="1"/>
      <c r="R165" s="1"/>
      <c r="S165" s="1"/>
      <c r="T165" s="14"/>
      <c r="U165" s="14"/>
      <c r="V165" s="14"/>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row>
    <row r="166" spans="1:226" ht="14.25" customHeight="1" x14ac:dyDescent="0.25">
      <c r="A166" s="1"/>
      <c r="B166" s="1"/>
      <c r="C166" s="1"/>
      <c r="D166" s="1"/>
      <c r="E166" s="1"/>
      <c r="F166" s="1"/>
      <c r="G166" s="1"/>
      <c r="H166" s="1"/>
      <c r="I166" s="1"/>
      <c r="J166" s="1"/>
      <c r="K166" s="1"/>
      <c r="L166" s="1"/>
      <c r="M166" s="1"/>
      <c r="N166" s="1"/>
      <c r="O166" s="1"/>
      <c r="P166" s="1"/>
      <c r="Q166" s="1"/>
      <c r="R166" s="1"/>
      <c r="S166" s="1"/>
      <c r="T166" s="14"/>
      <c r="U166" s="14"/>
      <c r="V166" s="14"/>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row>
    <row r="167" spans="1:226" ht="14.25" customHeight="1" x14ac:dyDescent="0.25">
      <c r="A167" s="1"/>
      <c r="B167" s="1"/>
      <c r="C167" s="1"/>
      <c r="D167" s="1"/>
      <c r="E167" s="1"/>
      <c r="F167" s="1"/>
      <c r="G167" s="1"/>
      <c r="H167" s="1"/>
      <c r="I167" s="1"/>
      <c r="J167" s="1"/>
      <c r="K167" s="1"/>
      <c r="L167" s="1"/>
      <c r="M167" s="1"/>
      <c r="N167" s="1"/>
      <c r="O167" s="1"/>
      <c r="P167" s="1"/>
      <c r="Q167" s="1"/>
      <c r="R167" s="1"/>
      <c r="S167" s="1"/>
      <c r="T167" s="14"/>
      <c r="U167" s="14"/>
      <c r="V167" s="14"/>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row>
    <row r="168" spans="1:226" ht="14.25" customHeight="1" x14ac:dyDescent="0.25">
      <c r="A168" s="1"/>
      <c r="B168" s="1"/>
      <c r="C168" s="1"/>
      <c r="D168" s="1"/>
      <c r="E168" s="1"/>
      <c r="F168" s="1"/>
      <c r="G168" s="1"/>
      <c r="H168" s="1"/>
      <c r="I168" s="1"/>
      <c r="J168" s="1"/>
      <c r="K168" s="1"/>
      <c r="L168" s="1"/>
      <c r="M168" s="1"/>
      <c r="N168" s="1"/>
      <c r="O168" s="1"/>
      <c r="P168" s="1"/>
      <c r="Q168" s="1"/>
      <c r="R168" s="1"/>
      <c r="S168" s="1"/>
      <c r="T168" s="14"/>
      <c r="U168" s="14"/>
      <c r="V168" s="14"/>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row>
    <row r="169" spans="1:226" ht="14.25" customHeight="1" x14ac:dyDescent="0.25">
      <c r="A169" s="1"/>
      <c r="B169" s="1"/>
      <c r="C169" s="1"/>
      <c r="D169" s="1"/>
      <c r="E169" s="1"/>
      <c r="F169" s="1"/>
      <c r="G169" s="1"/>
      <c r="H169" s="1"/>
      <c r="I169" s="1"/>
      <c r="J169" s="1"/>
      <c r="K169" s="1"/>
      <c r="L169" s="1"/>
      <c r="M169" s="1"/>
      <c r="N169" s="1"/>
      <c r="O169" s="1"/>
      <c r="P169" s="1"/>
      <c r="Q169" s="1"/>
      <c r="R169" s="1"/>
      <c r="S169" s="1"/>
      <c r="T169" s="14"/>
      <c r="U169" s="14"/>
      <c r="V169" s="14"/>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row>
    <row r="170" spans="1:226" ht="14.25" customHeight="1" x14ac:dyDescent="0.25">
      <c r="A170" s="1"/>
      <c r="B170" s="1"/>
      <c r="C170" s="1"/>
      <c r="D170" s="1"/>
      <c r="E170" s="1"/>
      <c r="F170" s="1"/>
      <c r="G170" s="1"/>
      <c r="H170" s="1"/>
      <c r="I170" s="1"/>
      <c r="J170" s="1"/>
      <c r="K170" s="1"/>
      <c r="L170" s="1"/>
      <c r="M170" s="1"/>
      <c r="N170" s="1"/>
      <c r="O170" s="1"/>
      <c r="P170" s="1"/>
      <c r="Q170" s="1"/>
      <c r="R170" s="1"/>
      <c r="S170" s="1"/>
      <c r="T170" s="14"/>
      <c r="U170" s="14"/>
      <c r="V170" s="14"/>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row>
    <row r="171" spans="1:226" ht="14.25" customHeight="1" x14ac:dyDescent="0.25">
      <c r="A171" s="1"/>
      <c r="B171" s="1"/>
      <c r="C171" s="1"/>
      <c r="D171" s="1"/>
      <c r="E171" s="1"/>
      <c r="F171" s="1"/>
      <c r="G171" s="1"/>
      <c r="H171" s="1"/>
      <c r="I171" s="1"/>
      <c r="J171" s="1"/>
      <c r="K171" s="1"/>
      <c r="L171" s="1"/>
      <c r="M171" s="1"/>
      <c r="N171" s="1"/>
      <c r="O171" s="1"/>
      <c r="P171" s="1"/>
      <c r="Q171" s="1"/>
      <c r="R171" s="1"/>
      <c r="S171" s="1"/>
      <c r="T171" s="14"/>
      <c r="U171" s="14"/>
      <c r="V171" s="14"/>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row>
    <row r="172" spans="1:226" ht="14.25" customHeight="1" x14ac:dyDescent="0.25">
      <c r="A172" s="1"/>
      <c r="B172" s="1"/>
      <c r="C172" s="1"/>
      <c r="D172" s="1"/>
      <c r="E172" s="1"/>
      <c r="F172" s="1"/>
      <c r="G172" s="1"/>
      <c r="H172" s="1"/>
      <c r="I172" s="1"/>
      <c r="J172" s="1"/>
      <c r="K172" s="1"/>
      <c r="L172" s="1"/>
      <c r="M172" s="1"/>
      <c r="N172" s="1"/>
      <c r="O172" s="1"/>
      <c r="P172" s="1"/>
      <c r="Q172" s="1"/>
      <c r="R172" s="1"/>
      <c r="S172" s="1"/>
      <c r="T172" s="14"/>
      <c r="U172" s="14"/>
      <c r="V172" s="14"/>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row>
    <row r="173" spans="1:226" ht="14.25" customHeight="1" x14ac:dyDescent="0.25">
      <c r="A173" s="1"/>
      <c r="B173" s="1"/>
      <c r="C173" s="1"/>
      <c r="D173" s="1"/>
      <c r="E173" s="1"/>
      <c r="F173" s="1"/>
      <c r="G173" s="1"/>
      <c r="H173" s="1"/>
      <c r="I173" s="1"/>
      <c r="J173" s="1"/>
      <c r="K173" s="1"/>
      <c r="L173" s="1"/>
      <c r="M173" s="1"/>
      <c r="N173" s="1"/>
      <c r="O173" s="1"/>
      <c r="P173" s="1"/>
      <c r="Q173" s="1"/>
      <c r="R173" s="1"/>
      <c r="S173" s="1"/>
      <c r="T173" s="14"/>
      <c r="U173" s="14"/>
      <c r="V173" s="14"/>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row>
    <row r="174" spans="1:226" ht="14.25" customHeight="1" x14ac:dyDescent="0.25">
      <c r="A174" s="1"/>
      <c r="B174" s="1"/>
      <c r="C174" s="1"/>
      <c r="D174" s="1"/>
      <c r="E174" s="1"/>
      <c r="F174" s="1"/>
      <c r="G174" s="1"/>
      <c r="H174" s="1"/>
      <c r="I174" s="1"/>
      <c r="J174" s="1"/>
      <c r="K174" s="1"/>
      <c r="L174" s="1"/>
      <c r="M174" s="1"/>
      <c r="N174" s="1"/>
      <c r="O174" s="1"/>
      <c r="P174" s="1"/>
      <c r="Q174" s="1"/>
      <c r="R174" s="1"/>
      <c r="S174" s="1"/>
      <c r="T174" s="14"/>
      <c r="U174" s="14"/>
      <c r="V174" s="14"/>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row>
    <row r="175" spans="1:226" ht="14.25" customHeight="1" x14ac:dyDescent="0.25">
      <c r="A175" s="1"/>
      <c r="B175" s="1"/>
      <c r="C175" s="1"/>
      <c r="D175" s="1"/>
      <c r="E175" s="1"/>
      <c r="F175" s="1"/>
      <c r="G175" s="1"/>
      <c r="H175" s="1"/>
      <c r="I175" s="1"/>
      <c r="J175" s="1"/>
      <c r="K175" s="1"/>
      <c r="L175" s="1"/>
      <c r="M175" s="1"/>
      <c r="N175" s="1"/>
      <c r="O175" s="1"/>
      <c r="P175" s="1"/>
      <c r="Q175" s="1"/>
      <c r="R175" s="1"/>
      <c r="S175" s="1"/>
      <c r="T175" s="14"/>
      <c r="U175" s="14"/>
      <c r="V175" s="14"/>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row>
    <row r="176" spans="1:226" ht="14.25" customHeight="1" x14ac:dyDescent="0.25">
      <c r="A176" s="1"/>
      <c r="B176" s="1"/>
      <c r="C176" s="1"/>
      <c r="D176" s="1"/>
      <c r="E176" s="1"/>
      <c r="F176" s="1"/>
      <c r="G176" s="1"/>
      <c r="H176" s="1"/>
      <c r="I176" s="1"/>
      <c r="J176" s="1"/>
      <c r="K176" s="1"/>
      <c r="L176" s="1"/>
      <c r="M176" s="1"/>
      <c r="N176" s="1"/>
      <c r="O176" s="1"/>
      <c r="P176" s="1"/>
      <c r="Q176" s="1"/>
      <c r="R176" s="1"/>
      <c r="S176" s="1"/>
      <c r="T176" s="14"/>
      <c r="U176" s="14"/>
      <c r="V176" s="14"/>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row>
    <row r="177" spans="1:226" ht="14.25" customHeight="1" x14ac:dyDescent="0.25">
      <c r="A177" s="1"/>
      <c r="B177" s="1"/>
      <c r="C177" s="1"/>
      <c r="D177" s="1"/>
      <c r="E177" s="1"/>
      <c r="F177" s="1"/>
      <c r="G177" s="1"/>
      <c r="H177" s="1"/>
      <c r="I177" s="1"/>
      <c r="J177" s="1"/>
      <c r="K177" s="1"/>
      <c r="L177" s="1"/>
      <c r="M177" s="1"/>
      <c r="N177" s="1"/>
      <c r="O177" s="1"/>
      <c r="P177" s="1"/>
      <c r="Q177" s="1"/>
      <c r="R177" s="1"/>
      <c r="S177" s="1"/>
      <c r="T177" s="14"/>
      <c r="U177" s="14"/>
      <c r="V177" s="14"/>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row>
    <row r="178" spans="1:226" ht="14.25" customHeight="1" x14ac:dyDescent="0.25">
      <c r="A178" s="1"/>
      <c r="B178" s="1"/>
      <c r="C178" s="1"/>
      <c r="D178" s="1"/>
      <c r="E178" s="1"/>
      <c r="F178" s="1"/>
      <c r="G178" s="1"/>
      <c r="H178" s="1"/>
      <c r="I178" s="1"/>
      <c r="J178" s="1"/>
      <c r="K178" s="1"/>
      <c r="L178" s="1"/>
      <c r="M178" s="1"/>
      <c r="N178" s="1"/>
      <c r="O178" s="1"/>
      <c r="P178" s="1"/>
      <c r="Q178" s="1"/>
      <c r="R178" s="1"/>
      <c r="S178" s="1"/>
      <c r="T178" s="14"/>
      <c r="U178" s="14"/>
      <c r="V178" s="14"/>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row>
    <row r="179" spans="1:226" ht="14.25" customHeight="1" x14ac:dyDescent="0.25">
      <c r="A179" s="1"/>
      <c r="B179" s="1"/>
      <c r="C179" s="1"/>
      <c r="D179" s="1"/>
      <c r="E179" s="1"/>
      <c r="F179" s="1"/>
      <c r="G179" s="1"/>
      <c r="H179" s="1"/>
      <c r="I179" s="1"/>
      <c r="J179" s="1"/>
      <c r="K179" s="1"/>
      <c r="L179" s="1"/>
      <c r="M179" s="1"/>
      <c r="N179" s="1"/>
      <c r="O179" s="1"/>
      <c r="P179" s="1"/>
      <c r="Q179" s="1"/>
      <c r="R179" s="1"/>
      <c r="S179" s="1"/>
      <c r="T179" s="14"/>
      <c r="U179" s="14"/>
      <c r="V179" s="14"/>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row>
    <row r="180" spans="1:226" ht="14.25" customHeight="1" x14ac:dyDescent="0.25">
      <c r="A180" s="1"/>
      <c r="B180" s="1"/>
      <c r="C180" s="1"/>
      <c r="D180" s="1"/>
      <c r="E180" s="1"/>
      <c r="F180" s="1"/>
      <c r="G180" s="1"/>
      <c r="H180" s="1"/>
      <c r="I180" s="1"/>
      <c r="J180" s="1"/>
      <c r="K180" s="1"/>
      <c r="L180" s="1"/>
      <c r="M180" s="1"/>
      <c r="N180" s="1"/>
      <c r="O180" s="1"/>
      <c r="P180" s="1"/>
      <c r="Q180" s="1"/>
      <c r="R180" s="1"/>
      <c r="S180" s="1"/>
      <c r="T180" s="14"/>
      <c r="U180" s="14"/>
      <c r="V180" s="14"/>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row>
    <row r="181" spans="1:226" ht="14.25" customHeight="1" x14ac:dyDescent="0.25">
      <c r="A181" s="1"/>
      <c r="B181" s="1"/>
      <c r="C181" s="1"/>
      <c r="D181" s="1"/>
      <c r="E181" s="1"/>
      <c r="F181" s="1"/>
      <c r="G181" s="1"/>
      <c r="H181" s="1"/>
      <c r="I181" s="1"/>
      <c r="J181" s="1"/>
      <c r="K181" s="1"/>
      <c r="L181" s="1"/>
      <c r="M181" s="1"/>
      <c r="N181" s="1"/>
      <c r="O181" s="1"/>
      <c r="P181" s="1"/>
      <c r="Q181" s="1"/>
      <c r="R181" s="1"/>
      <c r="S181" s="1"/>
      <c r="T181" s="14"/>
      <c r="U181" s="14"/>
      <c r="V181" s="14"/>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row>
    <row r="182" spans="1:226" ht="14.25" customHeight="1" x14ac:dyDescent="0.25">
      <c r="A182" s="1"/>
      <c r="B182" s="1"/>
      <c r="C182" s="1"/>
      <c r="D182" s="1"/>
      <c r="E182" s="1"/>
      <c r="F182" s="1"/>
      <c r="G182" s="1"/>
      <c r="H182" s="1"/>
      <c r="I182" s="1"/>
      <c r="J182" s="1"/>
      <c r="K182" s="1"/>
      <c r="L182" s="1"/>
      <c r="M182" s="1"/>
      <c r="N182" s="1"/>
      <c r="O182" s="1"/>
      <c r="P182" s="1"/>
      <c r="Q182" s="1"/>
      <c r="R182" s="1"/>
      <c r="S182" s="1"/>
      <c r="T182" s="14"/>
      <c r="U182" s="14"/>
      <c r="V182" s="14"/>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row>
    <row r="183" spans="1:226" ht="14.25" customHeight="1" x14ac:dyDescent="0.25">
      <c r="A183" s="1"/>
      <c r="B183" s="1"/>
      <c r="C183" s="1"/>
      <c r="D183" s="1"/>
      <c r="E183" s="1"/>
      <c r="F183" s="1"/>
      <c r="G183" s="1"/>
      <c r="H183" s="1"/>
      <c r="I183" s="1"/>
      <c r="J183" s="1"/>
      <c r="K183" s="1"/>
      <c r="L183" s="1"/>
      <c r="M183" s="1"/>
      <c r="N183" s="1"/>
      <c r="O183" s="1"/>
      <c r="P183" s="1"/>
      <c r="Q183" s="1"/>
      <c r="R183" s="1"/>
      <c r="S183" s="1"/>
      <c r="T183" s="14"/>
      <c r="U183" s="14"/>
      <c r="V183" s="14"/>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row>
    <row r="184" spans="1:226" ht="14.25" customHeight="1" x14ac:dyDescent="0.25">
      <c r="A184" s="1"/>
      <c r="B184" s="1"/>
      <c r="C184" s="1"/>
      <c r="D184" s="1"/>
      <c r="E184" s="1"/>
      <c r="F184" s="1"/>
      <c r="G184" s="1"/>
      <c r="H184" s="1"/>
      <c r="I184" s="1"/>
      <c r="J184" s="1"/>
      <c r="K184" s="1"/>
      <c r="L184" s="1"/>
      <c r="M184" s="1"/>
      <c r="N184" s="1"/>
      <c r="O184" s="1"/>
      <c r="P184" s="1"/>
      <c r="Q184" s="1"/>
      <c r="R184" s="1"/>
      <c r="S184" s="1"/>
      <c r="T184" s="14"/>
      <c r="U184" s="14"/>
      <c r="V184" s="14"/>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row>
    <row r="185" spans="1:226" ht="14.25" customHeight="1" x14ac:dyDescent="0.25">
      <c r="A185" s="1"/>
      <c r="B185" s="1"/>
      <c r="C185" s="1"/>
      <c r="D185" s="1"/>
      <c r="E185" s="1"/>
      <c r="F185" s="1"/>
      <c r="G185" s="1"/>
      <c r="H185" s="1"/>
      <c r="I185" s="1"/>
      <c r="J185" s="1"/>
      <c r="K185" s="1"/>
      <c r="L185" s="1"/>
      <c r="M185" s="1"/>
      <c r="N185" s="1"/>
      <c r="O185" s="1"/>
      <c r="P185" s="1"/>
      <c r="Q185" s="1"/>
      <c r="R185" s="1"/>
      <c r="S185" s="1"/>
      <c r="T185" s="14"/>
      <c r="U185" s="14"/>
      <c r="V185" s="14"/>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row>
    <row r="186" spans="1:226" ht="14.25" customHeight="1" x14ac:dyDescent="0.25">
      <c r="A186" s="1"/>
      <c r="B186" s="1"/>
      <c r="C186" s="1"/>
      <c r="D186" s="1"/>
      <c r="E186" s="1"/>
      <c r="F186" s="1"/>
      <c r="G186" s="1"/>
      <c r="H186" s="1"/>
      <c r="I186" s="1"/>
      <c r="J186" s="1"/>
      <c r="K186" s="1"/>
      <c r="L186" s="1"/>
      <c r="M186" s="1"/>
      <c r="N186" s="1"/>
      <c r="O186" s="1"/>
      <c r="P186" s="1"/>
      <c r="Q186" s="1"/>
      <c r="R186" s="1"/>
      <c r="S186" s="1"/>
      <c r="T186" s="14"/>
      <c r="U186" s="14"/>
      <c r="V186" s="14"/>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row>
    <row r="187" spans="1:226" ht="14.25" customHeight="1" x14ac:dyDescent="0.25">
      <c r="A187" s="1"/>
      <c r="B187" s="1"/>
      <c r="C187" s="1"/>
      <c r="D187" s="1"/>
      <c r="E187" s="1"/>
      <c r="F187" s="1"/>
      <c r="G187" s="1"/>
      <c r="H187" s="1"/>
      <c r="I187" s="1"/>
      <c r="J187" s="1"/>
      <c r="K187" s="1"/>
      <c r="L187" s="1"/>
      <c r="M187" s="1"/>
      <c r="N187" s="1"/>
      <c r="O187" s="1"/>
      <c r="P187" s="1"/>
      <c r="Q187" s="1"/>
      <c r="R187" s="1"/>
      <c r="S187" s="1"/>
      <c r="T187" s="14"/>
      <c r="U187" s="14"/>
      <c r="V187" s="14"/>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row>
    <row r="188" spans="1:226" ht="14.25" customHeight="1" x14ac:dyDescent="0.25">
      <c r="A188" s="1"/>
      <c r="B188" s="1"/>
      <c r="C188" s="1"/>
      <c r="D188" s="1"/>
      <c r="E188" s="1"/>
      <c r="F188" s="1"/>
      <c r="G188" s="1"/>
      <c r="H188" s="1"/>
      <c r="I188" s="1"/>
      <c r="J188" s="1"/>
      <c r="K188" s="1"/>
      <c r="L188" s="1"/>
      <c r="M188" s="1"/>
      <c r="N188" s="1"/>
      <c r="O188" s="1"/>
      <c r="P188" s="1"/>
      <c r="Q188" s="1"/>
      <c r="R188" s="1"/>
      <c r="S188" s="1"/>
      <c r="T188" s="14"/>
      <c r="U188" s="14"/>
      <c r="V188" s="14"/>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row>
    <row r="189" spans="1:226" ht="14.25" customHeight="1" x14ac:dyDescent="0.25">
      <c r="A189" s="1"/>
      <c r="B189" s="1"/>
      <c r="C189" s="1"/>
      <c r="D189" s="1"/>
      <c r="E189" s="1"/>
      <c r="F189" s="1"/>
      <c r="G189" s="1"/>
      <c r="H189" s="1"/>
      <c r="I189" s="1"/>
      <c r="J189" s="1"/>
      <c r="K189" s="1"/>
      <c r="L189" s="1"/>
      <c r="M189" s="1"/>
      <c r="N189" s="1"/>
      <c r="O189" s="1"/>
      <c r="P189" s="1"/>
      <c r="Q189" s="1"/>
      <c r="R189" s="1"/>
      <c r="S189" s="1"/>
      <c r="T189" s="14"/>
      <c r="U189" s="14"/>
      <c r="V189" s="14"/>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row>
    <row r="190" spans="1:226" ht="14.25" customHeight="1" x14ac:dyDescent="0.25">
      <c r="A190" s="1"/>
      <c r="B190" s="1"/>
      <c r="C190" s="1"/>
      <c r="D190" s="1"/>
      <c r="E190" s="1"/>
      <c r="F190" s="1"/>
      <c r="G190" s="1"/>
      <c r="H190" s="1"/>
      <c r="I190" s="1"/>
      <c r="J190" s="1"/>
      <c r="K190" s="1"/>
      <c r="L190" s="1"/>
      <c r="M190" s="1"/>
      <c r="N190" s="1"/>
      <c r="O190" s="1"/>
      <c r="P190" s="1"/>
      <c r="Q190" s="1"/>
      <c r="R190" s="1"/>
      <c r="S190" s="1"/>
      <c r="T190" s="14"/>
      <c r="U190" s="14"/>
      <c r="V190" s="14"/>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row>
    <row r="191" spans="1:226" ht="14.25" customHeight="1" x14ac:dyDescent="0.25">
      <c r="A191" s="1"/>
      <c r="B191" s="1"/>
      <c r="C191" s="1"/>
      <c r="D191" s="1"/>
      <c r="E191" s="1"/>
      <c r="F191" s="1"/>
      <c r="G191" s="1"/>
      <c r="H191" s="1"/>
      <c r="I191" s="1"/>
      <c r="J191" s="1"/>
      <c r="K191" s="1"/>
      <c r="L191" s="1"/>
      <c r="M191" s="1"/>
      <c r="N191" s="1"/>
      <c r="O191" s="1"/>
      <c r="P191" s="1"/>
      <c r="Q191" s="1"/>
      <c r="R191" s="1"/>
      <c r="S191" s="1"/>
      <c r="T191" s="14"/>
      <c r="U191" s="14"/>
      <c r="V191" s="14"/>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row>
    <row r="192" spans="1:226" ht="14.25" customHeight="1" x14ac:dyDescent="0.25">
      <c r="A192" s="1"/>
      <c r="B192" s="1"/>
      <c r="C192" s="1"/>
      <c r="D192" s="1"/>
      <c r="E192" s="1"/>
      <c r="F192" s="1"/>
      <c r="G192" s="1"/>
      <c r="H192" s="1"/>
      <c r="I192" s="1"/>
      <c r="J192" s="1"/>
      <c r="K192" s="1"/>
      <c r="L192" s="1"/>
      <c r="M192" s="1"/>
      <c r="N192" s="1"/>
      <c r="O192" s="1"/>
      <c r="P192" s="1"/>
      <c r="Q192" s="1"/>
      <c r="R192" s="1"/>
      <c r="S192" s="1"/>
      <c r="T192" s="14"/>
      <c r="U192" s="14"/>
      <c r="V192" s="14"/>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row>
    <row r="193" spans="1:226" ht="14.25" customHeight="1" x14ac:dyDescent="0.25">
      <c r="A193" s="1"/>
      <c r="B193" s="1"/>
      <c r="C193" s="1"/>
      <c r="D193" s="1"/>
      <c r="E193" s="1"/>
      <c r="F193" s="1"/>
      <c r="G193" s="1"/>
      <c r="H193" s="1"/>
      <c r="I193" s="1"/>
      <c r="J193" s="1"/>
      <c r="K193" s="1"/>
      <c r="L193" s="1"/>
      <c r="M193" s="1"/>
      <c r="N193" s="1"/>
      <c r="O193" s="1"/>
      <c r="P193" s="1"/>
      <c r="Q193" s="1"/>
      <c r="R193" s="1"/>
      <c r="S193" s="1"/>
      <c r="T193" s="14"/>
      <c r="U193" s="14"/>
      <c r="V193" s="14"/>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row>
    <row r="194" spans="1:226" ht="14.25" customHeight="1" x14ac:dyDescent="0.25">
      <c r="A194" s="1"/>
      <c r="B194" s="1"/>
      <c r="C194" s="1"/>
      <c r="D194" s="1"/>
      <c r="E194" s="1"/>
      <c r="F194" s="1"/>
      <c r="G194" s="1"/>
      <c r="H194" s="1"/>
      <c r="I194" s="1"/>
      <c r="J194" s="1"/>
      <c r="K194" s="1"/>
      <c r="L194" s="1"/>
      <c r="M194" s="1"/>
      <c r="N194" s="1"/>
      <c r="O194" s="1"/>
      <c r="P194" s="1"/>
      <c r="Q194" s="1"/>
      <c r="R194" s="1"/>
      <c r="S194" s="1"/>
      <c r="T194" s="14"/>
      <c r="U194" s="14"/>
      <c r="V194" s="14"/>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row>
    <row r="195" spans="1:226" ht="14.25" customHeight="1" x14ac:dyDescent="0.25">
      <c r="A195" s="1"/>
      <c r="B195" s="1"/>
      <c r="C195" s="1"/>
      <c r="D195" s="1"/>
      <c r="E195" s="1"/>
      <c r="F195" s="1"/>
      <c r="G195" s="1"/>
      <c r="H195" s="1"/>
      <c r="I195" s="1"/>
      <c r="J195" s="1"/>
      <c r="K195" s="1"/>
      <c r="L195" s="1"/>
      <c r="M195" s="1"/>
      <c r="N195" s="1"/>
      <c r="O195" s="1"/>
      <c r="P195" s="1"/>
      <c r="Q195" s="1"/>
      <c r="R195" s="1"/>
      <c r="S195" s="1"/>
      <c r="T195" s="14"/>
      <c r="U195" s="14"/>
      <c r="V195" s="14"/>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row>
    <row r="196" spans="1:226" ht="14.25" customHeight="1" x14ac:dyDescent="0.25">
      <c r="A196" s="1"/>
      <c r="B196" s="1"/>
      <c r="C196" s="1"/>
      <c r="D196" s="1"/>
      <c r="E196" s="1"/>
      <c r="F196" s="1"/>
      <c r="G196" s="1"/>
      <c r="H196" s="1"/>
      <c r="I196" s="1"/>
      <c r="J196" s="1"/>
      <c r="K196" s="1"/>
      <c r="L196" s="1"/>
      <c r="M196" s="1"/>
      <c r="N196" s="1"/>
      <c r="O196" s="1"/>
      <c r="P196" s="1"/>
      <c r="Q196" s="1"/>
      <c r="R196" s="1"/>
      <c r="S196" s="1"/>
      <c r="T196" s="14"/>
      <c r="U196" s="14"/>
      <c r="V196" s="14"/>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row>
    <row r="197" spans="1:226" ht="14.25" customHeight="1" x14ac:dyDescent="0.25">
      <c r="A197" s="1"/>
      <c r="B197" s="1"/>
      <c r="C197" s="1"/>
      <c r="D197" s="1"/>
      <c r="E197" s="1"/>
      <c r="F197" s="1"/>
      <c r="G197" s="1"/>
      <c r="H197" s="1"/>
      <c r="I197" s="1"/>
      <c r="J197" s="1"/>
      <c r="K197" s="1"/>
      <c r="L197" s="1"/>
      <c r="M197" s="1"/>
      <c r="N197" s="1"/>
      <c r="O197" s="1"/>
      <c r="P197" s="1"/>
      <c r="Q197" s="1"/>
      <c r="R197" s="1"/>
      <c r="S197" s="1"/>
      <c r="T197" s="14"/>
      <c r="U197" s="14"/>
      <c r="V197" s="14"/>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row>
    <row r="198" spans="1:226" ht="14.25" customHeight="1" x14ac:dyDescent="0.25">
      <c r="A198" s="1"/>
      <c r="B198" s="1"/>
      <c r="C198" s="1"/>
      <c r="D198" s="1"/>
      <c r="E198" s="1"/>
      <c r="F198" s="1"/>
      <c r="G198" s="1"/>
      <c r="H198" s="1"/>
      <c r="I198" s="1"/>
      <c r="J198" s="1"/>
      <c r="K198" s="1"/>
      <c r="L198" s="1"/>
      <c r="M198" s="1"/>
      <c r="N198" s="1"/>
      <c r="O198" s="1"/>
      <c r="P198" s="1"/>
      <c r="Q198" s="1"/>
      <c r="R198" s="1"/>
      <c r="S198" s="1"/>
      <c r="T198" s="14"/>
      <c r="U198" s="14"/>
      <c r="V198" s="14"/>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row>
    <row r="199" spans="1:226" ht="14.25" customHeight="1" x14ac:dyDescent="0.25">
      <c r="A199" s="1"/>
      <c r="B199" s="1"/>
      <c r="C199" s="1"/>
      <c r="D199" s="1"/>
      <c r="E199" s="1"/>
      <c r="F199" s="1"/>
      <c r="G199" s="1"/>
      <c r="H199" s="1"/>
      <c r="I199" s="1"/>
      <c r="J199" s="1"/>
      <c r="K199" s="1"/>
      <c r="L199" s="1"/>
      <c r="M199" s="1"/>
      <c r="N199" s="1"/>
      <c r="O199" s="1"/>
      <c r="P199" s="1"/>
      <c r="Q199" s="1"/>
      <c r="R199" s="1"/>
      <c r="S199" s="1"/>
      <c r="T199" s="14"/>
      <c r="U199" s="14"/>
      <c r="V199" s="14"/>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row>
    <row r="200" spans="1:226" ht="14.25" customHeight="1" x14ac:dyDescent="0.25">
      <c r="A200" s="1"/>
      <c r="B200" s="1"/>
      <c r="C200" s="1"/>
      <c r="D200" s="1"/>
      <c r="E200" s="1"/>
      <c r="F200" s="1"/>
      <c r="G200" s="1"/>
      <c r="H200" s="1"/>
      <c r="I200" s="1"/>
      <c r="J200" s="1"/>
      <c r="K200" s="1"/>
      <c r="L200" s="1"/>
      <c r="M200" s="1"/>
      <c r="N200" s="1"/>
      <c r="O200" s="1"/>
      <c r="P200" s="1"/>
      <c r="Q200" s="1"/>
      <c r="R200" s="1"/>
      <c r="S200" s="1"/>
      <c r="T200" s="14"/>
      <c r="U200" s="14"/>
      <c r="V200" s="14"/>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row>
    <row r="201" spans="1:226" ht="14.25" customHeight="1" x14ac:dyDescent="0.25">
      <c r="A201" s="1"/>
      <c r="B201" s="1"/>
      <c r="C201" s="1"/>
      <c r="D201" s="1"/>
      <c r="E201" s="1"/>
      <c r="F201" s="1"/>
      <c r="G201" s="1"/>
      <c r="H201" s="1"/>
      <c r="I201" s="1"/>
      <c r="J201" s="1"/>
      <c r="K201" s="1"/>
      <c r="L201" s="1"/>
      <c r="M201" s="1"/>
      <c r="N201" s="1"/>
      <c r="O201" s="1"/>
      <c r="P201" s="1"/>
      <c r="Q201" s="1"/>
      <c r="R201" s="1"/>
      <c r="S201" s="1"/>
      <c r="T201" s="14"/>
      <c r="U201" s="14"/>
      <c r="V201" s="14"/>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row>
    <row r="202" spans="1:226" ht="14.25" customHeight="1" x14ac:dyDescent="0.25">
      <c r="A202" s="1"/>
      <c r="B202" s="1"/>
      <c r="C202" s="1"/>
      <c r="D202" s="1"/>
      <c r="E202" s="1"/>
      <c r="F202" s="1"/>
      <c r="G202" s="1"/>
      <c r="H202" s="1"/>
      <c r="I202" s="1"/>
      <c r="J202" s="1"/>
      <c r="K202" s="1"/>
      <c r="L202" s="1"/>
      <c r="M202" s="1"/>
      <c r="N202" s="1"/>
      <c r="O202" s="1"/>
      <c r="P202" s="1"/>
      <c r="Q202" s="1"/>
      <c r="R202" s="1"/>
      <c r="S202" s="1"/>
      <c r="T202" s="14"/>
      <c r="U202" s="14"/>
      <c r="V202" s="14"/>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row>
    <row r="203" spans="1:226" ht="14.25" customHeight="1" x14ac:dyDescent="0.25">
      <c r="A203" s="1"/>
      <c r="B203" s="1"/>
      <c r="C203" s="1"/>
      <c r="D203" s="1"/>
      <c r="E203" s="1"/>
      <c r="F203" s="1"/>
      <c r="G203" s="1"/>
      <c r="H203" s="1"/>
      <c r="I203" s="1"/>
      <c r="J203" s="1"/>
      <c r="K203" s="1"/>
      <c r="L203" s="1"/>
      <c r="M203" s="1"/>
      <c r="N203" s="1"/>
      <c r="O203" s="1"/>
      <c r="P203" s="1"/>
      <c r="Q203" s="1"/>
      <c r="R203" s="1"/>
      <c r="S203" s="1"/>
      <c r="T203" s="14"/>
      <c r="U203" s="14"/>
      <c r="V203" s="14"/>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row>
    <row r="204" spans="1:226" ht="14.25" customHeight="1" x14ac:dyDescent="0.25">
      <c r="A204" s="1"/>
      <c r="B204" s="1"/>
      <c r="C204" s="1"/>
      <c r="D204" s="1"/>
      <c r="E204" s="1"/>
      <c r="F204" s="1"/>
      <c r="G204" s="1"/>
      <c r="H204" s="1"/>
      <c r="I204" s="1"/>
      <c r="J204" s="1"/>
      <c r="K204" s="1"/>
      <c r="L204" s="1"/>
      <c r="M204" s="1"/>
      <c r="N204" s="1"/>
      <c r="O204" s="1"/>
      <c r="P204" s="1"/>
      <c r="Q204" s="1"/>
      <c r="R204" s="1"/>
      <c r="S204" s="1"/>
      <c r="T204" s="14"/>
      <c r="U204" s="14"/>
      <c r="V204" s="14"/>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row>
    <row r="205" spans="1:226" ht="14.25" customHeight="1" x14ac:dyDescent="0.25">
      <c r="A205" s="1"/>
      <c r="B205" s="1"/>
      <c r="C205" s="1"/>
      <c r="D205" s="1"/>
      <c r="E205" s="1"/>
      <c r="F205" s="1"/>
      <c r="G205" s="1"/>
      <c r="H205" s="1"/>
      <c r="I205" s="1"/>
      <c r="J205" s="1"/>
      <c r="K205" s="1"/>
      <c r="L205" s="1"/>
      <c r="M205" s="1"/>
      <c r="N205" s="1"/>
      <c r="O205" s="1"/>
      <c r="P205" s="1"/>
      <c r="Q205" s="1"/>
      <c r="R205" s="1"/>
      <c r="S205" s="1"/>
      <c r="T205" s="14"/>
      <c r="U205" s="14"/>
      <c r="V205" s="14"/>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row>
    <row r="206" spans="1:226" ht="14.25" customHeight="1" x14ac:dyDescent="0.25">
      <c r="A206" s="1"/>
      <c r="B206" s="1"/>
      <c r="C206" s="1"/>
      <c r="D206" s="1"/>
      <c r="E206" s="1"/>
      <c r="F206" s="1"/>
      <c r="G206" s="1"/>
      <c r="H206" s="1"/>
      <c r="I206" s="1"/>
      <c r="J206" s="1"/>
      <c r="K206" s="1"/>
      <c r="L206" s="1"/>
      <c r="M206" s="1"/>
      <c r="N206" s="1"/>
      <c r="O206" s="1"/>
      <c r="P206" s="1"/>
      <c r="Q206" s="1"/>
      <c r="R206" s="1"/>
      <c r="S206" s="1"/>
      <c r="T206" s="14"/>
      <c r="U206" s="14"/>
      <c r="V206" s="14"/>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row>
    <row r="207" spans="1:226" ht="14.25" customHeight="1" x14ac:dyDescent="0.25">
      <c r="A207" s="1"/>
      <c r="B207" s="1"/>
      <c r="C207" s="1"/>
      <c r="D207" s="1"/>
      <c r="E207" s="1"/>
      <c r="F207" s="1"/>
      <c r="G207" s="1"/>
      <c r="H207" s="1"/>
      <c r="I207" s="1"/>
      <c r="J207" s="1"/>
      <c r="K207" s="1"/>
      <c r="L207" s="1"/>
      <c r="M207" s="1"/>
      <c r="N207" s="1"/>
      <c r="O207" s="1"/>
      <c r="P207" s="1"/>
      <c r="Q207" s="1"/>
      <c r="R207" s="1"/>
      <c r="S207" s="1"/>
      <c r="T207" s="14"/>
      <c r="U207" s="14"/>
      <c r="V207" s="14"/>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row>
    <row r="208" spans="1:226" ht="14.25" customHeight="1" x14ac:dyDescent="0.25">
      <c r="A208" s="1"/>
      <c r="B208" s="1"/>
      <c r="C208" s="1"/>
      <c r="D208" s="1"/>
      <c r="E208" s="1"/>
      <c r="F208" s="1"/>
      <c r="G208" s="1"/>
      <c r="H208" s="1"/>
      <c r="I208" s="1"/>
      <c r="J208" s="1"/>
      <c r="K208" s="1"/>
      <c r="L208" s="1"/>
      <c r="M208" s="1"/>
      <c r="N208" s="1"/>
      <c r="O208" s="1"/>
      <c r="P208" s="1"/>
      <c r="Q208" s="1"/>
      <c r="R208" s="1"/>
      <c r="S208" s="1"/>
      <c r="T208" s="14"/>
      <c r="U208" s="14"/>
      <c r="V208" s="14"/>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row>
    <row r="209" spans="1:226" ht="14.25" customHeight="1" x14ac:dyDescent="0.25">
      <c r="A209" s="1"/>
      <c r="B209" s="1"/>
      <c r="C209" s="1"/>
      <c r="D209" s="1"/>
      <c r="E209" s="1"/>
      <c r="F209" s="1"/>
      <c r="G209" s="1"/>
      <c r="H209" s="1"/>
      <c r="I209" s="1"/>
      <c r="J209" s="1"/>
      <c r="K209" s="1"/>
      <c r="L209" s="1"/>
      <c r="M209" s="1"/>
      <c r="N209" s="1"/>
      <c r="O209" s="1"/>
      <c r="P209" s="1"/>
      <c r="Q209" s="1"/>
      <c r="R209" s="1"/>
      <c r="S209" s="1"/>
      <c r="T209" s="14"/>
      <c r="U209" s="14"/>
      <c r="V209" s="14"/>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row>
    <row r="210" spans="1:226" ht="14.25" customHeight="1" x14ac:dyDescent="0.25">
      <c r="A210" s="1"/>
      <c r="B210" s="1"/>
      <c r="C210" s="1"/>
      <c r="D210" s="1"/>
      <c r="E210" s="1"/>
      <c r="F210" s="1"/>
      <c r="G210" s="1"/>
      <c r="H210" s="1"/>
      <c r="I210" s="1"/>
      <c r="J210" s="1"/>
      <c r="K210" s="1"/>
      <c r="L210" s="1"/>
      <c r="M210" s="1"/>
      <c r="N210" s="1"/>
      <c r="O210" s="1"/>
      <c r="P210" s="1"/>
      <c r="Q210" s="1"/>
      <c r="R210" s="1"/>
      <c r="S210" s="1"/>
      <c r="T210" s="14"/>
      <c r="U210" s="14"/>
      <c r="V210" s="14"/>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row>
    <row r="211" spans="1:226" ht="14.25" customHeight="1" x14ac:dyDescent="0.25">
      <c r="A211" s="1"/>
      <c r="B211" s="1"/>
      <c r="C211" s="1"/>
      <c r="D211" s="1"/>
      <c r="E211" s="1"/>
      <c r="F211" s="1"/>
      <c r="G211" s="1"/>
      <c r="H211" s="1"/>
      <c r="I211" s="1"/>
      <c r="J211" s="1"/>
      <c r="K211" s="1"/>
      <c r="L211" s="1"/>
      <c r="M211" s="1"/>
      <c r="N211" s="1"/>
      <c r="O211" s="1"/>
      <c r="P211" s="1"/>
      <c r="Q211" s="1"/>
      <c r="R211" s="1"/>
      <c r="S211" s="1"/>
      <c r="T211" s="14"/>
      <c r="U211" s="14"/>
      <c r="V211" s="14"/>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row>
    <row r="212" spans="1:226" ht="14.25" customHeight="1" x14ac:dyDescent="0.25">
      <c r="A212" s="1"/>
      <c r="B212" s="1"/>
      <c r="C212" s="1"/>
      <c r="D212" s="1"/>
      <c r="E212" s="1"/>
      <c r="F212" s="1"/>
      <c r="G212" s="1"/>
      <c r="H212" s="1"/>
      <c r="I212" s="1"/>
      <c r="J212" s="1"/>
      <c r="K212" s="1"/>
      <c r="L212" s="1"/>
      <c r="M212" s="1"/>
      <c r="N212" s="1"/>
      <c r="O212" s="1"/>
      <c r="P212" s="1"/>
      <c r="Q212" s="1"/>
      <c r="R212" s="1"/>
      <c r="S212" s="1"/>
      <c r="T212" s="14"/>
      <c r="U212" s="14"/>
      <c r="V212" s="14"/>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row>
    <row r="213" spans="1:226" ht="14.25" customHeight="1" x14ac:dyDescent="0.25">
      <c r="A213" s="1"/>
      <c r="B213" s="1"/>
      <c r="C213" s="1"/>
      <c r="D213" s="1"/>
      <c r="E213" s="1"/>
      <c r="F213" s="1"/>
      <c r="G213" s="1"/>
      <c r="H213" s="1"/>
      <c r="I213" s="1"/>
      <c r="J213" s="1"/>
      <c r="K213" s="1"/>
      <c r="L213" s="1"/>
      <c r="M213" s="1"/>
      <c r="N213" s="1"/>
      <c r="O213" s="1"/>
      <c r="P213" s="1"/>
      <c r="Q213" s="1"/>
      <c r="R213" s="1"/>
      <c r="S213" s="1"/>
      <c r="T213" s="14"/>
      <c r="U213" s="14"/>
      <c r="V213" s="14"/>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row>
    <row r="214" spans="1:226" ht="14.25" customHeight="1" x14ac:dyDescent="0.25">
      <c r="A214" s="1"/>
      <c r="B214" s="1"/>
      <c r="C214" s="1"/>
      <c r="D214" s="1"/>
      <c r="E214" s="1"/>
      <c r="F214" s="1"/>
      <c r="G214" s="1"/>
      <c r="H214" s="1"/>
      <c r="I214" s="1"/>
      <c r="J214" s="1"/>
      <c r="K214" s="1"/>
      <c r="L214" s="1"/>
      <c r="M214" s="1"/>
      <c r="N214" s="1"/>
      <c r="O214" s="1"/>
      <c r="P214" s="1"/>
      <c r="Q214" s="1"/>
      <c r="R214" s="1"/>
      <c r="S214" s="1"/>
      <c r="T214" s="14"/>
      <c r="U214" s="14"/>
      <c r="V214" s="14"/>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row>
    <row r="215" spans="1:226" ht="14.25" customHeight="1" x14ac:dyDescent="0.25">
      <c r="A215" s="1"/>
      <c r="B215" s="1"/>
      <c r="C215" s="1"/>
      <c r="D215" s="1"/>
      <c r="E215" s="1"/>
      <c r="F215" s="1"/>
      <c r="G215" s="1"/>
      <c r="H215" s="1"/>
      <c r="I215" s="1"/>
      <c r="J215" s="1"/>
      <c r="K215" s="1"/>
      <c r="L215" s="1"/>
      <c r="M215" s="1"/>
      <c r="N215" s="1"/>
      <c r="O215" s="1"/>
      <c r="P215" s="1"/>
      <c r="Q215" s="1"/>
      <c r="R215" s="1"/>
      <c r="S215" s="1"/>
      <c r="T215" s="14"/>
      <c r="U215" s="14"/>
      <c r="V215" s="14"/>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row>
    <row r="216" spans="1:226" ht="14.25" customHeight="1" x14ac:dyDescent="0.25">
      <c r="A216" s="1"/>
      <c r="B216" s="1"/>
      <c r="C216" s="1"/>
      <c r="D216" s="1"/>
      <c r="E216" s="1"/>
      <c r="F216" s="1"/>
      <c r="G216" s="1"/>
      <c r="H216" s="1"/>
      <c r="I216" s="1"/>
      <c r="J216" s="1"/>
      <c r="K216" s="1"/>
      <c r="L216" s="1"/>
      <c r="M216" s="1"/>
      <c r="N216" s="1"/>
      <c r="O216" s="1"/>
      <c r="P216" s="1"/>
      <c r="Q216" s="1"/>
      <c r="R216" s="1"/>
      <c r="S216" s="1"/>
      <c r="T216" s="14"/>
      <c r="U216" s="14"/>
      <c r="V216" s="14"/>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row>
    <row r="217" spans="1:226" ht="14.25" customHeight="1" x14ac:dyDescent="0.25">
      <c r="A217" s="1"/>
      <c r="B217" s="1"/>
      <c r="C217" s="1"/>
      <c r="D217" s="1"/>
      <c r="E217" s="1"/>
      <c r="F217" s="1"/>
      <c r="G217" s="1"/>
      <c r="H217" s="1"/>
      <c r="I217" s="1"/>
      <c r="J217" s="1"/>
      <c r="K217" s="1"/>
      <c r="L217" s="1"/>
      <c r="M217" s="1"/>
      <c r="N217" s="1"/>
      <c r="O217" s="1"/>
      <c r="P217" s="1"/>
      <c r="Q217" s="1"/>
      <c r="R217" s="1"/>
      <c r="S217" s="1"/>
      <c r="T217" s="14"/>
      <c r="U217" s="14"/>
      <c r="V217" s="14"/>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row>
    <row r="218" spans="1:226" ht="14.25" customHeight="1" x14ac:dyDescent="0.25">
      <c r="A218" s="1"/>
      <c r="B218" s="1"/>
      <c r="C218" s="1"/>
      <c r="D218" s="1"/>
      <c r="E218" s="1"/>
      <c r="F218" s="1"/>
      <c r="G218" s="1"/>
      <c r="H218" s="1"/>
      <c r="I218" s="1"/>
      <c r="J218" s="1"/>
      <c r="K218" s="1"/>
      <c r="L218" s="1"/>
      <c r="M218" s="1"/>
      <c r="N218" s="1"/>
      <c r="O218" s="1"/>
      <c r="P218" s="1"/>
      <c r="Q218" s="1"/>
      <c r="R218" s="1"/>
      <c r="S218" s="1"/>
      <c r="T218" s="14"/>
      <c r="U218" s="14"/>
      <c r="V218" s="14"/>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row>
    <row r="219" spans="1:226" ht="14.25" customHeight="1" x14ac:dyDescent="0.25">
      <c r="A219" s="1"/>
      <c r="B219" s="1"/>
      <c r="C219" s="1"/>
      <c r="D219" s="1"/>
      <c r="E219" s="1"/>
      <c r="F219" s="1"/>
      <c r="G219" s="1"/>
      <c r="H219" s="1"/>
      <c r="I219" s="1"/>
      <c r="J219" s="1"/>
      <c r="K219" s="1"/>
      <c r="L219" s="1"/>
      <c r="M219" s="1"/>
      <c r="N219" s="1"/>
      <c r="O219" s="1"/>
      <c r="P219" s="1"/>
      <c r="Q219" s="1"/>
      <c r="R219" s="1"/>
      <c r="S219" s="1"/>
      <c r="T219" s="14"/>
      <c r="U219" s="14"/>
      <c r="V219" s="14"/>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row>
    <row r="220" spans="1:226" ht="14.25" customHeight="1" x14ac:dyDescent="0.25">
      <c r="A220" s="1"/>
      <c r="B220" s="1"/>
      <c r="C220" s="1"/>
      <c r="D220" s="1"/>
      <c r="E220" s="1"/>
      <c r="F220" s="1"/>
      <c r="G220" s="1"/>
      <c r="H220" s="1"/>
      <c r="I220" s="1"/>
      <c r="J220" s="1"/>
      <c r="K220" s="1"/>
      <c r="L220" s="1"/>
      <c r="M220" s="1"/>
      <c r="N220" s="1"/>
      <c r="O220" s="1"/>
      <c r="P220" s="1"/>
      <c r="Q220" s="1"/>
      <c r="R220" s="1"/>
      <c r="S220" s="1"/>
      <c r="T220" s="14"/>
      <c r="U220" s="14"/>
      <c r="V220" s="14"/>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row>
    <row r="221" spans="1:226" ht="14.25" customHeight="1" x14ac:dyDescent="0.25">
      <c r="A221" s="1"/>
      <c r="B221" s="1"/>
      <c r="C221" s="1"/>
      <c r="D221" s="1"/>
      <c r="E221" s="1"/>
      <c r="F221" s="1"/>
      <c r="G221" s="1"/>
      <c r="H221" s="1"/>
      <c r="I221" s="1"/>
      <c r="J221" s="1"/>
      <c r="K221" s="1"/>
      <c r="L221" s="1"/>
      <c r="M221" s="1"/>
      <c r="N221" s="1"/>
      <c r="O221" s="1"/>
      <c r="P221" s="1"/>
      <c r="Q221" s="1"/>
      <c r="R221" s="1"/>
      <c r="S221" s="1"/>
      <c r="T221" s="14"/>
      <c r="U221" s="14"/>
      <c r="V221" s="14"/>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row>
    <row r="222" spans="1:226" ht="14.25" customHeight="1" x14ac:dyDescent="0.25">
      <c r="A222" s="1"/>
      <c r="B222" s="1"/>
      <c r="C222" s="1"/>
      <c r="D222" s="1"/>
      <c r="E222" s="1"/>
      <c r="F222" s="1"/>
      <c r="G222" s="1"/>
      <c r="H222" s="1"/>
      <c r="I222" s="1"/>
      <c r="J222" s="1"/>
      <c r="K222" s="1"/>
      <c r="L222" s="1"/>
      <c r="M222" s="1"/>
      <c r="N222" s="1"/>
      <c r="O222" s="1"/>
      <c r="P222" s="1"/>
      <c r="Q222" s="1"/>
      <c r="R222" s="1"/>
      <c r="S222" s="1"/>
      <c r="T222" s="14"/>
      <c r="U222" s="14"/>
      <c r="V222" s="14"/>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row>
    <row r="223" spans="1:226" ht="14.25" customHeight="1" x14ac:dyDescent="0.25">
      <c r="A223" s="1"/>
      <c r="B223" s="1"/>
      <c r="C223" s="1"/>
      <c r="D223" s="1"/>
      <c r="E223" s="1"/>
      <c r="F223" s="1"/>
      <c r="G223" s="1"/>
      <c r="H223" s="1"/>
      <c r="I223" s="1"/>
      <c r="J223" s="1"/>
      <c r="K223" s="1"/>
      <c r="L223" s="1"/>
      <c r="M223" s="1"/>
      <c r="N223" s="1"/>
      <c r="O223" s="1"/>
      <c r="P223" s="1"/>
      <c r="Q223" s="1"/>
      <c r="R223" s="1"/>
      <c r="S223" s="1"/>
      <c r="T223" s="14"/>
      <c r="U223" s="14"/>
      <c r="V223" s="14"/>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row>
    <row r="224" spans="1:226" ht="14.25" customHeight="1" x14ac:dyDescent="0.25">
      <c r="A224" s="1"/>
      <c r="B224" s="1"/>
      <c r="C224" s="1"/>
      <c r="D224" s="1"/>
      <c r="E224" s="1"/>
      <c r="F224" s="1"/>
      <c r="G224" s="1"/>
      <c r="H224" s="1"/>
      <c r="I224" s="1"/>
      <c r="J224" s="1"/>
      <c r="K224" s="1"/>
      <c r="L224" s="1"/>
      <c r="M224" s="1"/>
      <c r="N224" s="1"/>
      <c r="O224" s="1"/>
      <c r="P224" s="1"/>
      <c r="Q224" s="1"/>
      <c r="R224" s="1"/>
      <c r="S224" s="1"/>
      <c r="T224" s="14"/>
      <c r="U224" s="14"/>
      <c r="V224" s="14"/>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row>
    <row r="225" spans="1:226" ht="14.25" customHeight="1" x14ac:dyDescent="0.25">
      <c r="A225" s="1"/>
      <c r="B225" s="1"/>
      <c r="C225" s="1"/>
      <c r="D225" s="1"/>
      <c r="E225" s="1"/>
      <c r="F225" s="1"/>
      <c r="G225" s="1"/>
      <c r="H225" s="1"/>
      <c r="I225" s="1"/>
      <c r="J225" s="1"/>
      <c r="K225" s="1"/>
      <c r="L225" s="1"/>
      <c r="M225" s="1"/>
      <c r="N225" s="1"/>
      <c r="O225" s="1"/>
      <c r="P225" s="1"/>
      <c r="Q225" s="1"/>
      <c r="R225" s="1"/>
      <c r="S225" s="1"/>
      <c r="T225" s="14"/>
      <c r="U225" s="14"/>
      <c r="V225" s="14"/>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row>
    <row r="226" spans="1:226" ht="14.25" customHeight="1" x14ac:dyDescent="0.25">
      <c r="A226" s="1"/>
      <c r="B226" s="1"/>
      <c r="C226" s="1"/>
      <c r="D226" s="1"/>
      <c r="E226" s="1"/>
      <c r="F226" s="1"/>
      <c r="G226" s="1"/>
      <c r="H226" s="1"/>
      <c r="I226" s="1"/>
      <c r="J226" s="1"/>
      <c r="K226" s="1"/>
      <c r="L226" s="1"/>
      <c r="M226" s="1"/>
      <c r="N226" s="1"/>
      <c r="O226" s="1"/>
      <c r="P226" s="1"/>
      <c r="Q226" s="1"/>
      <c r="R226" s="1"/>
      <c r="S226" s="1"/>
      <c r="T226" s="14"/>
      <c r="U226" s="14"/>
      <c r="V226" s="14"/>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row>
    <row r="227" spans="1:226" ht="14.25" customHeight="1" x14ac:dyDescent="0.25">
      <c r="A227" s="1"/>
      <c r="B227" s="1"/>
      <c r="C227" s="1"/>
      <c r="D227" s="1"/>
      <c r="E227" s="1"/>
      <c r="F227" s="1"/>
      <c r="G227" s="1"/>
      <c r="H227" s="1"/>
      <c r="I227" s="1"/>
      <c r="J227" s="1"/>
      <c r="K227" s="1"/>
      <c r="L227" s="1"/>
      <c r="M227" s="1"/>
      <c r="N227" s="1"/>
      <c r="O227" s="1"/>
      <c r="P227" s="1"/>
      <c r="Q227" s="1"/>
      <c r="R227" s="1"/>
      <c r="S227" s="1"/>
      <c r="T227" s="14"/>
      <c r="U227" s="14"/>
      <c r="V227" s="14"/>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row>
    <row r="228" spans="1:226" ht="14.25" customHeight="1" x14ac:dyDescent="0.25">
      <c r="A228" s="1"/>
      <c r="B228" s="1"/>
      <c r="C228" s="1"/>
      <c r="D228" s="1"/>
      <c r="E228" s="1"/>
      <c r="F228" s="1"/>
      <c r="G228" s="1"/>
      <c r="H228" s="1"/>
      <c r="I228" s="1"/>
      <c r="J228" s="1"/>
      <c r="K228" s="1"/>
      <c r="L228" s="1"/>
      <c r="M228" s="1"/>
      <c r="N228" s="1"/>
      <c r="O228" s="1"/>
      <c r="P228" s="1"/>
      <c r="Q228" s="1"/>
      <c r="R228" s="1"/>
      <c r="S228" s="1"/>
      <c r="T228" s="14"/>
      <c r="U228" s="14"/>
      <c r="V228" s="14"/>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row>
    <row r="229" spans="1:226" ht="14.25" customHeight="1" x14ac:dyDescent="0.25">
      <c r="A229" s="1"/>
      <c r="B229" s="1"/>
      <c r="C229" s="1"/>
      <c r="D229" s="1"/>
      <c r="E229" s="1"/>
      <c r="F229" s="1"/>
      <c r="G229" s="1"/>
      <c r="H229" s="1"/>
      <c r="I229" s="1"/>
      <c r="J229" s="1"/>
      <c r="K229" s="1"/>
      <c r="L229" s="1"/>
      <c r="M229" s="1"/>
      <c r="N229" s="1"/>
      <c r="O229" s="1"/>
      <c r="P229" s="1"/>
      <c r="Q229" s="1"/>
      <c r="R229" s="1"/>
      <c r="S229" s="1"/>
      <c r="T229" s="14"/>
      <c r="U229" s="14"/>
      <c r="V229" s="14"/>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row>
    <row r="230" spans="1:226" ht="14.25" customHeight="1" x14ac:dyDescent="0.25">
      <c r="A230" s="1"/>
      <c r="B230" s="1"/>
      <c r="C230" s="1"/>
      <c r="D230" s="1"/>
      <c r="E230" s="1"/>
      <c r="F230" s="1"/>
      <c r="G230" s="1"/>
      <c r="H230" s="1"/>
      <c r="I230" s="1"/>
      <c r="J230" s="1"/>
      <c r="K230" s="1"/>
      <c r="L230" s="1"/>
      <c r="M230" s="1"/>
      <c r="N230" s="1"/>
      <c r="O230" s="1"/>
      <c r="P230" s="1"/>
      <c r="Q230" s="1"/>
      <c r="R230" s="1"/>
      <c r="S230" s="1"/>
      <c r="T230" s="14"/>
      <c r="U230" s="14"/>
      <c r="V230" s="14"/>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row>
    <row r="231" spans="1:226" ht="14.25" customHeight="1" x14ac:dyDescent="0.25">
      <c r="A231" s="1"/>
      <c r="B231" s="1"/>
      <c r="C231" s="1"/>
      <c r="D231" s="1"/>
      <c r="E231" s="1"/>
      <c r="F231" s="1"/>
      <c r="G231" s="1"/>
      <c r="H231" s="1"/>
      <c r="I231" s="1"/>
      <c r="J231" s="1"/>
      <c r="K231" s="1"/>
      <c r="L231" s="1"/>
      <c r="M231" s="1"/>
      <c r="N231" s="1"/>
      <c r="O231" s="1"/>
      <c r="P231" s="1"/>
      <c r="Q231" s="1"/>
      <c r="R231" s="1"/>
      <c r="S231" s="1"/>
      <c r="T231" s="14"/>
      <c r="U231" s="14"/>
      <c r="V231" s="14"/>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row>
    <row r="232" spans="1:226" ht="14.25" customHeight="1" x14ac:dyDescent="0.25">
      <c r="A232" s="1"/>
      <c r="B232" s="1"/>
      <c r="C232" s="1"/>
      <c r="D232" s="1"/>
      <c r="E232" s="1"/>
      <c r="F232" s="1"/>
      <c r="G232" s="1"/>
      <c r="H232" s="1"/>
      <c r="I232" s="1"/>
      <c r="J232" s="1"/>
      <c r="K232" s="1"/>
      <c r="L232" s="1"/>
      <c r="M232" s="1"/>
      <c r="N232" s="1"/>
      <c r="O232" s="1"/>
      <c r="P232" s="1"/>
      <c r="Q232" s="1"/>
      <c r="R232" s="1"/>
      <c r="S232" s="1"/>
      <c r="T232" s="14"/>
      <c r="U232" s="14"/>
      <c r="V232" s="14"/>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row>
    <row r="233" spans="1:226" ht="14.25" customHeight="1" x14ac:dyDescent="0.25">
      <c r="A233" s="1"/>
      <c r="B233" s="1"/>
      <c r="C233" s="1"/>
      <c r="D233" s="1"/>
      <c r="E233" s="1"/>
      <c r="F233" s="1"/>
      <c r="G233" s="1"/>
      <c r="H233" s="1"/>
      <c r="I233" s="1"/>
      <c r="J233" s="1"/>
      <c r="K233" s="1"/>
      <c r="L233" s="1"/>
      <c r="M233" s="1"/>
      <c r="N233" s="1"/>
      <c r="O233" s="1"/>
      <c r="P233" s="1"/>
      <c r="Q233" s="1"/>
      <c r="R233" s="1"/>
      <c r="S233" s="1"/>
      <c r="T233" s="14"/>
      <c r="U233" s="14"/>
      <c r="V233" s="14"/>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row>
    <row r="234" spans="1:226" ht="14.25" customHeight="1" x14ac:dyDescent="0.25">
      <c r="A234" s="1"/>
      <c r="B234" s="1"/>
      <c r="C234" s="1"/>
      <c r="D234" s="1"/>
      <c r="E234" s="1"/>
      <c r="F234" s="1"/>
      <c r="G234" s="1"/>
      <c r="H234" s="1"/>
      <c r="I234" s="1"/>
      <c r="J234" s="1"/>
      <c r="K234" s="1"/>
      <c r="L234" s="1"/>
      <c r="M234" s="1"/>
      <c r="N234" s="1"/>
      <c r="O234" s="1"/>
      <c r="P234" s="1"/>
      <c r="Q234" s="1"/>
      <c r="R234" s="1"/>
      <c r="S234" s="1"/>
      <c r="T234" s="14"/>
      <c r="U234" s="14"/>
      <c r="V234" s="14"/>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row>
    <row r="235" spans="1:226" ht="14.25" customHeight="1" x14ac:dyDescent="0.25">
      <c r="A235" s="1"/>
      <c r="B235" s="1"/>
      <c r="C235" s="1"/>
      <c r="D235" s="1"/>
      <c r="E235" s="1"/>
      <c r="F235" s="1"/>
      <c r="G235" s="1"/>
      <c r="H235" s="1"/>
      <c r="I235" s="1"/>
      <c r="J235" s="1"/>
      <c r="K235" s="1"/>
      <c r="L235" s="1"/>
      <c r="M235" s="1"/>
      <c r="N235" s="1"/>
      <c r="O235" s="1"/>
      <c r="P235" s="1"/>
      <c r="Q235" s="1"/>
      <c r="R235" s="1"/>
      <c r="S235" s="1"/>
      <c r="T235" s="14"/>
      <c r="U235" s="14"/>
      <c r="V235" s="14"/>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row>
    <row r="236" spans="1:226" ht="14.25" customHeight="1" x14ac:dyDescent="0.25">
      <c r="A236" s="1"/>
      <c r="B236" s="1"/>
      <c r="C236" s="1"/>
      <c r="D236" s="1"/>
      <c r="E236" s="1"/>
      <c r="F236" s="1"/>
      <c r="G236" s="1"/>
      <c r="H236" s="1"/>
      <c r="I236" s="1"/>
      <c r="J236" s="1"/>
      <c r="K236" s="1"/>
      <c r="L236" s="1"/>
      <c r="M236" s="1"/>
      <c r="N236" s="1"/>
      <c r="O236" s="1"/>
      <c r="P236" s="1"/>
      <c r="Q236" s="1"/>
      <c r="R236" s="1"/>
      <c r="S236" s="1"/>
      <c r="T236" s="14"/>
      <c r="U236" s="14"/>
      <c r="V236" s="14"/>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row>
    <row r="237" spans="1:226" ht="14.25" customHeight="1" x14ac:dyDescent="0.25">
      <c r="A237" s="1"/>
      <c r="B237" s="1"/>
      <c r="C237" s="1"/>
      <c r="D237" s="1"/>
      <c r="E237" s="1"/>
      <c r="F237" s="1"/>
      <c r="G237" s="1"/>
      <c r="H237" s="1"/>
      <c r="I237" s="1"/>
      <c r="J237" s="1"/>
      <c r="K237" s="1"/>
      <c r="L237" s="1"/>
      <c r="M237" s="1"/>
      <c r="N237" s="1"/>
      <c r="O237" s="1"/>
      <c r="P237" s="1"/>
      <c r="Q237" s="1"/>
      <c r="R237" s="1"/>
      <c r="S237" s="1"/>
      <c r="T237" s="14"/>
      <c r="U237" s="14"/>
      <c r="V237" s="14"/>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row>
    <row r="238" spans="1:226" ht="14.25" customHeight="1" x14ac:dyDescent="0.25">
      <c r="A238" s="1"/>
      <c r="B238" s="1"/>
      <c r="C238" s="1"/>
      <c r="D238" s="1"/>
      <c r="E238" s="1"/>
      <c r="F238" s="1"/>
      <c r="G238" s="1"/>
      <c r="H238" s="1"/>
      <c r="I238" s="1"/>
      <c r="J238" s="1"/>
      <c r="K238" s="1"/>
      <c r="L238" s="1"/>
      <c r="M238" s="1"/>
      <c r="N238" s="1"/>
      <c r="O238" s="1"/>
      <c r="P238" s="1"/>
      <c r="Q238" s="1"/>
      <c r="R238" s="1"/>
      <c r="S238" s="1"/>
      <c r="T238" s="14"/>
      <c r="U238" s="14"/>
      <c r="V238" s="14"/>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row>
    <row r="239" spans="1:226" ht="14.25" customHeight="1" x14ac:dyDescent="0.25">
      <c r="A239" s="1"/>
      <c r="B239" s="1"/>
      <c r="C239" s="1"/>
      <c r="D239" s="1"/>
      <c r="E239" s="1"/>
      <c r="F239" s="1"/>
      <c r="G239" s="1"/>
      <c r="H239" s="1"/>
      <c r="I239" s="1"/>
      <c r="J239" s="1"/>
      <c r="K239" s="1"/>
      <c r="L239" s="1"/>
      <c r="M239" s="1"/>
      <c r="N239" s="1"/>
      <c r="O239" s="1"/>
      <c r="P239" s="1"/>
      <c r="Q239" s="1"/>
      <c r="R239" s="1"/>
      <c r="S239" s="1"/>
      <c r="T239" s="14"/>
      <c r="U239" s="14"/>
      <c r="V239" s="14"/>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row>
    <row r="240" spans="1:226" ht="14.25" customHeight="1" x14ac:dyDescent="0.25">
      <c r="A240" s="1"/>
      <c r="B240" s="1"/>
      <c r="C240" s="1"/>
      <c r="D240" s="1"/>
      <c r="E240" s="1"/>
      <c r="F240" s="1"/>
      <c r="G240" s="1"/>
      <c r="H240" s="1"/>
      <c r="I240" s="1"/>
      <c r="J240" s="1"/>
      <c r="K240" s="1"/>
      <c r="L240" s="1"/>
      <c r="M240" s="1"/>
      <c r="N240" s="1"/>
      <c r="O240" s="1"/>
      <c r="P240" s="1"/>
      <c r="Q240" s="1"/>
      <c r="R240" s="1"/>
      <c r="S240" s="1"/>
      <c r="T240" s="14"/>
      <c r="U240" s="14"/>
      <c r="V240" s="14"/>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row>
    <row r="241" spans="1:226" ht="14.25" customHeight="1" x14ac:dyDescent="0.25">
      <c r="A241" s="1"/>
      <c r="B241" s="1"/>
      <c r="C241" s="1"/>
      <c r="D241" s="1"/>
      <c r="E241" s="1"/>
      <c r="F241" s="1"/>
      <c r="G241" s="1"/>
      <c r="H241" s="1"/>
      <c r="I241" s="1"/>
      <c r="J241" s="1"/>
      <c r="K241" s="1"/>
      <c r="L241" s="1"/>
      <c r="M241" s="1"/>
      <c r="N241" s="1"/>
      <c r="O241" s="1"/>
      <c r="P241" s="1"/>
      <c r="Q241" s="1"/>
      <c r="R241" s="1"/>
      <c r="S241" s="1"/>
      <c r="T241" s="14"/>
      <c r="U241" s="14"/>
      <c r="V241" s="14"/>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row>
    <row r="242" spans="1:226" ht="14.25" customHeight="1" x14ac:dyDescent="0.25">
      <c r="A242" s="1"/>
      <c r="B242" s="1"/>
      <c r="C242" s="1"/>
      <c r="D242" s="1"/>
      <c r="E242" s="1"/>
      <c r="F242" s="1"/>
      <c r="G242" s="1"/>
      <c r="H242" s="1"/>
      <c r="I242" s="1"/>
      <c r="J242" s="1"/>
      <c r="K242" s="1"/>
      <c r="L242" s="1"/>
      <c r="M242" s="1"/>
      <c r="N242" s="1"/>
      <c r="O242" s="1"/>
      <c r="P242" s="1"/>
      <c r="Q242" s="1"/>
      <c r="R242" s="1"/>
      <c r="S242" s="1"/>
      <c r="T242" s="14"/>
      <c r="U242" s="14"/>
      <c r="V242" s="14"/>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row>
    <row r="243" spans="1:226" ht="14.25" customHeight="1" x14ac:dyDescent="0.25">
      <c r="A243" s="1"/>
      <c r="B243" s="1"/>
      <c r="C243" s="1"/>
      <c r="D243" s="1"/>
      <c r="E243" s="1"/>
      <c r="F243" s="1"/>
      <c r="G243" s="1"/>
      <c r="H243" s="1"/>
      <c r="I243" s="1"/>
      <c r="J243" s="1"/>
      <c r="K243" s="1"/>
      <c r="L243" s="1"/>
      <c r="M243" s="1"/>
      <c r="N243" s="1"/>
      <c r="O243" s="1"/>
      <c r="P243" s="1"/>
      <c r="Q243" s="1"/>
      <c r="R243" s="1"/>
      <c r="S243" s="1"/>
      <c r="T243" s="14"/>
      <c r="U243" s="14"/>
      <c r="V243" s="14"/>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row>
    <row r="244" spans="1:226" ht="14.25" customHeight="1" x14ac:dyDescent="0.25">
      <c r="A244" s="1"/>
      <c r="B244" s="1"/>
      <c r="C244" s="1"/>
      <c r="D244" s="1"/>
      <c r="E244" s="1"/>
      <c r="F244" s="1"/>
      <c r="G244" s="1"/>
      <c r="H244" s="1"/>
      <c r="I244" s="1"/>
      <c r="J244" s="1"/>
      <c r="K244" s="1"/>
      <c r="L244" s="1"/>
      <c r="M244" s="1"/>
      <c r="N244" s="1"/>
      <c r="O244" s="1"/>
      <c r="P244" s="1"/>
      <c r="Q244" s="1"/>
      <c r="R244" s="1"/>
      <c r="S244" s="1"/>
      <c r="T244" s="14"/>
      <c r="U244" s="14"/>
      <c r="V244" s="14"/>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row>
    <row r="245" spans="1:226" ht="14.25" customHeight="1" x14ac:dyDescent="0.25">
      <c r="A245" s="1"/>
      <c r="B245" s="1"/>
      <c r="C245" s="1"/>
      <c r="D245" s="1"/>
      <c r="E245" s="1"/>
      <c r="F245" s="1"/>
      <c r="G245" s="1"/>
      <c r="H245" s="1"/>
      <c r="I245" s="1"/>
      <c r="J245" s="1"/>
      <c r="K245" s="1"/>
      <c r="L245" s="1"/>
      <c r="M245" s="1"/>
      <c r="N245" s="1"/>
      <c r="O245" s="1"/>
      <c r="P245" s="1"/>
      <c r="Q245" s="1"/>
      <c r="R245" s="1"/>
      <c r="S245" s="1"/>
      <c r="T245" s="14"/>
      <c r="U245" s="14"/>
      <c r="V245" s="14"/>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row>
    <row r="246" spans="1:226" ht="14.25" customHeight="1" x14ac:dyDescent="0.25">
      <c r="A246" s="1"/>
      <c r="B246" s="1"/>
      <c r="C246" s="1"/>
      <c r="D246" s="1"/>
      <c r="E246" s="1"/>
      <c r="F246" s="1"/>
      <c r="G246" s="1"/>
      <c r="H246" s="1"/>
      <c r="I246" s="1"/>
      <c r="J246" s="1"/>
      <c r="K246" s="1"/>
      <c r="L246" s="1"/>
      <c r="M246" s="1"/>
      <c r="N246" s="1"/>
      <c r="O246" s="1"/>
      <c r="P246" s="1"/>
      <c r="Q246" s="1"/>
      <c r="R246" s="1"/>
      <c r="S246" s="1"/>
      <c r="T246" s="14"/>
      <c r="U246" s="14"/>
      <c r="V246" s="14"/>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row>
    <row r="247" spans="1:226" ht="14.25" customHeight="1" x14ac:dyDescent="0.25">
      <c r="A247" s="1"/>
      <c r="B247" s="1"/>
      <c r="C247" s="1"/>
      <c r="D247" s="1"/>
      <c r="E247" s="1"/>
      <c r="F247" s="1"/>
      <c r="G247" s="1"/>
      <c r="H247" s="1"/>
      <c r="I247" s="1"/>
      <c r="J247" s="1"/>
      <c r="K247" s="1"/>
      <c r="L247" s="1"/>
      <c r="M247" s="1"/>
      <c r="N247" s="1"/>
      <c r="O247" s="1"/>
      <c r="P247" s="1"/>
      <c r="Q247" s="1"/>
      <c r="R247" s="1"/>
      <c r="S247" s="1"/>
      <c r="T247" s="14"/>
      <c r="U247" s="14"/>
      <c r="V247" s="14"/>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row>
    <row r="248" spans="1:226" ht="14.25" customHeight="1" x14ac:dyDescent="0.25">
      <c r="A248" s="1"/>
      <c r="B248" s="1"/>
      <c r="C248" s="1"/>
      <c r="D248" s="1"/>
      <c r="E248" s="1"/>
      <c r="F248" s="1"/>
      <c r="G248" s="1"/>
      <c r="H248" s="1"/>
      <c r="I248" s="1"/>
      <c r="J248" s="1"/>
      <c r="K248" s="1"/>
      <c r="L248" s="1"/>
      <c r="M248" s="1"/>
      <c r="N248" s="1"/>
      <c r="O248" s="1"/>
      <c r="P248" s="1"/>
      <c r="Q248" s="1"/>
      <c r="R248" s="1"/>
      <c r="S248" s="1"/>
      <c r="T248" s="14"/>
      <c r="U248" s="14"/>
      <c r="V248" s="14"/>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row>
    <row r="249" spans="1:226" ht="14.25" customHeight="1" x14ac:dyDescent="0.25">
      <c r="A249" s="1"/>
      <c r="B249" s="1"/>
      <c r="C249" s="1"/>
      <c r="D249" s="1"/>
      <c r="E249" s="1"/>
      <c r="F249" s="1"/>
      <c r="G249" s="1"/>
      <c r="H249" s="1"/>
      <c r="I249" s="1"/>
      <c r="J249" s="1"/>
      <c r="K249" s="1"/>
      <c r="L249" s="1"/>
      <c r="M249" s="1"/>
      <c r="N249" s="1"/>
      <c r="O249" s="1"/>
      <c r="P249" s="1"/>
      <c r="Q249" s="1"/>
      <c r="R249" s="1"/>
      <c r="S249" s="1"/>
      <c r="T249" s="14"/>
      <c r="U249" s="14"/>
      <c r="V249" s="14"/>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row>
    <row r="250" spans="1:226" ht="14.25" customHeight="1" x14ac:dyDescent="0.25">
      <c r="A250" s="1"/>
      <c r="B250" s="1"/>
      <c r="C250" s="1"/>
      <c r="D250" s="1"/>
      <c r="E250" s="1"/>
      <c r="F250" s="1"/>
      <c r="G250" s="1"/>
      <c r="H250" s="1"/>
      <c r="I250" s="1"/>
      <c r="J250" s="1"/>
      <c r="K250" s="1"/>
      <c r="L250" s="1"/>
      <c r="M250" s="1"/>
      <c r="N250" s="1"/>
      <c r="O250" s="1"/>
      <c r="P250" s="1"/>
      <c r="Q250" s="1"/>
      <c r="R250" s="1"/>
      <c r="S250" s="1"/>
      <c r="T250" s="14"/>
      <c r="U250" s="14"/>
      <c r="V250" s="14"/>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row>
    <row r="251" spans="1:226" ht="14.25" customHeight="1" x14ac:dyDescent="0.25">
      <c r="A251" s="1"/>
      <c r="B251" s="1"/>
      <c r="C251" s="1"/>
      <c r="D251" s="1"/>
      <c r="E251" s="1"/>
      <c r="F251" s="1"/>
      <c r="G251" s="1"/>
      <c r="H251" s="1"/>
      <c r="I251" s="1"/>
      <c r="J251" s="1"/>
      <c r="K251" s="1"/>
      <c r="L251" s="1"/>
      <c r="M251" s="1"/>
      <c r="N251" s="1"/>
      <c r="O251" s="1"/>
      <c r="P251" s="1"/>
      <c r="Q251" s="1"/>
      <c r="R251" s="1"/>
      <c r="S251" s="1"/>
      <c r="T251" s="14"/>
      <c r="U251" s="14"/>
      <c r="V251" s="14"/>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row>
    <row r="252" spans="1:226" ht="14.25" customHeight="1" x14ac:dyDescent="0.25">
      <c r="A252" s="1"/>
      <c r="B252" s="1"/>
      <c r="C252" s="1"/>
      <c r="D252" s="1"/>
      <c r="E252" s="1"/>
      <c r="F252" s="1"/>
      <c r="G252" s="1"/>
      <c r="H252" s="1"/>
      <c r="I252" s="1"/>
      <c r="J252" s="1"/>
      <c r="K252" s="1"/>
      <c r="L252" s="1"/>
      <c r="M252" s="1"/>
      <c r="N252" s="1"/>
      <c r="O252" s="1"/>
      <c r="P252" s="1"/>
      <c r="Q252" s="1"/>
      <c r="R252" s="1"/>
      <c r="S252" s="1"/>
      <c r="T252" s="14"/>
      <c r="U252" s="14"/>
      <c r="V252" s="14"/>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row>
    <row r="253" spans="1:226" ht="14.25" customHeight="1" x14ac:dyDescent="0.25">
      <c r="A253" s="1"/>
      <c r="B253" s="1"/>
      <c r="C253" s="1"/>
      <c r="D253" s="1"/>
      <c r="E253" s="1"/>
      <c r="F253" s="1"/>
      <c r="G253" s="1"/>
      <c r="H253" s="1"/>
      <c r="I253" s="1"/>
      <c r="J253" s="1"/>
      <c r="K253" s="1"/>
      <c r="L253" s="1"/>
      <c r="M253" s="1"/>
      <c r="N253" s="1"/>
      <c r="O253" s="1"/>
      <c r="P253" s="1"/>
      <c r="Q253" s="1"/>
      <c r="R253" s="1"/>
      <c r="S253" s="1"/>
      <c r="T253" s="14"/>
      <c r="U253" s="14"/>
      <c r="V253" s="14"/>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row>
    <row r="254" spans="1:226" ht="14.25" customHeight="1" x14ac:dyDescent="0.25">
      <c r="A254" s="1"/>
      <c r="B254" s="1"/>
      <c r="C254" s="1"/>
      <c r="D254" s="1"/>
      <c r="E254" s="1"/>
      <c r="F254" s="1"/>
      <c r="G254" s="1"/>
      <c r="H254" s="1"/>
      <c r="I254" s="1"/>
      <c r="J254" s="1"/>
      <c r="K254" s="1"/>
      <c r="L254" s="1"/>
      <c r="M254" s="1"/>
      <c r="N254" s="1"/>
      <c r="O254" s="1"/>
      <c r="P254" s="1"/>
      <c r="Q254" s="1"/>
      <c r="R254" s="1"/>
      <c r="S254" s="1"/>
      <c r="T254" s="14"/>
      <c r="U254" s="14"/>
      <c r="V254" s="14"/>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row>
    <row r="255" spans="1:226" ht="14.25" customHeight="1" x14ac:dyDescent="0.25">
      <c r="A255" s="1"/>
      <c r="B255" s="1"/>
      <c r="C255" s="1"/>
      <c r="D255" s="1"/>
      <c r="E255" s="1"/>
      <c r="F255" s="1"/>
      <c r="G255" s="1"/>
      <c r="H255" s="1"/>
      <c r="I255" s="1"/>
      <c r="J255" s="1"/>
      <c r="K255" s="1"/>
      <c r="L255" s="1"/>
      <c r="M255" s="1"/>
      <c r="N255" s="1"/>
      <c r="O255" s="1"/>
      <c r="P255" s="1"/>
      <c r="Q255" s="1"/>
      <c r="R255" s="1"/>
      <c r="S255" s="1"/>
      <c r="T255" s="14"/>
      <c r="U255" s="14"/>
      <c r="V255" s="14"/>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row>
    <row r="256" spans="1:226" ht="14.25" customHeight="1" x14ac:dyDescent="0.25">
      <c r="A256" s="1"/>
      <c r="B256" s="1"/>
      <c r="C256" s="1"/>
      <c r="D256" s="1"/>
      <c r="E256" s="1"/>
      <c r="F256" s="1"/>
      <c r="G256" s="1"/>
      <c r="H256" s="1"/>
      <c r="I256" s="1"/>
      <c r="J256" s="1"/>
      <c r="K256" s="1"/>
      <c r="L256" s="1"/>
      <c r="M256" s="1"/>
      <c r="N256" s="1"/>
      <c r="O256" s="1"/>
      <c r="P256" s="1"/>
      <c r="Q256" s="1"/>
      <c r="R256" s="1"/>
      <c r="S256" s="1"/>
      <c r="T256" s="14"/>
      <c r="U256" s="14"/>
      <c r="V256" s="14"/>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row>
    <row r="257" spans="1:226" ht="14.25" customHeight="1" x14ac:dyDescent="0.25">
      <c r="A257" s="1"/>
      <c r="B257" s="1"/>
      <c r="C257" s="1"/>
      <c r="D257" s="1"/>
      <c r="E257" s="1"/>
      <c r="F257" s="1"/>
      <c r="G257" s="1"/>
      <c r="H257" s="1"/>
      <c r="I257" s="1"/>
      <c r="J257" s="1"/>
      <c r="K257" s="1"/>
      <c r="L257" s="1"/>
      <c r="M257" s="1"/>
      <c r="N257" s="1"/>
      <c r="O257" s="1"/>
      <c r="P257" s="1"/>
      <c r="Q257" s="1"/>
      <c r="R257" s="1"/>
      <c r="S257" s="1"/>
      <c r="T257" s="14"/>
      <c r="U257" s="14"/>
      <c r="V257" s="14"/>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row>
    <row r="258" spans="1:226" ht="14.25" customHeight="1" x14ac:dyDescent="0.25">
      <c r="A258" s="1"/>
      <c r="B258" s="1"/>
      <c r="C258" s="1"/>
      <c r="D258" s="1"/>
      <c r="E258" s="1"/>
      <c r="F258" s="1"/>
      <c r="G258" s="1"/>
      <c r="H258" s="1"/>
      <c r="I258" s="1"/>
      <c r="J258" s="1"/>
      <c r="K258" s="1"/>
      <c r="L258" s="1"/>
      <c r="M258" s="1"/>
      <c r="N258" s="1"/>
      <c r="O258" s="1"/>
      <c r="P258" s="1"/>
      <c r="Q258" s="1"/>
      <c r="R258" s="1"/>
      <c r="S258" s="1"/>
      <c r="T258" s="14"/>
      <c r="U258" s="14"/>
      <c r="V258" s="14"/>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row>
    <row r="259" spans="1:226" ht="14.25" customHeight="1" x14ac:dyDescent="0.25">
      <c r="A259" s="1"/>
      <c r="B259" s="1"/>
      <c r="C259" s="1"/>
      <c r="D259" s="1"/>
      <c r="E259" s="1"/>
      <c r="F259" s="1"/>
      <c r="G259" s="1"/>
      <c r="H259" s="1"/>
      <c r="I259" s="1"/>
      <c r="J259" s="1"/>
      <c r="K259" s="1"/>
      <c r="L259" s="1"/>
      <c r="M259" s="1"/>
      <c r="N259" s="1"/>
      <c r="O259" s="1"/>
      <c r="P259" s="1"/>
      <c r="Q259" s="1"/>
      <c r="R259" s="1"/>
      <c r="S259" s="1"/>
      <c r="T259" s="14"/>
      <c r="U259" s="14"/>
      <c r="V259" s="14"/>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row>
    <row r="260" spans="1:226" ht="14.25" customHeight="1" x14ac:dyDescent="0.25">
      <c r="A260" s="1"/>
      <c r="B260" s="1"/>
      <c r="C260" s="1"/>
      <c r="D260" s="1"/>
      <c r="E260" s="1"/>
      <c r="F260" s="1"/>
      <c r="G260" s="1"/>
      <c r="H260" s="1"/>
      <c r="I260" s="1"/>
      <c r="J260" s="1"/>
      <c r="K260" s="1"/>
      <c r="L260" s="1"/>
      <c r="M260" s="1"/>
      <c r="N260" s="1"/>
      <c r="O260" s="1"/>
      <c r="P260" s="1"/>
      <c r="Q260" s="1"/>
      <c r="R260" s="1"/>
      <c r="S260" s="1"/>
      <c r="T260" s="14"/>
      <c r="U260" s="14"/>
      <c r="V260" s="14"/>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row>
    <row r="261" spans="1:226" ht="14.25" customHeight="1" x14ac:dyDescent="0.25">
      <c r="A261" s="1"/>
      <c r="B261" s="1"/>
      <c r="C261" s="1"/>
      <c r="D261" s="1"/>
      <c r="E261" s="1"/>
      <c r="F261" s="1"/>
      <c r="G261" s="1"/>
      <c r="H261" s="1"/>
      <c r="I261" s="1"/>
      <c r="J261" s="1"/>
      <c r="K261" s="1"/>
      <c r="L261" s="1"/>
      <c r="M261" s="1"/>
      <c r="N261" s="1"/>
      <c r="O261" s="1"/>
      <c r="P261" s="1"/>
      <c r="Q261" s="1"/>
      <c r="R261" s="1"/>
      <c r="S261" s="1"/>
      <c r="T261" s="14"/>
      <c r="U261" s="14"/>
      <c r="V261" s="14"/>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row>
    <row r="262" spans="1:226" ht="14.25" customHeight="1" x14ac:dyDescent="0.25">
      <c r="A262" s="1"/>
      <c r="B262" s="1"/>
      <c r="C262" s="1"/>
      <c r="D262" s="1"/>
      <c r="E262" s="1"/>
      <c r="F262" s="1"/>
      <c r="G262" s="1"/>
      <c r="H262" s="1"/>
      <c r="I262" s="1"/>
      <c r="J262" s="1"/>
      <c r="K262" s="1"/>
      <c r="L262" s="1"/>
      <c r="M262" s="1"/>
      <c r="N262" s="1"/>
      <c r="O262" s="1"/>
      <c r="P262" s="1"/>
      <c r="Q262" s="1"/>
      <c r="R262" s="1"/>
      <c r="S262" s="1"/>
      <c r="T262" s="14"/>
      <c r="U262" s="14"/>
      <c r="V262" s="14"/>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row>
    <row r="263" spans="1:226" ht="14.25" customHeight="1" x14ac:dyDescent="0.25">
      <c r="A263" s="1"/>
      <c r="B263" s="1"/>
      <c r="C263" s="1"/>
      <c r="D263" s="1"/>
      <c r="E263" s="1"/>
      <c r="F263" s="1"/>
      <c r="G263" s="1"/>
      <c r="H263" s="1"/>
      <c r="I263" s="1"/>
      <c r="J263" s="1"/>
      <c r="K263" s="1"/>
      <c r="L263" s="1"/>
      <c r="M263" s="1"/>
      <c r="N263" s="1"/>
      <c r="O263" s="1"/>
      <c r="P263" s="1"/>
      <c r="Q263" s="1"/>
      <c r="R263" s="1"/>
      <c r="S263" s="1"/>
      <c r="T263" s="14"/>
      <c r="U263" s="14"/>
      <c r="V263" s="14"/>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row>
    <row r="264" spans="1:226" ht="14.25" customHeight="1" x14ac:dyDescent="0.25">
      <c r="A264" s="1"/>
      <c r="B264" s="1"/>
      <c r="C264" s="1"/>
      <c r="D264" s="1"/>
      <c r="E264" s="1"/>
      <c r="F264" s="1"/>
      <c r="G264" s="1"/>
      <c r="H264" s="1"/>
      <c r="I264" s="1"/>
      <c r="J264" s="1"/>
      <c r="K264" s="1"/>
      <c r="L264" s="1"/>
      <c r="M264" s="1"/>
      <c r="N264" s="1"/>
      <c r="O264" s="1"/>
      <c r="P264" s="1"/>
      <c r="Q264" s="1"/>
      <c r="R264" s="1"/>
      <c r="S264" s="1"/>
      <c r="T264" s="14"/>
      <c r="U264" s="14"/>
      <c r="V264" s="14"/>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row>
    <row r="265" spans="1:226" ht="14.25" customHeight="1" x14ac:dyDescent="0.25">
      <c r="A265" s="1"/>
      <c r="B265" s="1"/>
      <c r="C265" s="1"/>
      <c r="D265" s="1"/>
      <c r="E265" s="1"/>
      <c r="F265" s="1"/>
      <c r="G265" s="1"/>
      <c r="H265" s="1"/>
      <c r="I265" s="1"/>
      <c r="J265" s="1"/>
      <c r="K265" s="1"/>
      <c r="L265" s="1"/>
      <c r="M265" s="1"/>
      <c r="N265" s="1"/>
      <c r="O265" s="1"/>
      <c r="P265" s="1"/>
      <c r="Q265" s="1"/>
      <c r="R265" s="1"/>
      <c r="S265" s="1"/>
      <c r="T265" s="14"/>
      <c r="U265" s="14"/>
      <c r="V265" s="14"/>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row>
    <row r="266" spans="1:226" ht="14.25" customHeight="1" x14ac:dyDescent="0.25">
      <c r="A266" s="1"/>
      <c r="B266" s="1"/>
      <c r="C266" s="1"/>
      <c r="D266" s="1"/>
      <c r="E266" s="1"/>
      <c r="F266" s="1"/>
      <c r="G266" s="1"/>
      <c r="H266" s="1"/>
      <c r="I266" s="1"/>
      <c r="J266" s="1"/>
      <c r="K266" s="1"/>
      <c r="L266" s="1"/>
      <c r="M266" s="1"/>
      <c r="N266" s="1"/>
      <c r="O266" s="1"/>
      <c r="P266" s="1"/>
      <c r="Q266" s="1"/>
      <c r="R266" s="1"/>
      <c r="S266" s="1"/>
      <c r="T266" s="14"/>
      <c r="U266" s="14"/>
      <c r="V266" s="14"/>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row>
    <row r="267" spans="1:226" ht="14.25" customHeight="1" x14ac:dyDescent="0.25">
      <c r="A267" s="1"/>
      <c r="B267" s="1"/>
      <c r="C267" s="1"/>
      <c r="D267" s="1"/>
      <c r="E267" s="1"/>
      <c r="F267" s="1"/>
      <c r="G267" s="1"/>
      <c r="H267" s="1"/>
      <c r="I267" s="1"/>
      <c r="J267" s="1"/>
      <c r="K267" s="1"/>
      <c r="L267" s="1"/>
      <c r="M267" s="1"/>
      <c r="N267" s="1"/>
      <c r="O267" s="1"/>
      <c r="P267" s="1"/>
      <c r="Q267" s="1"/>
      <c r="R267" s="1"/>
      <c r="S267" s="1"/>
      <c r="T267" s="14"/>
      <c r="U267" s="14"/>
      <c r="V267" s="14"/>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row>
    <row r="268" spans="1:226" ht="14.25" customHeight="1" x14ac:dyDescent="0.25">
      <c r="A268" s="1"/>
      <c r="B268" s="1"/>
      <c r="C268" s="1"/>
      <c r="D268" s="1"/>
      <c r="E268" s="1"/>
      <c r="F268" s="1"/>
      <c r="G268" s="1"/>
      <c r="H268" s="1"/>
      <c r="I268" s="1"/>
      <c r="J268" s="1"/>
      <c r="K268" s="1"/>
      <c r="L268" s="1"/>
      <c r="M268" s="1"/>
      <c r="N268" s="1"/>
      <c r="O268" s="1"/>
      <c r="P268" s="1"/>
      <c r="Q268" s="1"/>
      <c r="R268" s="1"/>
      <c r="S268" s="1"/>
      <c r="T268" s="14"/>
      <c r="U268" s="14"/>
      <c r="V268" s="14"/>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row>
    <row r="269" spans="1:226" ht="14.25" customHeight="1" x14ac:dyDescent="0.25">
      <c r="A269" s="1"/>
      <c r="B269" s="1"/>
      <c r="C269" s="1"/>
      <c r="D269" s="1"/>
      <c r="E269" s="1"/>
      <c r="F269" s="1"/>
      <c r="G269" s="1"/>
      <c r="H269" s="1"/>
      <c r="I269" s="1"/>
      <c r="J269" s="1"/>
      <c r="K269" s="1"/>
      <c r="L269" s="1"/>
      <c r="M269" s="1"/>
      <c r="N269" s="1"/>
      <c r="O269" s="1"/>
      <c r="P269" s="1"/>
      <c r="Q269" s="1"/>
      <c r="R269" s="1"/>
      <c r="S269" s="1"/>
      <c r="T269" s="14"/>
      <c r="U269" s="14"/>
      <c r="V269" s="14"/>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row>
    <row r="270" spans="1:226" ht="14.25" customHeight="1" x14ac:dyDescent="0.25">
      <c r="A270" s="1"/>
      <c r="B270" s="1"/>
      <c r="C270" s="1"/>
      <c r="D270" s="1"/>
      <c r="E270" s="1"/>
      <c r="F270" s="1"/>
      <c r="G270" s="1"/>
      <c r="H270" s="1"/>
      <c r="I270" s="1"/>
      <c r="J270" s="1"/>
      <c r="K270" s="1"/>
      <c r="L270" s="1"/>
      <c r="M270" s="1"/>
      <c r="N270" s="1"/>
      <c r="O270" s="1"/>
      <c r="P270" s="1"/>
      <c r="Q270" s="1"/>
      <c r="R270" s="1"/>
      <c r="S270" s="1"/>
      <c r="T270" s="14"/>
      <c r="U270" s="14"/>
      <c r="V270" s="14"/>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row>
    <row r="271" spans="1:226" ht="14.25" customHeight="1" x14ac:dyDescent="0.25">
      <c r="A271" s="1"/>
      <c r="B271" s="1"/>
      <c r="C271" s="1"/>
      <c r="D271" s="1"/>
      <c r="E271" s="1"/>
      <c r="F271" s="1"/>
      <c r="G271" s="1"/>
      <c r="H271" s="1"/>
      <c r="I271" s="1"/>
      <c r="J271" s="1"/>
      <c r="K271" s="1"/>
      <c r="L271" s="1"/>
      <c r="M271" s="1"/>
      <c r="N271" s="1"/>
      <c r="O271" s="1"/>
      <c r="P271" s="1"/>
      <c r="Q271" s="1"/>
      <c r="R271" s="1"/>
      <c r="S271" s="1"/>
      <c r="T271" s="14"/>
      <c r="U271" s="14"/>
      <c r="V271" s="14"/>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row>
    <row r="272" spans="1:226" ht="14.25" customHeight="1" x14ac:dyDescent="0.25">
      <c r="A272" s="1"/>
      <c r="B272" s="1"/>
      <c r="C272" s="1"/>
      <c r="D272" s="1"/>
      <c r="E272" s="1"/>
      <c r="F272" s="1"/>
      <c r="G272" s="1"/>
      <c r="H272" s="1"/>
      <c r="I272" s="1"/>
      <c r="J272" s="1"/>
      <c r="K272" s="1"/>
      <c r="L272" s="1"/>
      <c r="M272" s="1"/>
      <c r="N272" s="1"/>
      <c r="O272" s="1"/>
      <c r="P272" s="1"/>
      <c r="Q272" s="1"/>
      <c r="R272" s="1"/>
      <c r="S272" s="1"/>
      <c r="T272" s="14"/>
      <c r="U272" s="14"/>
      <c r="V272" s="14"/>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row>
    <row r="273" spans="1:226" ht="14.25" customHeight="1" x14ac:dyDescent="0.25">
      <c r="A273" s="1"/>
      <c r="B273" s="1"/>
      <c r="C273" s="1"/>
      <c r="D273" s="1"/>
      <c r="E273" s="1"/>
      <c r="F273" s="1"/>
      <c r="G273" s="1"/>
      <c r="H273" s="1"/>
      <c r="I273" s="1"/>
      <c r="J273" s="1"/>
      <c r="K273" s="1"/>
      <c r="L273" s="1"/>
      <c r="M273" s="1"/>
      <c r="N273" s="1"/>
      <c r="O273" s="1"/>
      <c r="P273" s="1"/>
      <c r="Q273" s="1"/>
      <c r="R273" s="1"/>
      <c r="S273" s="1"/>
      <c r="T273" s="14"/>
      <c r="U273" s="14"/>
      <c r="V273" s="14"/>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row>
    <row r="274" spans="1:226" ht="14.25" customHeight="1" x14ac:dyDescent="0.25">
      <c r="A274" s="1"/>
      <c r="B274" s="1"/>
      <c r="C274" s="1"/>
      <c r="D274" s="1"/>
      <c r="E274" s="1"/>
      <c r="F274" s="1"/>
      <c r="G274" s="1"/>
      <c r="H274" s="1"/>
      <c r="I274" s="1"/>
      <c r="J274" s="1"/>
      <c r="K274" s="1"/>
      <c r="L274" s="1"/>
      <c r="M274" s="1"/>
      <c r="N274" s="1"/>
      <c r="O274" s="1"/>
      <c r="P274" s="1"/>
      <c r="Q274" s="1"/>
      <c r="R274" s="1"/>
      <c r="S274" s="1"/>
      <c r="T274" s="14"/>
      <c r="U274" s="14"/>
      <c r="V274" s="14"/>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row>
    <row r="275" spans="1:226" ht="14.25" customHeight="1" x14ac:dyDescent="0.25">
      <c r="A275" s="1"/>
      <c r="B275" s="1"/>
      <c r="C275" s="1"/>
      <c r="D275" s="1"/>
      <c r="E275" s="1"/>
      <c r="F275" s="1"/>
      <c r="G275" s="1"/>
      <c r="H275" s="1"/>
      <c r="I275" s="1"/>
      <c r="J275" s="1"/>
      <c r="K275" s="1"/>
      <c r="L275" s="1"/>
      <c r="M275" s="1"/>
      <c r="N275" s="1"/>
      <c r="O275" s="1"/>
      <c r="P275" s="1"/>
      <c r="Q275" s="1"/>
      <c r="R275" s="1"/>
      <c r="S275" s="1"/>
      <c r="T275" s="14"/>
      <c r="U275" s="14"/>
      <c r="V275" s="14"/>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row>
    <row r="276" spans="1:226" ht="14.25" customHeight="1" x14ac:dyDescent="0.25">
      <c r="A276" s="1"/>
      <c r="B276" s="1"/>
      <c r="C276" s="1"/>
      <c r="D276" s="1"/>
      <c r="E276" s="1"/>
      <c r="F276" s="1"/>
      <c r="G276" s="1"/>
      <c r="H276" s="1"/>
      <c r="I276" s="1"/>
      <c r="J276" s="1"/>
      <c r="K276" s="1"/>
      <c r="L276" s="1"/>
      <c r="M276" s="1"/>
      <c r="N276" s="1"/>
      <c r="O276" s="1"/>
      <c r="P276" s="1"/>
      <c r="Q276" s="1"/>
      <c r="R276" s="1"/>
      <c r="S276" s="1"/>
      <c r="T276" s="14"/>
      <c r="U276" s="14"/>
      <c r="V276" s="14"/>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row>
    <row r="277" spans="1:226" ht="14.25" customHeight="1" x14ac:dyDescent="0.25">
      <c r="A277" s="1"/>
      <c r="B277" s="1"/>
      <c r="C277" s="1"/>
      <c r="D277" s="1"/>
      <c r="E277" s="1"/>
      <c r="F277" s="1"/>
      <c r="G277" s="1"/>
      <c r="H277" s="1"/>
      <c r="I277" s="1"/>
      <c r="J277" s="1"/>
      <c r="K277" s="1"/>
      <c r="L277" s="1"/>
      <c r="M277" s="1"/>
      <c r="N277" s="1"/>
      <c r="O277" s="1"/>
      <c r="P277" s="1"/>
      <c r="Q277" s="1"/>
      <c r="R277" s="1"/>
      <c r="S277" s="1"/>
      <c r="T277" s="14"/>
      <c r="U277" s="14"/>
      <c r="V277" s="14"/>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row>
    <row r="278" spans="1:226" ht="14.25" customHeight="1" x14ac:dyDescent="0.25">
      <c r="A278" s="1"/>
      <c r="B278" s="1"/>
      <c r="C278" s="1"/>
      <c r="D278" s="1"/>
      <c r="E278" s="1"/>
      <c r="F278" s="1"/>
      <c r="G278" s="1"/>
      <c r="H278" s="1"/>
      <c r="I278" s="1"/>
      <c r="J278" s="1"/>
      <c r="K278" s="1"/>
      <c r="L278" s="1"/>
      <c r="M278" s="1"/>
      <c r="N278" s="1"/>
      <c r="O278" s="1"/>
      <c r="P278" s="1"/>
      <c r="Q278" s="1"/>
      <c r="R278" s="1"/>
      <c r="S278" s="1"/>
      <c r="T278" s="14"/>
      <c r="U278" s="14"/>
      <c r="V278" s="14"/>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row>
    <row r="279" spans="1:226" ht="14.25" customHeight="1" x14ac:dyDescent="0.25">
      <c r="A279" s="1"/>
      <c r="B279" s="1"/>
      <c r="C279" s="1"/>
      <c r="D279" s="1"/>
      <c r="E279" s="1"/>
      <c r="F279" s="1"/>
      <c r="G279" s="1"/>
      <c r="H279" s="1"/>
      <c r="I279" s="1"/>
      <c r="J279" s="1"/>
      <c r="K279" s="1"/>
      <c r="L279" s="1"/>
      <c r="M279" s="1"/>
      <c r="N279" s="1"/>
      <c r="O279" s="1"/>
      <c r="P279" s="1"/>
      <c r="Q279" s="1"/>
      <c r="R279" s="1"/>
      <c r="S279" s="1"/>
      <c r="T279" s="14"/>
      <c r="U279" s="14"/>
      <c r="V279" s="14"/>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row>
    <row r="280" spans="1:226" ht="14.25" customHeight="1" x14ac:dyDescent="0.25">
      <c r="A280" s="1"/>
      <c r="B280" s="1"/>
      <c r="C280" s="1"/>
      <c r="D280" s="1"/>
      <c r="E280" s="1"/>
      <c r="F280" s="1"/>
      <c r="G280" s="1"/>
      <c r="H280" s="1"/>
      <c r="I280" s="1"/>
      <c r="J280" s="1"/>
      <c r="K280" s="1"/>
      <c r="L280" s="1"/>
      <c r="M280" s="1"/>
      <c r="N280" s="1"/>
      <c r="O280" s="1"/>
      <c r="P280" s="1"/>
      <c r="Q280" s="1"/>
      <c r="R280" s="1"/>
      <c r="S280" s="1"/>
      <c r="T280" s="14"/>
      <c r="U280" s="14"/>
      <c r="V280" s="14"/>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row>
    <row r="281" spans="1:226" ht="14.25" customHeight="1" x14ac:dyDescent="0.25">
      <c r="A281" s="1"/>
      <c r="B281" s="1"/>
      <c r="C281" s="1"/>
      <c r="D281" s="1"/>
      <c r="E281" s="1"/>
      <c r="F281" s="1"/>
      <c r="G281" s="1"/>
      <c r="H281" s="1"/>
      <c r="I281" s="1"/>
      <c r="J281" s="1"/>
      <c r="K281" s="1"/>
      <c r="L281" s="1"/>
      <c r="M281" s="1"/>
      <c r="N281" s="1"/>
      <c r="O281" s="1"/>
      <c r="P281" s="1"/>
      <c r="Q281" s="1"/>
      <c r="R281" s="1"/>
      <c r="S281" s="1"/>
      <c r="T281" s="14"/>
      <c r="U281" s="14"/>
      <c r="V281" s="14"/>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row>
    <row r="282" spans="1:226" ht="14.25" customHeight="1" x14ac:dyDescent="0.25">
      <c r="A282" s="1"/>
      <c r="B282" s="1"/>
      <c r="C282" s="1"/>
      <c r="D282" s="1"/>
      <c r="E282" s="1"/>
      <c r="F282" s="1"/>
      <c r="G282" s="1"/>
      <c r="H282" s="1"/>
      <c r="I282" s="1"/>
      <c r="J282" s="1"/>
      <c r="K282" s="1"/>
      <c r="L282" s="1"/>
      <c r="M282" s="1"/>
      <c r="N282" s="1"/>
      <c r="O282" s="1"/>
      <c r="P282" s="1"/>
      <c r="Q282" s="1"/>
      <c r="R282" s="1"/>
      <c r="S282" s="1"/>
      <c r="T282" s="14"/>
      <c r="U282" s="14"/>
      <c r="V282" s="14"/>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row>
    <row r="283" spans="1:226" ht="14.25" customHeight="1" x14ac:dyDescent="0.25">
      <c r="A283" s="1"/>
      <c r="B283" s="1"/>
      <c r="C283" s="1"/>
      <c r="D283" s="1"/>
      <c r="E283" s="1"/>
      <c r="F283" s="1"/>
      <c r="G283" s="1"/>
      <c r="H283" s="1"/>
      <c r="I283" s="1"/>
      <c r="J283" s="1"/>
      <c r="K283" s="1"/>
      <c r="L283" s="1"/>
      <c r="M283" s="1"/>
      <c r="N283" s="1"/>
      <c r="O283" s="1"/>
      <c r="P283" s="1"/>
      <c r="Q283" s="1"/>
      <c r="R283" s="1"/>
      <c r="S283" s="1"/>
      <c r="T283" s="14"/>
      <c r="U283" s="14"/>
      <c r="V283" s="14"/>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row>
    <row r="284" spans="1:226" ht="14.25" customHeight="1" x14ac:dyDescent="0.25">
      <c r="A284" s="1"/>
      <c r="B284" s="1"/>
      <c r="C284" s="1"/>
      <c r="D284" s="1"/>
      <c r="E284" s="1"/>
      <c r="F284" s="1"/>
      <c r="G284" s="1"/>
      <c r="H284" s="1"/>
      <c r="I284" s="1"/>
      <c r="J284" s="1"/>
      <c r="K284" s="1"/>
      <c r="L284" s="1"/>
      <c r="M284" s="1"/>
      <c r="N284" s="1"/>
      <c r="O284" s="1"/>
      <c r="P284" s="1"/>
      <c r="Q284" s="1"/>
      <c r="R284" s="1"/>
      <c r="S284" s="1"/>
      <c r="T284" s="14"/>
      <c r="U284" s="14"/>
      <c r="V284" s="14"/>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row>
    <row r="285" spans="1:226" ht="14.25" customHeight="1" x14ac:dyDescent="0.25">
      <c r="A285" s="1"/>
      <c r="B285" s="1"/>
      <c r="C285" s="1"/>
      <c r="D285" s="1"/>
      <c r="E285" s="1"/>
      <c r="F285" s="1"/>
      <c r="G285" s="1"/>
      <c r="H285" s="1"/>
      <c r="I285" s="1"/>
      <c r="J285" s="1"/>
      <c r="K285" s="1"/>
      <c r="L285" s="1"/>
      <c r="M285" s="1"/>
      <c r="N285" s="1"/>
      <c r="O285" s="1"/>
      <c r="P285" s="1"/>
      <c r="Q285" s="1"/>
      <c r="R285" s="1"/>
      <c r="S285" s="1"/>
      <c r="T285" s="14"/>
      <c r="U285" s="14"/>
      <c r="V285" s="14"/>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row>
    <row r="286" spans="1:226" ht="14.25" customHeight="1" x14ac:dyDescent="0.25">
      <c r="A286" s="1"/>
      <c r="B286" s="1"/>
      <c r="C286" s="1"/>
      <c r="D286" s="1"/>
      <c r="E286" s="1"/>
      <c r="F286" s="1"/>
      <c r="G286" s="1"/>
      <c r="H286" s="1"/>
      <c r="I286" s="1"/>
      <c r="J286" s="1"/>
      <c r="K286" s="1"/>
      <c r="L286" s="1"/>
      <c r="M286" s="1"/>
      <c r="N286" s="1"/>
      <c r="O286" s="1"/>
      <c r="P286" s="1"/>
      <c r="Q286" s="1"/>
      <c r="R286" s="1"/>
      <c r="S286" s="1"/>
      <c r="T286" s="14"/>
      <c r="U286" s="14"/>
      <c r="V286" s="14"/>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row>
    <row r="287" spans="1:226" ht="14.25" customHeight="1" x14ac:dyDescent="0.25">
      <c r="A287" s="1"/>
      <c r="B287" s="1"/>
      <c r="C287" s="1"/>
      <c r="D287" s="1"/>
      <c r="E287" s="1"/>
      <c r="F287" s="1"/>
      <c r="G287" s="1"/>
      <c r="H287" s="1"/>
      <c r="I287" s="1"/>
      <c r="J287" s="1"/>
      <c r="K287" s="1"/>
      <c r="L287" s="1"/>
      <c r="M287" s="1"/>
      <c r="N287" s="1"/>
      <c r="O287" s="1"/>
      <c r="P287" s="1"/>
      <c r="Q287" s="1"/>
      <c r="R287" s="1"/>
      <c r="S287" s="1"/>
      <c r="T287" s="14"/>
      <c r="U287" s="14"/>
      <c r="V287" s="14"/>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row>
    <row r="288" spans="1:226" ht="14.25" customHeight="1" x14ac:dyDescent="0.25">
      <c r="A288" s="1"/>
      <c r="B288" s="1"/>
      <c r="C288" s="1"/>
      <c r="D288" s="1"/>
      <c r="E288" s="1"/>
      <c r="F288" s="1"/>
      <c r="G288" s="1"/>
      <c r="H288" s="1"/>
      <c r="I288" s="1"/>
      <c r="J288" s="1"/>
      <c r="K288" s="1"/>
      <c r="L288" s="1"/>
      <c r="M288" s="1"/>
      <c r="N288" s="1"/>
      <c r="O288" s="1"/>
      <c r="P288" s="1"/>
      <c r="Q288" s="1"/>
      <c r="R288" s="1"/>
      <c r="S288" s="1"/>
      <c r="T288" s="14"/>
      <c r="U288" s="14"/>
      <c r="V288" s="14"/>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row>
    <row r="289" spans="1:226" ht="14.25" customHeight="1" x14ac:dyDescent="0.25">
      <c r="A289" s="1"/>
      <c r="B289" s="1"/>
      <c r="C289" s="1"/>
      <c r="D289" s="1"/>
      <c r="E289" s="1"/>
      <c r="F289" s="1"/>
      <c r="G289" s="1"/>
      <c r="H289" s="1"/>
      <c r="I289" s="1"/>
      <c r="J289" s="1"/>
      <c r="K289" s="1"/>
      <c r="L289" s="1"/>
      <c r="M289" s="1"/>
      <c r="N289" s="1"/>
      <c r="O289" s="1"/>
      <c r="P289" s="1"/>
      <c r="Q289" s="1"/>
      <c r="R289" s="1"/>
      <c r="S289" s="1"/>
      <c r="T289" s="14"/>
      <c r="U289" s="14"/>
      <c r="V289" s="14"/>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row>
    <row r="290" spans="1:226" ht="14.25" customHeight="1" x14ac:dyDescent="0.25">
      <c r="A290" s="1"/>
      <c r="B290" s="1"/>
      <c r="C290" s="1"/>
      <c r="D290" s="1"/>
      <c r="E290" s="1"/>
      <c r="F290" s="1"/>
      <c r="G290" s="1"/>
      <c r="H290" s="1"/>
      <c r="I290" s="1"/>
      <c r="J290" s="1"/>
      <c r="K290" s="1"/>
      <c r="L290" s="1"/>
      <c r="M290" s="1"/>
      <c r="N290" s="1"/>
      <c r="O290" s="1"/>
      <c r="P290" s="1"/>
      <c r="Q290" s="1"/>
      <c r="R290" s="1"/>
      <c r="S290" s="1"/>
      <c r="T290" s="14"/>
      <c r="U290" s="14"/>
      <c r="V290" s="14"/>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row>
    <row r="291" spans="1:226" ht="14.25" customHeight="1" x14ac:dyDescent="0.25">
      <c r="A291" s="1"/>
      <c r="B291" s="1"/>
      <c r="C291" s="1"/>
      <c r="D291" s="1"/>
      <c r="E291" s="1"/>
      <c r="F291" s="1"/>
      <c r="G291" s="1"/>
      <c r="H291" s="1"/>
      <c r="I291" s="1"/>
      <c r="J291" s="1"/>
      <c r="K291" s="1"/>
      <c r="L291" s="1"/>
      <c r="M291" s="1"/>
      <c r="N291" s="1"/>
      <c r="O291" s="1"/>
      <c r="P291" s="1"/>
      <c r="Q291" s="1"/>
      <c r="R291" s="1"/>
      <c r="S291" s="1"/>
      <c r="T291" s="14"/>
      <c r="U291" s="14"/>
      <c r="V291" s="14"/>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row>
    <row r="292" spans="1:226" ht="14.25" customHeight="1" x14ac:dyDescent="0.25">
      <c r="A292" s="1"/>
      <c r="B292" s="1"/>
      <c r="C292" s="1"/>
      <c r="D292" s="1"/>
      <c r="E292" s="1"/>
      <c r="F292" s="1"/>
      <c r="G292" s="1"/>
      <c r="H292" s="1"/>
      <c r="I292" s="1"/>
      <c r="J292" s="1"/>
      <c r="K292" s="1"/>
      <c r="L292" s="1"/>
      <c r="M292" s="1"/>
      <c r="N292" s="1"/>
      <c r="O292" s="1"/>
      <c r="P292" s="1"/>
      <c r="Q292" s="1"/>
      <c r="R292" s="1"/>
      <c r="S292" s="1"/>
      <c r="T292" s="14"/>
      <c r="U292" s="14"/>
      <c r="V292" s="14"/>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row>
    <row r="293" spans="1:226" ht="14.25" customHeight="1" x14ac:dyDescent="0.25">
      <c r="A293" s="1"/>
      <c r="B293" s="1"/>
      <c r="C293" s="1"/>
      <c r="D293" s="1"/>
      <c r="E293" s="1"/>
      <c r="F293" s="1"/>
      <c r="G293" s="1"/>
      <c r="H293" s="1"/>
      <c r="I293" s="1"/>
      <c r="J293" s="1"/>
      <c r="K293" s="1"/>
      <c r="L293" s="1"/>
      <c r="M293" s="1"/>
      <c r="N293" s="1"/>
      <c r="O293" s="1"/>
      <c r="P293" s="1"/>
      <c r="Q293" s="1"/>
      <c r="R293" s="1"/>
      <c r="S293" s="1"/>
      <c r="T293" s="14"/>
      <c r="U293" s="14"/>
      <c r="V293" s="14"/>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row>
    <row r="294" spans="1:226" ht="14.25" customHeight="1" x14ac:dyDescent="0.25">
      <c r="A294" s="1"/>
      <c r="B294" s="1"/>
      <c r="C294" s="1"/>
      <c r="D294" s="1"/>
      <c r="E294" s="1"/>
      <c r="F294" s="1"/>
      <c r="G294" s="1"/>
      <c r="H294" s="1"/>
      <c r="I294" s="1"/>
      <c r="J294" s="1"/>
      <c r="K294" s="1"/>
      <c r="L294" s="1"/>
      <c r="M294" s="1"/>
      <c r="N294" s="1"/>
      <c r="O294" s="1"/>
      <c r="P294" s="1"/>
      <c r="Q294" s="1"/>
      <c r="R294" s="1"/>
      <c r="S294" s="1"/>
      <c r="T294" s="14"/>
      <c r="U294" s="14"/>
      <c r="V294" s="14"/>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row>
    <row r="295" spans="1:226" ht="14.25" customHeight="1" x14ac:dyDescent="0.25">
      <c r="A295" s="1"/>
      <c r="B295" s="1"/>
      <c r="C295" s="1"/>
      <c r="D295" s="1"/>
      <c r="E295" s="1"/>
      <c r="F295" s="1"/>
      <c r="G295" s="1"/>
      <c r="H295" s="1"/>
      <c r="I295" s="1"/>
      <c r="J295" s="1"/>
      <c r="K295" s="1"/>
      <c r="L295" s="1"/>
      <c r="M295" s="1"/>
      <c r="N295" s="1"/>
      <c r="O295" s="1"/>
      <c r="P295" s="1"/>
      <c r="Q295" s="1"/>
      <c r="R295" s="1"/>
      <c r="S295" s="1"/>
      <c r="T295" s="14"/>
      <c r="U295" s="14"/>
      <c r="V295" s="14"/>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row>
    <row r="296" spans="1:226" ht="14.25" customHeight="1" x14ac:dyDescent="0.25">
      <c r="A296" s="1"/>
      <c r="B296" s="1"/>
      <c r="C296" s="1"/>
      <c r="D296" s="1"/>
      <c r="E296" s="1"/>
      <c r="F296" s="1"/>
      <c r="G296" s="1"/>
      <c r="H296" s="1"/>
      <c r="I296" s="1"/>
      <c r="J296" s="1"/>
      <c r="K296" s="1"/>
      <c r="L296" s="1"/>
      <c r="M296" s="1"/>
      <c r="N296" s="1"/>
      <c r="O296" s="1"/>
      <c r="P296" s="1"/>
      <c r="Q296" s="1"/>
      <c r="R296" s="1"/>
      <c r="S296" s="1"/>
      <c r="T296" s="14"/>
      <c r="U296" s="14"/>
      <c r="V296" s="14"/>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row>
    <row r="297" spans="1:226" ht="14.25" customHeight="1" x14ac:dyDescent="0.25">
      <c r="A297" s="1"/>
      <c r="B297" s="1"/>
      <c r="C297" s="1"/>
      <c r="D297" s="1"/>
      <c r="E297" s="1"/>
      <c r="F297" s="1"/>
      <c r="G297" s="1"/>
      <c r="H297" s="1"/>
      <c r="I297" s="1"/>
      <c r="J297" s="1"/>
      <c r="K297" s="1"/>
      <c r="L297" s="1"/>
      <c r="M297" s="1"/>
      <c r="N297" s="1"/>
      <c r="O297" s="1"/>
      <c r="P297" s="1"/>
      <c r="Q297" s="1"/>
      <c r="R297" s="1"/>
      <c r="S297" s="1"/>
      <c r="T297" s="14"/>
      <c r="U297" s="14"/>
      <c r="V297" s="14"/>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row>
    <row r="298" spans="1:226" ht="14.25" customHeight="1" x14ac:dyDescent="0.25">
      <c r="A298" s="1"/>
      <c r="B298" s="1"/>
      <c r="C298" s="1"/>
      <c r="D298" s="1"/>
      <c r="E298" s="1"/>
      <c r="F298" s="1"/>
      <c r="G298" s="1"/>
      <c r="H298" s="1"/>
      <c r="I298" s="1"/>
      <c r="J298" s="1"/>
      <c r="K298" s="1"/>
      <c r="L298" s="1"/>
      <c r="M298" s="1"/>
      <c r="N298" s="1"/>
      <c r="O298" s="1"/>
      <c r="P298" s="1"/>
      <c r="Q298" s="1"/>
      <c r="R298" s="1"/>
      <c r="S298" s="1"/>
      <c r="T298" s="14"/>
      <c r="U298" s="14"/>
      <c r="V298" s="14"/>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row>
    <row r="299" spans="1:226" ht="14.25" customHeight="1" x14ac:dyDescent="0.25">
      <c r="A299" s="1"/>
      <c r="B299" s="1"/>
      <c r="C299" s="1"/>
      <c r="D299" s="1"/>
      <c r="E299" s="1"/>
      <c r="F299" s="1"/>
      <c r="G299" s="1"/>
      <c r="H299" s="1"/>
      <c r="I299" s="1"/>
      <c r="J299" s="1"/>
      <c r="K299" s="1"/>
      <c r="L299" s="1"/>
      <c r="M299" s="1"/>
      <c r="N299" s="1"/>
      <c r="O299" s="1"/>
      <c r="P299" s="1"/>
      <c r="Q299" s="1"/>
      <c r="R299" s="1"/>
      <c r="S299" s="1"/>
      <c r="T299" s="14"/>
      <c r="U299" s="14"/>
      <c r="V299" s="14"/>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row>
    <row r="300" spans="1:226" ht="14.25" customHeight="1" x14ac:dyDescent="0.25">
      <c r="A300" s="1"/>
      <c r="B300" s="1"/>
      <c r="C300" s="1"/>
      <c r="D300" s="1"/>
      <c r="E300" s="1"/>
      <c r="F300" s="1"/>
      <c r="G300" s="1"/>
      <c r="H300" s="1"/>
      <c r="I300" s="1"/>
      <c r="J300" s="1"/>
      <c r="K300" s="1"/>
      <c r="L300" s="1"/>
      <c r="M300" s="1"/>
      <c r="N300" s="1"/>
      <c r="O300" s="1"/>
      <c r="P300" s="1"/>
      <c r="Q300" s="1"/>
      <c r="R300" s="1"/>
      <c r="S300" s="1"/>
      <c r="T300" s="14"/>
      <c r="U300" s="14"/>
      <c r="V300" s="14"/>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row>
    <row r="301" spans="1:226" ht="14.25" customHeight="1" x14ac:dyDescent="0.25">
      <c r="A301" s="1"/>
      <c r="B301" s="1"/>
      <c r="C301" s="1"/>
      <c r="D301" s="1"/>
      <c r="E301" s="1"/>
      <c r="F301" s="1"/>
      <c r="G301" s="1"/>
      <c r="H301" s="1"/>
      <c r="I301" s="1"/>
      <c r="J301" s="1"/>
      <c r="K301" s="1"/>
      <c r="L301" s="1"/>
      <c r="M301" s="1"/>
      <c r="N301" s="1"/>
      <c r="O301" s="1"/>
      <c r="P301" s="1"/>
      <c r="Q301" s="1"/>
      <c r="R301" s="1"/>
      <c r="S301" s="1"/>
      <c r="T301" s="14"/>
      <c r="U301" s="14"/>
      <c r="V301" s="14"/>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row>
    <row r="302" spans="1:226" ht="14.25" customHeight="1" x14ac:dyDescent="0.25">
      <c r="A302" s="1"/>
      <c r="B302" s="1"/>
      <c r="C302" s="1"/>
      <c r="D302" s="1"/>
      <c r="E302" s="1"/>
      <c r="F302" s="1"/>
      <c r="G302" s="1"/>
      <c r="H302" s="1"/>
      <c r="I302" s="1"/>
      <c r="J302" s="1"/>
      <c r="K302" s="1"/>
      <c r="L302" s="1"/>
      <c r="M302" s="1"/>
      <c r="N302" s="1"/>
      <c r="O302" s="1"/>
      <c r="P302" s="1"/>
      <c r="Q302" s="1"/>
      <c r="R302" s="1"/>
      <c r="S302" s="1"/>
      <c r="T302" s="14"/>
      <c r="U302" s="14"/>
      <c r="V302" s="14"/>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row>
    <row r="303" spans="1:226" ht="14.25" customHeight="1" x14ac:dyDescent="0.25">
      <c r="A303" s="1"/>
      <c r="B303" s="1"/>
      <c r="C303" s="1"/>
      <c r="D303" s="1"/>
      <c r="E303" s="1"/>
      <c r="F303" s="1"/>
      <c r="G303" s="1"/>
      <c r="H303" s="1"/>
      <c r="I303" s="1"/>
      <c r="J303" s="1"/>
      <c r="K303" s="1"/>
      <c r="L303" s="1"/>
      <c r="M303" s="1"/>
      <c r="N303" s="1"/>
      <c r="O303" s="1"/>
      <c r="P303" s="1"/>
      <c r="Q303" s="1"/>
      <c r="R303" s="1"/>
      <c r="S303" s="1"/>
      <c r="T303" s="14"/>
      <c r="U303" s="14"/>
      <c r="V303" s="14"/>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row>
    <row r="304" spans="1:226" ht="14.25" customHeight="1" x14ac:dyDescent="0.25">
      <c r="A304" s="1"/>
      <c r="B304" s="1"/>
      <c r="C304" s="1"/>
      <c r="D304" s="1"/>
      <c r="E304" s="1"/>
      <c r="F304" s="1"/>
      <c r="G304" s="1"/>
      <c r="H304" s="1"/>
      <c r="I304" s="1"/>
      <c r="J304" s="1"/>
      <c r="K304" s="1"/>
      <c r="L304" s="1"/>
      <c r="M304" s="1"/>
      <c r="N304" s="1"/>
      <c r="O304" s="1"/>
      <c r="P304" s="1"/>
      <c r="Q304" s="1"/>
      <c r="R304" s="1"/>
      <c r="S304" s="1"/>
      <c r="T304" s="14"/>
      <c r="U304" s="14"/>
      <c r="V304" s="14"/>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row>
    <row r="305" spans="1:226" ht="14.25" customHeight="1" x14ac:dyDescent="0.25">
      <c r="A305" s="1"/>
      <c r="B305" s="1"/>
      <c r="C305" s="1"/>
      <c r="D305" s="1"/>
      <c r="E305" s="1"/>
      <c r="F305" s="1"/>
      <c r="G305" s="1"/>
      <c r="H305" s="1"/>
      <c r="I305" s="1"/>
      <c r="J305" s="1"/>
      <c r="K305" s="1"/>
      <c r="L305" s="1"/>
      <c r="M305" s="1"/>
      <c r="N305" s="1"/>
      <c r="O305" s="1"/>
      <c r="P305" s="1"/>
      <c r="Q305" s="1"/>
      <c r="R305" s="1"/>
      <c r="S305" s="1"/>
      <c r="T305" s="14"/>
      <c r="U305" s="14"/>
      <c r="V305" s="14"/>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row>
    <row r="306" spans="1:226" ht="14.25" customHeight="1" x14ac:dyDescent="0.25">
      <c r="A306" s="1"/>
      <c r="B306" s="1"/>
      <c r="C306" s="1"/>
      <c r="D306" s="1"/>
      <c r="E306" s="1"/>
      <c r="F306" s="1"/>
      <c r="G306" s="1"/>
      <c r="H306" s="1"/>
      <c r="I306" s="1"/>
      <c r="J306" s="1"/>
      <c r="K306" s="1"/>
      <c r="L306" s="1"/>
      <c r="M306" s="1"/>
      <c r="N306" s="1"/>
      <c r="O306" s="1"/>
      <c r="P306" s="1"/>
      <c r="Q306" s="1"/>
      <c r="R306" s="1"/>
      <c r="S306" s="1"/>
      <c r="T306" s="14"/>
      <c r="U306" s="14"/>
      <c r="V306" s="14"/>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row>
    <row r="307" spans="1:226" ht="14.25" customHeight="1" x14ac:dyDescent="0.25">
      <c r="A307" s="1"/>
      <c r="B307" s="1"/>
      <c r="C307" s="1"/>
      <c r="D307" s="1"/>
      <c r="E307" s="1"/>
      <c r="F307" s="1"/>
      <c r="G307" s="1"/>
      <c r="H307" s="1"/>
      <c r="I307" s="1"/>
      <c r="J307" s="1"/>
      <c r="K307" s="1"/>
      <c r="L307" s="1"/>
      <c r="M307" s="1"/>
      <c r="N307" s="1"/>
      <c r="O307" s="1"/>
      <c r="P307" s="1"/>
      <c r="Q307" s="1"/>
      <c r="R307" s="1"/>
      <c r="S307" s="1"/>
      <c r="T307" s="14"/>
      <c r="U307" s="14"/>
      <c r="V307" s="14"/>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row>
    <row r="308" spans="1:226" ht="14.25" customHeight="1" x14ac:dyDescent="0.25">
      <c r="A308" s="1"/>
      <c r="B308" s="1"/>
      <c r="C308" s="1"/>
      <c r="D308" s="1"/>
      <c r="E308" s="1"/>
      <c r="F308" s="1"/>
      <c r="G308" s="1"/>
      <c r="H308" s="1"/>
      <c r="I308" s="1"/>
      <c r="J308" s="1"/>
      <c r="K308" s="1"/>
      <c r="L308" s="1"/>
      <c r="M308" s="1"/>
      <c r="N308" s="1"/>
      <c r="O308" s="1"/>
      <c r="P308" s="1"/>
      <c r="Q308" s="1"/>
      <c r="R308" s="1"/>
      <c r="S308" s="1"/>
      <c r="T308" s="14"/>
      <c r="U308" s="14"/>
      <c r="V308" s="14"/>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row>
    <row r="309" spans="1:226" ht="14.25" customHeight="1" x14ac:dyDescent="0.25">
      <c r="A309" s="1"/>
      <c r="B309" s="1"/>
      <c r="C309" s="1"/>
      <c r="D309" s="1"/>
      <c r="E309" s="1"/>
      <c r="F309" s="1"/>
      <c r="G309" s="1"/>
      <c r="H309" s="1"/>
      <c r="I309" s="1"/>
      <c r="J309" s="1"/>
      <c r="K309" s="1"/>
      <c r="L309" s="1"/>
      <c r="M309" s="1"/>
      <c r="N309" s="1"/>
      <c r="O309" s="1"/>
      <c r="P309" s="1"/>
      <c r="Q309" s="1"/>
      <c r="R309" s="1"/>
      <c r="S309" s="1"/>
      <c r="T309" s="14"/>
      <c r="U309" s="14"/>
      <c r="V309" s="14"/>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row>
    <row r="310" spans="1:226" ht="14.25" customHeight="1" x14ac:dyDescent="0.25">
      <c r="A310" s="1"/>
      <c r="B310" s="1"/>
      <c r="C310" s="1"/>
      <c r="D310" s="1"/>
      <c r="E310" s="1"/>
      <c r="F310" s="1"/>
      <c r="G310" s="1"/>
      <c r="H310" s="1"/>
      <c r="I310" s="1"/>
      <c r="J310" s="1"/>
      <c r="K310" s="1"/>
      <c r="L310" s="1"/>
      <c r="M310" s="1"/>
      <c r="N310" s="1"/>
      <c r="O310" s="1"/>
      <c r="P310" s="1"/>
      <c r="Q310" s="1"/>
      <c r="R310" s="1"/>
      <c r="S310" s="1"/>
      <c r="T310" s="14"/>
      <c r="U310" s="14"/>
      <c r="V310" s="14"/>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row>
    <row r="311" spans="1:226" ht="14.25" customHeight="1" x14ac:dyDescent="0.25">
      <c r="A311" s="1"/>
      <c r="B311" s="1"/>
      <c r="C311" s="1"/>
      <c r="D311" s="1"/>
      <c r="E311" s="1"/>
      <c r="F311" s="1"/>
      <c r="G311" s="1"/>
      <c r="H311" s="1"/>
      <c r="I311" s="1"/>
      <c r="J311" s="1"/>
      <c r="K311" s="1"/>
      <c r="L311" s="1"/>
      <c r="M311" s="1"/>
      <c r="N311" s="1"/>
      <c r="O311" s="1"/>
      <c r="P311" s="1"/>
      <c r="Q311" s="1"/>
      <c r="R311" s="1"/>
      <c r="S311" s="1"/>
      <c r="T311" s="14"/>
      <c r="U311" s="14"/>
      <c r="V311" s="14"/>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row>
    <row r="312" spans="1:226" ht="14.25" customHeight="1" x14ac:dyDescent="0.25">
      <c r="A312" s="1"/>
      <c r="B312" s="1"/>
      <c r="C312" s="1"/>
      <c r="D312" s="1"/>
      <c r="E312" s="1"/>
      <c r="F312" s="1"/>
      <c r="G312" s="1"/>
      <c r="H312" s="1"/>
      <c r="I312" s="1"/>
      <c r="J312" s="1"/>
      <c r="K312" s="1"/>
      <c r="L312" s="1"/>
      <c r="M312" s="1"/>
      <c r="N312" s="1"/>
      <c r="O312" s="1"/>
      <c r="P312" s="1"/>
      <c r="Q312" s="1"/>
      <c r="R312" s="1"/>
      <c r="S312" s="1"/>
      <c r="T312" s="14"/>
      <c r="U312" s="14"/>
      <c r="V312" s="14"/>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row>
    <row r="313" spans="1:226" ht="14.25" customHeight="1" x14ac:dyDescent="0.25">
      <c r="A313" s="1"/>
      <c r="B313" s="1"/>
      <c r="C313" s="1"/>
      <c r="D313" s="1"/>
      <c r="E313" s="1"/>
      <c r="F313" s="1"/>
      <c r="G313" s="1"/>
      <c r="H313" s="1"/>
      <c r="I313" s="1"/>
      <c r="J313" s="1"/>
      <c r="K313" s="1"/>
      <c r="L313" s="1"/>
      <c r="M313" s="1"/>
      <c r="N313" s="1"/>
      <c r="O313" s="1"/>
      <c r="P313" s="1"/>
      <c r="Q313" s="1"/>
      <c r="R313" s="1"/>
      <c r="S313" s="1"/>
      <c r="T313" s="14"/>
      <c r="U313" s="14"/>
      <c r="V313" s="14"/>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row>
    <row r="314" spans="1:226" ht="14.25" customHeight="1" x14ac:dyDescent="0.25">
      <c r="A314" s="1"/>
      <c r="B314" s="1"/>
      <c r="C314" s="1"/>
      <c r="D314" s="1"/>
      <c r="E314" s="1"/>
      <c r="F314" s="1"/>
      <c r="G314" s="1"/>
      <c r="H314" s="1"/>
      <c r="I314" s="1"/>
      <c r="J314" s="1"/>
      <c r="K314" s="1"/>
      <c r="L314" s="1"/>
      <c r="M314" s="1"/>
      <c r="N314" s="1"/>
      <c r="O314" s="1"/>
      <c r="P314" s="1"/>
      <c r="Q314" s="1"/>
      <c r="R314" s="1"/>
      <c r="S314" s="1"/>
      <c r="T314" s="14"/>
      <c r="U314" s="14"/>
      <c r="V314" s="14"/>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row>
    <row r="315" spans="1:226" ht="14.25" customHeight="1" x14ac:dyDescent="0.25">
      <c r="A315" s="1"/>
      <c r="B315" s="1"/>
      <c r="C315" s="1"/>
      <c r="D315" s="1"/>
      <c r="E315" s="1"/>
      <c r="F315" s="1"/>
      <c r="G315" s="1"/>
      <c r="H315" s="1"/>
      <c r="I315" s="1"/>
      <c r="J315" s="1"/>
      <c r="K315" s="1"/>
      <c r="L315" s="1"/>
      <c r="M315" s="1"/>
      <c r="N315" s="1"/>
      <c r="O315" s="1"/>
      <c r="P315" s="1"/>
      <c r="Q315" s="1"/>
      <c r="R315" s="1"/>
      <c r="S315" s="1"/>
      <c r="T315" s="14"/>
      <c r="U315" s="14"/>
      <c r="V315" s="14"/>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row>
    <row r="316" spans="1:226" ht="14.25" customHeight="1" x14ac:dyDescent="0.25">
      <c r="A316" s="1"/>
      <c r="B316" s="1"/>
      <c r="C316" s="1"/>
      <c r="D316" s="1"/>
      <c r="E316" s="1"/>
      <c r="F316" s="1"/>
      <c r="G316" s="1"/>
      <c r="H316" s="1"/>
      <c r="I316" s="1"/>
      <c r="J316" s="1"/>
      <c r="K316" s="1"/>
      <c r="L316" s="1"/>
      <c r="M316" s="1"/>
      <c r="N316" s="1"/>
      <c r="O316" s="1"/>
      <c r="P316" s="1"/>
      <c r="Q316" s="1"/>
      <c r="R316" s="1"/>
      <c r="S316" s="1"/>
      <c r="T316" s="14"/>
      <c r="U316" s="14"/>
      <c r="V316" s="14"/>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row>
    <row r="317" spans="1:226" ht="14.25" customHeight="1" x14ac:dyDescent="0.25">
      <c r="A317" s="1"/>
      <c r="B317" s="1"/>
      <c r="C317" s="1"/>
      <c r="D317" s="1"/>
      <c r="E317" s="1"/>
      <c r="F317" s="1"/>
      <c r="G317" s="1"/>
      <c r="H317" s="1"/>
      <c r="I317" s="1"/>
      <c r="J317" s="1"/>
      <c r="K317" s="1"/>
      <c r="L317" s="1"/>
      <c r="M317" s="1"/>
      <c r="N317" s="1"/>
      <c r="O317" s="1"/>
      <c r="P317" s="1"/>
      <c r="Q317" s="1"/>
      <c r="R317" s="1"/>
      <c r="S317" s="1"/>
      <c r="T317" s="14"/>
      <c r="U317" s="14"/>
      <c r="V317" s="14"/>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row>
    <row r="318" spans="1:226" ht="14.25" customHeight="1" x14ac:dyDescent="0.25">
      <c r="A318" s="1"/>
      <c r="B318" s="1"/>
      <c r="C318" s="1"/>
      <c r="D318" s="1"/>
      <c r="E318" s="1"/>
      <c r="F318" s="1"/>
      <c r="G318" s="1"/>
      <c r="H318" s="1"/>
      <c r="I318" s="1"/>
      <c r="J318" s="1"/>
      <c r="K318" s="1"/>
      <c r="L318" s="1"/>
      <c r="M318" s="1"/>
      <c r="N318" s="1"/>
      <c r="O318" s="1"/>
      <c r="P318" s="1"/>
      <c r="Q318" s="1"/>
      <c r="R318" s="1"/>
      <c r="S318" s="1"/>
      <c r="T318" s="14"/>
      <c r="U318" s="14"/>
      <c r="V318" s="14"/>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row>
    <row r="319" spans="1:226" ht="14.25" customHeight="1" x14ac:dyDescent="0.25">
      <c r="A319" s="1"/>
      <c r="B319" s="1"/>
      <c r="C319" s="1"/>
      <c r="D319" s="1"/>
      <c r="E319" s="1"/>
      <c r="F319" s="1"/>
      <c r="G319" s="1"/>
      <c r="H319" s="1"/>
      <c r="I319" s="1"/>
      <c r="J319" s="1"/>
      <c r="K319" s="1"/>
      <c r="L319" s="1"/>
      <c r="M319" s="1"/>
      <c r="N319" s="1"/>
      <c r="O319" s="1"/>
      <c r="P319" s="1"/>
      <c r="Q319" s="1"/>
      <c r="R319" s="1"/>
      <c r="S319" s="1"/>
      <c r="T319" s="14"/>
      <c r="U319" s="14"/>
      <c r="V319" s="14"/>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row>
    <row r="320" spans="1:226" ht="14.25" customHeight="1" x14ac:dyDescent="0.25">
      <c r="A320" s="1"/>
      <c r="B320" s="1"/>
      <c r="C320" s="1"/>
      <c r="D320" s="1"/>
      <c r="E320" s="1"/>
      <c r="F320" s="1"/>
      <c r="G320" s="1"/>
      <c r="H320" s="1"/>
      <c r="I320" s="1"/>
      <c r="J320" s="1"/>
      <c r="K320" s="1"/>
      <c r="L320" s="1"/>
      <c r="M320" s="1"/>
      <c r="N320" s="1"/>
      <c r="O320" s="1"/>
      <c r="P320" s="1"/>
      <c r="Q320" s="1"/>
      <c r="R320" s="1"/>
      <c r="S320" s="1"/>
      <c r="T320" s="14"/>
      <c r="U320" s="14"/>
      <c r="V320" s="14"/>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row>
    <row r="321" spans="1:226" ht="14.25" customHeight="1" x14ac:dyDescent="0.25">
      <c r="A321" s="1"/>
      <c r="B321" s="1"/>
      <c r="C321" s="1"/>
      <c r="D321" s="1"/>
      <c r="E321" s="1"/>
      <c r="F321" s="1"/>
      <c r="G321" s="1"/>
      <c r="H321" s="1"/>
      <c r="I321" s="1"/>
      <c r="J321" s="1"/>
      <c r="K321" s="1"/>
      <c r="L321" s="1"/>
      <c r="M321" s="1"/>
      <c r="N321" s="1"/>
      <c r="O321" s="1"/>
      <c r="P321" s="1"/>
      <c r="Q321" s="1"/>
      <c r="R321" s="1"/>
      <c r="S321" s="1"/>
      <c r="T321" s="14"/>
      <c r="U321" s="14"/>
      <c r="V321" s="14"/>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row>
    <row r="322" spans="1:226" ht="14.25" customHeight="1" x14ac:dyDescent="0.25">
      <c r="A322" s="1"/>
      <c r="B322" s="1"/>
      <c r="C322" s="1"/>
      <c r="D322" s="1"/>
      <c r="E322" s="1"/>
      <c r="F322" s="1"/>
      <c r="G322" s="1"/>
      <c r="H322" s="1"/>
      <c r="I322" s="1"/>
      <c r="J322" s="1"/>
      <c r="K322" s="1"/>
      <c r="L322" s="1"/>
      <c r="M322" s="1"/>
      <c r="N322" s="1"/>
      <c r="O322" s="1"/>
      <c r="P322" s="1"/>
      <c r="Q322" s="1"/>
      <c r="R322" s="1"/>
      <c r="S322" s="1"/>
      <c r="T322" s="14"/>
      <c r="U322" s="14"/>
      <c r="V322" s="14"/>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row>
    <row r="323" spans="1:226" ht="14.25" customHeight="1" x14ac:dyDescent="0.25">
      <c r="A323" s="1"/>
      <c r="B323" s="1"/>
      <c r="C323" s="1"/>
      <c r="D323" s="1"/>
      <c r="E323" s="1"/>
      <c r="F323" s="1"/>
      <c r="G323" s="1"/>
      <c r="H323" s="1"/>
      <c r="I323" s="1"/>
      <c r="J323" s="1"/>
      <c r="K323" s="1"/>
      <c r="L323" s="1"/>
      <c r="M323" s="1"/>
      <c r="N323" s="1"/>
      <c r="O323" s="1"/>
      <c r="P323" s="1"/>
      <c r="Q323" s="1"/>
      <c r="R323" s="1"/>
      <c r="S323" s="1"/>
      <c r="T323" s="14"/>
      <c r="U323" s="14"/>
      <c r="V323" s="14"/>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row>
    <row r="324" spans="1:226" ht="14.25" customHeight="1" x14ac:dyDescent="0.25">
      <c r="A324" s="1"/>
      <c r="B324" s="1"/>
      <c r="C324" s="1"/>
      <c r="D324" s="1"/>
      <c r="E324" s="1"/>
      <c r="F324" s="1"/>
      <c r="G324" s="1"/>
      <c r="H324" s="1"/>
      <c r="I324" s="1"/>
      <c r="J324" s="1"/>
      <c r="K324" s="1"/>
      <c r="L324" s="1"/>
      <c r="M324" s="1"/>
      <c r="N324" s="1"/>
      <c r="O324" s="1"/>
      <c r="P324" s="1"/>
      <c r="Q324" s="1"/>
      <c r="R324" s="1"/>
      <c r="S324" s="1"/>
      <c r="T324" s="14"/>
      <c r="U324" s="14"/>
      <c r="V324" s="14"/>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row>
    <row r="325" spans="1:226" ht="14.25" customHeight="1" x14ac:dyDescent="0.25">
      <c r="A325" s="1"/>
      <c r="B325" s="1"/>
      <c r="C325" s="1"/>
      <c r="D325" s="1"/>
      <c r="E325" s="1"/>
      <c r="F325" s="1"/>
      <c r="G325" s="1"/>
      <c r="H325" s="1"/>
      <c r="I325" s="1"/>
      <c r="J325" s="1"/>
      <c r="K325" s="1"/>
      <c r="L325" s="1"/>
      <c r="M325" s="1"/>
      <c r="N325" s="1"/>
      <c r="O325" s="1"/>
      <c r="P325" s="1"/>
      <c r="Q325" s="1"/>
      <c r="R325" s="1"/>
      <c r="S325" s="1"/>
      <c r="T325" s="14"/>
      <c r="U325" s="14"/>
      <c r="V325" s="14"/>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row>
    <row r="326" spans="1:226" ht="14.25" customHeight="1" x14ac:dyDescent="0.25">
      <c r="A326" s="1"/>
      <c r="B326" s="1"/>
      <c r="C326" s="1"/>
      <c r="D326" s="1"/>
      <c r="E326" s="1"/>
      <c r="F326" s="1"/>
      <c r="G326" s="1"/>
      <c r="H326" s="1"/>
      <c r="I326" s="1"/>
      <c r="J326" s="1"/>
      <c r="K326" s="1"/>
      <c r="L326" s="1"/>
      <c r="M326" s="1"/>
      <c r="N326" s="1"/>
      <c r="O326" s="1"/>
      <c r="P326" s="1"/>
      <c r="Q326" s="1"/>
      <c r="R326" s="1"/>
      <c r="S326" s="1"/>
      <c r="T326" s="14"/>
      <c r="U326" s="14"/>
      <c r="V326" s="14"/>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row>
    <row r="327" spans="1:226" ht="14.25" customHeight="1" x14ac:dyDescent="0.25">
      <c r="A327" s="1"/>
      <c r="B327" s="1"/>
      <c r="C327" s="1"/>
      <c r="D327" s="1"/>
      <c r="E327" s="1"/>
      <c r="F327" s="1"/>
      <c r="G327" s="1"/>
      <c r="H327" s="1"/>
      <c r="I327" s="1"/>
      <c r="J327" s="1"/>
      <c r="K327" s="1"/>
      <c r="L327" s="1"/>
      <c r="M327" s="1"/>
      <c r="N327" s="1"/>
      <c r="O327" s="1"/>
      <c r="P327" s="1"/>
      <c r="Q327" s="1"/>
      <c r="R327" s="1"/>
      <c r="S327" s="1"/>
      <c r="T327" s="14"/>
      <c r="U327" s="14"/>
      <c r="V327" s="14"/>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row>
    <row r="328" spans="1:226" ht="14.25" customHeight="1" x14ac:dyDescent="0.25">
      <c r="A328" s="1"/>
      <c r="B328" s="1"/>
      <c r="C328" s="1"/>
      <c r="D328" s="1"/>
      <c r="E328" s="1"/>
      <c r="F328" s="1"/>
      <c r="G328" s="1"/>
      <c r="H328" s="1"/>
      <c r="I328" s="1"/>
      <c r="J328" s="1"/>
      <c r="K328" s="1"/>
      <c r="L328" s="1"/>
      <c r="M328" s="1"/>
      <c r="N328" s="1"/>
      <c r="O328" s="1"/>
      <c r="P328" s="1"/>
      <c r="Q328" s="1"/>
      <c r="R328" s="1"/>
      <c r="S328" s="1"/>
      <c r="T328" s="14"/>
      <c r="U328" s="14"/>
      <c r="V328" s="14"/>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row>
    <row r="329" spans="1:226" ht="14.25" customHeight="1" x14ac:dyDescent="0.25">
      <c r="A329" s="1"/>
      <c r="B329" s="1"/>
      <c r="C329" s="1"/>
      <c r="D329" s="1"/>
      <c r="E329" s="1"/>
      <c r="F329" s="1"/>
      <c r="G329" s="1"/>
      <c r="H329" s="1"/>
      <c r="I329" s="1"/>
      <c r="J329" s="1"/>
      <c r="K329" s="1"/>
      <c r="L329" s="1"/>
      <c r="M329" s="1"/>
      <c r="N329" s="1"/>
      <c r="O329" s="1"/>
      <c r="P329" s="1"/>
      <c r="Q329" s="1"/>
      <c r="R329" s="1"/>
      <c r="S329" s="1"/>
      <c r="T329" s="14"/>
      <c r="U329" s="14"/>
      <c r="V329" s="14"/>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row>
    <row r="330" spans="1:226" ht="14.25" customHeight="1" x14ac:dyDescent="0.25">
      <c r="A330" s="1"/>
      <c r="B330" s="1"/>
      <c r="C330" s="1"/>
      <c r="D330" s="1"/>
      <c r="E330" s="1"/>
      <c r="F330" s="1"/>
      <c r="G330" s="1"/>
      <c r="H330" s="1"/>
      <c r="I330" s="1"/>
      <c r="J330" s="1"/>
      <c r="K330" s="1"/>
      <c r="L330" s="1"/>
      <c r="M330" s="1"/>
      <c r="N330" s="1"/>
      <c r="O330" s="1"/>
      <c r="P330" s="1"/>
      <c r="Q330" s="1"/>
      <c r="R330" s="1"/>
      <c r="S330" s="1"/>
      <c r="T330" s="14"/>
      <c r="U330" s="14"/>
      <c r="V330" s="14"/>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row>
    <row r="331" spans="1:226" ht="14.25" customHeight="1" x14ac:dyDescent="0.25">
      <c r="A331" s="1"/>
      <c r="B331" s="1"/>
      <c r="C331" s="1"/>
      <c r="D331" s="1"/>
      <c r="E331" s="1"/>
      <c r="F331" s="1"/>
      <c r="G331" s="1"/>
      <c r="H331" s="1"/>
      <c r="I331" s="1"/>
      <c r="J331" s="1"/>
      <c r="K331" s="1"/>
      <c r="L331" s="1"/>
      <c r="M331" s="1"/>
      <c r="N331" s="1"/>
      <c r="O331" s="1"/>
      <c r="P331" s="1"/>
      <c r="Q331" s="1"/>
      <c r="R331" s="1"/>
      <c r="S331" s="1"/>
      <c r="T331" s="14"/>
      <c r="U331" s="14"/>
      <c r="V331" s="14"/>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row>
    <row r="332" spans="1:226" ht="14.25" customHeight="1" x14ac:dyDescent="0.25">
      <c r="A332" s="1"/>
      <c r="B332" s="1"/>
      <c r="C332" s="1"/>
      <c r="D332" s="1"/>
      <c r="E332" s="1"/>
      <c r="F332" s="1"/>
      <c r="G332" s="1"/>
      <c r="H332" s="1"/>
      <c r="I332" s="1"/>
      <c r="J332" s="1"/>
      <c r="K332" s="1"/>
      <c r="L332" s="1"/>
      <c r="M332" s="1"/>
      <c r="N332" s="1"/>
      <c r="O332" s="1"/>
      <c r="P332" s="1"/>
      <c r="Q332" s="1"/>
      <c r="R332" s="1"/>
      <c r="S332" s="1"/>
      <c r="T332" s="14"/>
      <c r="U332" s="14"/>
      <c r="V332" s="14"/>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row>
    <row r="333" spans="1:226" ht="14.25" customHeight="1" x14ac:dyDescent="0.25">
      <c r="A333" s="1"/>
      <c r="B333" s="1"/>
      <c r="C333" s="1"/>
      <c r="D333" s="1"/>
      <c r="E333" s="1"/>
      <c r="F333" s="1"/>
      <c r="G333" s="1"/>
      <c r="H333" s="1"/>
      <c r="I333" s="1"/>
      <c r="J333" s="1"/>
      <c r="K333" s="1"/>
      <c r="L333" s="1"/>
      <c r="M333" s="1"/>
      <c r="N333" s="1"/>
      <c r="O333" s="1"/>
      <c r="P333" s="1"/>
      <c r="Q333" s="1"/>
      <c r="R333" s="1"/>
      <c r="S333" s="1"/>
      <c r="T333" s="14"/>
      <c r="U333" s="14"/>
      <c r="V333" s="14"/>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row>
    <row r="334" spans="1:226" ht="14.25" customHeight="1" x14ac:dyDescent="0.25">
      <c r="A334" s="1"/>
      <c r="B334" s="1"/>
      <c r="C334" s="1"/>
      <c r="D334" s="1"/>
      <c r="E334" s="1"/>
      <c r="F334" s="1"/>
      <c r="G334" s="1"/>
      <c r="H334" s="1"/>
      <c r="I334" s="1"/>
      <c r="J334" s="1"/>
      <c r="K334" s="1"/>
      <c r="L334" s="1"/>
      <c r="M334" s="1"/>
      <c r="N334" s="1"/>
      <c r="O334" s="1"/>
      <c r="P334" s="1"/>
      <c r="Q334" s="1"/>
      <c r="R334" s="1"/>
      <c r="S334" s="1"/>
      <c r="T334" s="14"/>
      <c r="U334" s="14"/>
      <c r="V334" s="14"/>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row>
    <row r="335" spans="1:226" ht="14.25" customHeight="1" x14ac:dyDescent="0.25">
      <c r="A335" s="1"/>
      <c r="B335" s="1"/>
      <c r="C335" s="1"/>
      <c r="D335" s="1"/>
      <c r="E335" s="1"/>
      <c r="F335" s="1"/>
      <c r="G335" s="1"/>
      <c r="H335" s="1"/>
      <c r="I335" s="1"/>
      <c r="J335" s="1"/>
      <c r="K335" s="1"/>
      <c r="L335" s="1"/>
      <c r="M335" s="1"/>
      <c r="N335" s="1"/>
      <c r="O335" s="1"/>
      <c r="P335" s="1"/>
      <c r="Q335" s="1"/>
      <c r="R335" s="1"/>
      <c r="S335" s="1"/>
      <c r="T335" s="14"/>
      <c r="U335" s="14"/>
      <c r="V335" s="14"/>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row>
    <row r="336" spans="1:226" ht="14.25" customHeight="1" x14ac:dyDescent="0.25">
      <c r="A336" s="1"/>
      <c r="B336" s="1"/>
      <c r="C336" s="1"/>
      <c r="D336" s="1"/>
      <c r="E336" s="1"/>
      <c r="F336" s="1"/>
      <c r="G336" s="1"/>
      <c r="H336" s="1"/>
      <c r="I336" s="1"/>
      <c r="J336" s="1"/>
      <c r="K336" s="1"/>
      <c r="L336" s="1"/>
      <c r="M336" s="1"/>
      <c r="N336" s="1"/>
      <c r="O336" s="1"/>
      <c r="P336" s="1"/>
      <c r="Q336" s="1"/>
      <c r="R336" s="1"/>
      <c r="S336" s="1"/>
      <c r="T336" s="14"/>
      <c r="U336" s="14"/>
      <c r="V336" s="14"/>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row>
    <row r="337" spans="1:226" ht="14.25" customHeight="1" x14ac:dyDescent="0.25">
      <c r="A337" s="1"/>
      <c r="B337" s="1"/>
      <c r="C337" s="1"/>
      <c r="D337" s="1"/>
      <c r="E337" s="1"/>
      <c r="F337" s="1"/>
      <c r="G337" s="1"/>
      <c r="H337" s="1"/>
      <c r="I337" s="1"/>
      <c r="J337" s="1"/>
      <c r="K337" s="1"/>
      <c r="L337" s="1"/>
      <c r="M337" s="1"/>
      <c r="N337" s="1"/>
      <c r="O337" s="1"/>
      <c r="P337" s="1"/>
      <c r="Q337" s="1"/>
      <c r="R337" s="1"/>
      <c r="S337" s="1"/>
      <c r="T337" s="14"/>
      <c r="U337" s="14"/>
      <c r="V337" s="14"/>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row>
    <row r="338" spans="1:226" ht="14.25" customHeight="1" x14ac:dyDescent="0.25">
      <c r="A338" s="1"/>
      <c r="B338" s="1"/>
      <c r="C338" s="1"/>
      <c r="D338" s="1"/>
      <c r="E338" s="1"/>
      <c r="F338" s="1"/>
      <c r="G338" s="1"/>
      <c r="H338" s="1"/>
      <c r="I338" s="1"/>
      <c r="J338" s="1"/>
      <c r="K338" s="1"/>
      <c r="L338" s="1"/>
      <c r="M338" s="1"/>
      <c r="N338" s="1"/>
      <c r="O338" s="1"/>
      <c r="P338" s="1"/>
      <c r="Q338" s="1"/>
      <c r="R338" s="1"/>
      <c r="S338" s="1"/>
      <c r="T338" s="14"/>
      <c r="U338" s="14"/>
      <c r="V338" s="14"/>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row>
    <row r="339" spans="1:226" ht="14.25" customHeight="1" x14ac:dyDescent="0.25">
      <c r="A339" s="1"/>
      <c r="B339" s="1"/>
      <c r="C339" s="1"/>
      <c r="D339" s="1"/>
      <c r="E339" s="1"/>
      <c r="F339" s="1"/>
      <c r="G339" s="1"/>
      <c r="H339" s="1"/>
      <c r="I339" s="1"/>
      <c r="J339" s="1"/>
      <c r="K339" s="1"/>
      <c r="L339" s="1"/>
      <c r="M339" s="1"/>
      <c r="N339" s="1"/>
      <c r="O339" s="1"/>
      <c r="P339" s="1"/>
      <c r="Q339" s="1"/>
      <c r="R339" s="1"/>
      <c r="S339" s="1"/>
      <c r="T339" s="14"/>
      <c r="U339" s="14"/>
      <c r="V339" s="14"/>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row>
    <row r="340" spans="1:226" ht="14.25" customHeight="1" x14ac:dyDescent="0.25">
      <c r="A340" s="1"/>
      <c r="B340" s="1"/>
      <c r="C340" s="1"/>
      <c r="D340" s="1"/>
      <c r="E340" s="1"/>
      <c r="F340" s="1"/>
      <c r="G340" s="1"/>
      <c r="H340" s="1"/>
      <c r="I340" s="1"/>
      <c r="J340" s="1"/>
      <c r="K340" s="1"/>
      <c r="L340" s="1"/>
      <c r="M340" s="1"/>
      <c r="N340" s="1"/>
      <c r="O340" s="1"/>
      <c r="P340" s="1"/>
      <c r="Q340" s="1"/>
      <c r="R340" s="1"/>
      <c r="S340" s="1"/>
      <c r="T340" s="14"/>
      <c r="U340" s="14"/>
      <c r="V340" s="14"/>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row>
    <row r="341" spans="1:226" ht="14.25" customHeight="1" x14ac:dyDescent="0.25">
      <c r="A341" s="1"/>
      <c r="B341" s="1"/>
      <c r="C341" s="1"/>
      <c r="D341" s="1"/>
      <c r="E341" s="1"/>
      <c r="F341" s="1"/>
      <c r="G341" s="1"/>
      <c r="H341" s="1"/>
      <c r="I341" s="1"/>
      <c r="J341" s="1"/>
      <c r="K341" s="1"/>
      <c r="L341" s="1"/>
      <c r="M341" s="1"/>
      <c r="N341" s="1"/>
      <c r="O341" s="1"/>
      <c r="P341" s="1"/>
      <c r="Q341" s="1"/>
      <c r="R341" s="1"/>
      <c r="S341" s="1"/>
      <c r="T341" s="14"/>
      <c r="U341" s="14"/>
      <c r="V341" s="14"/>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row>
    <row r="342" spans="1:226" ht="14.25" customHeight="1" x14ac:dyDescent="0.25">
      <c r="A342" s="1"/>
      <c r="B342" s="1"/>
      <c r="C342" s="1"/>
      <c r="D342" s="1"/>
      <c r="E342" s="1"/>
      <c r="F342" s="1"/>
      <c r="G342" s="1"/>
      <c r="H342" s="1"/>
      <c r="I342" s="1"/>
      <c r="J342" s="1"/>
      <c r="K342" s="1"/>
      <c r="L342" s="1"/>
      <c r="M342" s="1"/>
      <c r="N342" s="1"/>
      <c r="O342" s="1"/>
      <c r="P342" s="1"/>
      <c r="Q342" s="1"/>
      <c r="R342" s="1"/>
      <c r="S342" s="1"/>
      <c r="T342" s="14"/>
      <c r="U342" s="14"/>
      <c r="V342" s="14"/>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row>
    <row r="343" spans="1:226" ht="14.25" customHeight="1" x14ac:dyDescent="0.25">
      <c r="A343" s="1"/>
      <c r="B343" s="1"/>
      <c r="C343" s="1"/>
      <c r="D343" s="1"/>
      <c r="E343" s="1"/>
      <c r="F343" s="1"/>
      <c r="G343" s="1"/>
      <c r="H343" s="1"/>
      <c r="I343" s="1"/>
      <c r="J343" s="1"/>
      <c r="K343" s="1"/>
      <c r="L343" s="1"/>
      <c r="M343" s="1"/>
      <c r="N343" s="1"/>
      <c r="O343" s="1"/>
      <c r="P343" s="1"/>
      <c r="Q343" s="1"/>
      <c r="R343" s="1"/>
      <c r="S343" s="1"/>
      <c r="T343" s="14"/>
      <c r="U343" s="14"/>
      <c r="V343" s="14"/>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row>
    <row r="344" spans="1:226" ht="14.25" customHeight="1" x14ac:dyDescent="0.25">
      <c r="A344" s="1"/>
      <c r="B344" s="1"/>
      <c r="C344" s="1"/>
      <c r="D344" s="1"/>
      <c r="E344" s="1"/>
      <c r="F344" s="1"/>
      <c r="G344" s="1"/>
      <c r="H344" s="1"/>
      <c r="I344" s="1"/>
      <c r="J344" s="1"/>
      <c r="K344" s="1"/>
      <c r="L344" s="1"/>
      <c r="M344" s="1"/>
      <c r="N344" s="1"/>
      <c r="O344" s="1"/>
      <c r="P344" s="1"/>
      <c r="Q344" s="1"/>
      <c r="R344" s="1"/>
      <c r="S344" s="1"/>
      <c r="T344" s="14"/>
      <c r="U344" s="14"/>
      <c r="V344" s="14"/>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row>
    <row r="345" spans="1:226" ht="14.25" customHeight="1" x14ac:dyDescent="0.25">
      <c r="A345" s="1"/>
      <c r="B345" s="1"/>
      <c r="C345" s="1"/>
      <c r="D345" s="1"/>
      <c r="E345" s="1"/>
      <c r="F345" s="1"/>
      <c r="G345" s="1"/>
      <c r="H345" s="1"/>
      <c r="I345" s="1"/>
      <c r="J345" s="1"/>
      <c r="K345" s="1"/>
      <c r="L345" s="1"/>
      <c r="M345" s="1"/>
      <c r="N345" s="1"/>
      <c r="O345" s="1"/>
      <c r="P345" s="1"/>
      <c r="Q345" s="1"/>
      <c r="R345" s="1"/>
      <c r="S345" s="1"/>
      <c r="T345" s="14"/>
      <c r="U345" s="14"/>
      <c r="V345" s="14"/>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row>
    <row r="346" spans="1:226" ht="14.25" customHeight="1" x14ac:dyDescent="0.25">
      <c r="A346" s="1"/>
      <c r="B346" s="1"/>
      <c r="C346" s="1"/>
      <c r="D346" s="1"/>
      <c r="E346" s="1"/>
      <c r="F346" s="1"/>
      <c r="G346" s="1"/>
      <c r="H346" s="1"/>
      <c r="I346" s="1"/>
      <c r="J346" s="1"/>
      <c r="K346" s="1"/>
      <c r="L346" s="1"/>
      <c r="M346" s="1"/>
      <c r="N346" s="1"/>
      <c r="O346" s="1"/>
      <c r="P346" s="1"/>
      <c r="Q346" s="1"/>
      <c r="R346" s="1"/>
      <c r="S346" s="1"/>
      <c r="T346" s="14"/>
      <c r="U346" s="14"/>
      <c r="V346" s="14"/>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row>
    <row r="347" spans="1:226" ht="14.25" customHeight="1" x14ac:dyDescent="0.25">
      <c r="A347" s="1"/>
      <c r="B347" s="1"/>
      <c r="C347" s="1"/>
      <c r="D347" s="1"/>
      <c r="E347" s="1"/>
      <c r="F347" s="1"/>
      <c r="G347" s="1"/>
      <c r="H347" s="1"/>
      <c r="I347" s="1"/>
      <c r="J347" s="1"/>
      <c r="K347" s="1"/>
      <c r="L347" s="1"/>
      <c r="M347" s="1"/>
      <c r="N347" s="1"/>
      <c r="O347" s="1"/>
      <c r="P347" s="1"/>
      <c r="Q347" s="1"/>
      <c r="R347" s="1"/>
      <c r="S347" s="1"/>
      <c r="T347" s="14"/>
      <c r="U347" s="14"/>
      <c r="V347" s="14"/>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row>
    <row r="348" spans="1:226" ht="14.25" customHeight="1" x14ac:dyDescent="0.25">
      <c r="A348" s="1"/>
      <c r="B348" s="1"/>
      <c r="C348" s="1"/>
      <c r="D348" s="1"/>
      <c r="E348" s="1"/>
      <c r="F348" s="1"/>
      <c r="G348" s="1"/>
      <c r="H348" s="1"/>
      <c r="I348" s="1"/>
      <c r="J348" s="1"/>
      <c r="K348" s="1"/>
      <c r="L348" s="1"/>
      <c r="M348" s="1"/>
      <c r="N348" s="1"/>
      <c r="O348" s="1"/>
      <c r="P348" s="1"/>
      <c r="Q348" s="1"/>
      <c r="R348" s="1"/>
      <c r="S348" s="1"/>
      <c r="T348" s="14"/>
      <c r="U348" s="14"/>
      <c r="V348" s="14"/>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row>
    <row r="349" spans="1:226" ht="14.25" customHeight="1" x14ac:dyDescent="0.25">
      <c r="A349" s="1"/>
      <c r="B349" s="1"/>
      <c r="C349" s="1"/>
      <c r="D349" s="1"/>
      <c r="E349" s="1"/>
      <c r="F349" s="1"/>
      <c r="G349" s="1"/>
      <c r="H349" s="1"/>
      <c r="I349" s="1"/>
      <c r="J349" s="1"/>
      <c r="K349" s="1"/>
      <c r="L349" s="1"/>
      <c r="M349" s="1"/>
      <c r="N349" s="1"/>
      <c r="O349" s="1"/>
      <c r="P349" s="1"/>
      <c r="Q349" s="1"/>
      <c r="R349" s="1"/>
      <c r="S349" s="1"/>
      <c r="T349" s="14"/>
      <c r="U349" s="14"/>
      <c r="V349" s="14"/>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row>
    <row r="350" spans="1:226" ht="14.25" customHeight="1" x14ac:dyDescent="0.25">
      <c r="A350" s="1"/>
      <c r="B350" s="1"/>
      <c r="C350" s="1"/>
      <c r="D350" s="1"/>
      <c r="E350" s="1"/>
      <c r="F350" s="1"/>
      <c r="G350" s="1"/>
      <c r="H350" s="1"/>
      <c r="I350" s="1"/>
      <c r="J350" s="1"/>
      <c r="K350" s="1"/>
      <c r="L350" s="1"/>
      <c r="M350" s="1"/>
      <c r="N350" s="1"/>
      <c r="O350" s="1"/>
      <c r="P350" s="1"/>
      <c r="Q350" s="1"/>
      <c r="R350" s="1"/>
      <c r="S350" s="1"/>
      <c r="T350" s="14"/>
      <c r="U350" s="14"/>
      <c r="V350" s="14"/>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row>
    <row r="351" spans="1:226" ht="14.25" customHeight="1" x14ac:dyDescent="0.25">
      <c r="A351" s="1"/>
      <c r="B351" s="1"/>
      <c r="C351" s="1"/>
      <c r="D351" s="1"/>
      <c r="E351" s="1"/>
      <c r="F351" s="1"/>
      <c r="G351" s="1"/>
      <c r="H351" s="1"/>
      <c r="I351" s="1"/>
      <c r="J351" s="1"/>
      <c r="K351" s="1"/>
      <c r="L351" s="1"/>
      <c r="M351" s="1"/>
      <c r="N351" s="1"/>
      <c r="O351" s="1"/>
      <c r="P351" s="1"/>
      <c r="Q351" s="1"/>
      <c r="R351" s="1"/>
      <c r="S351" s="1"/>
      <c r="T351" s="14"/>
      <c r="U351" s="14"/>
      <c r="V351" s="14"/>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row>
    <row r="352" spans="1:226" ht="14.25" customHeight="1" x14ac:dyDescent="0.25">
      <c r="A352" s="1"/>
      <c r="B352" s="1"/>
      <c r="C352" s="1"/>
      <c r="D352" s="1"/>
      <c r="E352" s="1"/>
      <c r="F352" s="1"/>
      <c r="G352" s="1"/>
      <c r="H352" s="1"/>
      <c r="I352" s="1"/>
      <c r="J352" s="1"/>
      <c r="K352" s="1"/>
      <c r="L352" s="1"/>
      <c r="M352" s="1"/>
      <c r="N352" s="1"/>
      <c r="O352" s="1"/>
      <c r="P352" s="1"/>
      <c r="Q352" s="1"/>
      <c r="R352" s="1"/>
      <c r="S352" s="1"/>
      <c r="T352" s="14"/>
      <c r="U352" s="14"/>
      <c r="V352" s="14"/>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row>
    <row r="353" spans="1:226" ht="14.25" customHeight="1" x14ac:dyDescent="0.25">
      <c r="A353" s="1"/>
      <c r="B353" s="1"/>
      <c r="C353" s="1"/>
      <c r="D353" s="1"/>
      <c r="E353" s="1"/>
      <c r="F353" s="1"/>
      <c r="G353" s="1"/>
      <c r="H353" s="1"/>
      <c r="I353" s="1"/>
      <c r="J353" s="1"/>
      <c r="K353" s="1"/>
      <c r="L353" s="1"/>
      <c r="M353" s="1"/>
      <c r="N353" s="1"/>
      <c r="O353" s="1"/>
      <c r="P353" s="1"/>
      <c r="Q353" s="1"/>
      <c r="R353" s="1"/>
      <c r="S353" s="1"/>
      <c r="T353" s="14"/>
      <c r="U353" s="14"/>
      <c r="V353" s="14"/>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row>
    <row r="354" spans="1:226" ht="14.25" customHeight="1" x14ac:dyDescent="0.25">
      <c r="A354" s="1"/>
      <c r="B354" s="1"/>
      <c r="C354" s="1"/>
      <c r="D354" s="1"/>
      <c r="E354" s="1"/>
      <c r="F354" s="1"/>
      <c r="G354" s="1"/>
      <c r="H354" s="1"/>
      <c r="I354" s="1"/>
      <c r="J354" s="1"/>
      <c r="K354" s="1"/>
      <c r="L354" s="1"/>
      <c r="M354" s="1"/>
      <c r="N354" s="1"/>
      <c r="O354" s="1"/>
      <c r="P354" s="1"/>
      <c r="Q354" s="1"/>
      <c r="R354" s="1"/>
      <c r="S354" s="1"/>
      <c r="T354" s="14"/>
      <c r="U354" s="14"/>
      <c r="V354" s="14"/>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row>
    <row r="355" spans="1:226" ht="14.25" customHeight="1" x14ac:dyDescent="0.25">
      <c r="A355" s="1"/>
      <c r="B355" s="1"/>
      <c r="C355" s="1"/>
      <c r="D355" s="1"/>
      <c r="E355" s="1"/>
      <c r="F355" s="1"/>
      <c r="G355" s="1"/>
      <c r="H355" s="1"/>
      <c r="I355" s="1"/>
      <c r="J355" s="1"/>
      <c r="K355" s="1"/>
      <c r="L355" s="1"/>
      <c r="M355" s="1"/>
      <c r="N355" s="1"/>
      <c r="O355" s="1"/>
      <c r="P355" s="1"/>
      <c r="Q355" s="1"/>
      <c r="R355" s="1"/>
      <c r="S355" s="1"/>
      <c r="T355" s="14"/>
      <c r="U355" s="14"/>
      <c r="V355" s="14"/>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row>
    <row r="356" spans="1:226" ht="14.25" customHeight="1" x14ac:dyDescent="0.25">
      <c r="A356" s="1"/>
      <c r="B356" s="1"/>
      <c r="C356" s="1"/>
      <c r="D356" s="1"/>
      <c r="E356" s="1"/>
      <c r="F356" s="1"/>
      <c r="G356" s="1"/>
      <c r="H356" s="1"/>
      <c r="I356" s="1"/>
      <c r="J356" s="1"/>
      <c r="K356" s="1"/>
      <c r="L356" s="1"/>
      <c r="M356" s="1"/>
      <c r="N356" s="1"/>
      <c r="O356" s="1"/>
      <c r="P356" s="1"/>
      <c r="Q356" s="1"/>
      <c r="R356" s="1"/>
      <c r="S356" s="1"/>
      <c r="T356" s="14"/>
      <c r="U356" s="14"/>
      <c r="V356" s="14"/>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row>
    <row r="357" spans="1:226" ht="14.25" customHeight="1" x14ac:dyDescent="0.25">
      <c r="A357" s="1"/>
      <c r="B357" s="1"/>
      <c r="C357" s="1"/>
      <c r="D357" s="1"/>
      <c r="E357" s="1"/>
      <c r="F357" s="1"/>
      <c r="G357" s="1"/>
      <c r="H357" s="1"/>
      <c r="I357" s="1"/>
      <c r="J357" s="1"/>
      <c r="K357" s="1"/>
      <c r="L357" s="1"/>
      <c r="M357" s="1"/>
      <c r="N357" s="1"/>
      <c r="O357" s="1"/>
      <c r="P357" s="1"/>
      <c r="Q357" s="1"/>
      <c r="R357" s="1"/>
      <c r="S357" s="1"/>
      <c r="T357" s="14"/>
      <c r="U357" s="14"/>
      <c r="V357" s="14"/>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row>
    <row r="358" spans="1:226" ht="14.25" customHeight="1" x14ac:dyDescent="0.25">
      <c r="A358" s="1"/>
      <c r="B358" s="1"/>
      <c r="C358" s="1"/>
      <c r="D358" s="1"/>
      <c r="E358" s="1"/>
      <c r="F358" s="1"/>
      <c r="G358" s="1"/>
      <c r="H358" s="1"/>
      <c r="I358" s="1"/>
      <c r="J358" s="1"/>
      <c r="K358" s="1"/>
      <c r="L358" s="1"/>
      <c r="M358" s="1"/>
      <c r="N358" s="1"/>
      <c r="O358" s="1"/>
      <c r="P358" s="1"/>
      <c r="Q358" s="1"/>
      <c r="R358" s="1"/>
      <c r="S358" s="1"/>
      <c r="T358" s="14"/>
      <c r="U358" s="14"/>
      <c r="V358" s="14"/>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row>
    <row r="359" spans="1:226" ht="14.25" customHeight="1" x14ac:dyDescent="0.25">
      <c r="A359" s="1"/>
      <c r="B359" s="1"/>
      <c r="C359" s="1"/>
      <c r="D359" s="1"/>
      <c r="E359" s="1"/>
      <c r="F359" s="1"/>
      <c r="G359" s="1"/>
      <c r="H359" s="1"/>
      <c r="I359" s="1"/>
      <c r="J359" s="1"/>
      <c r="K359" s="1"/>
      <c r="L359" s="1"/>
      <c r="M359" s="1"/>
      <c r="N359" s="1"/>
      <c r="O359" s="1"/>
      <c r="P359" s="1"/>
      <c r="Q359" s="1"/>
      <c r="R359" s="1"/>
      <c r="S359" s="1"/>
      <c r="T359" s="14"/>
      <c r="U359" s="14"/>
      <c r="V359" s="14"/>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row>
    <row r="360" spans="1:226" ht="14.25" customHeight="1" x14ac:dyDescent="0.25">
      <c r="A360" s="1"/>
      <c r="B360" s="1"/>
      <c r="C360" s="1"/>
      <c r="D360" s="1"/>
      <c r="E360" s="1"/>
      <c r="F360" s="1"/>
      <c r="G360" s="1"/>
      <c r="H360" s="1"/>
      <c r="I360" s="1"/>
      <c r="J360" s="1"/>
      <c r="K360" s="1"/>
      <c r="L360" s="1"/>
      <c r="M360" s="1"/>
      <c r="N360" s="1"/>
      <c r="O360" s="1"/>
      <c r="P360" s="1"/>
      <c r="Q360" s="1"/>
      <c r="R360" s="1"/>
      <c r="S360" s="1"/>
      <c r="T360" s="14"/>
      <c r="U360" s="14"/>
      <c r="V360" s="14"/>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row>
    <row r="361" spans="1:226" ht="14.25" customHeight="1" x14ac:dyDescent="0.25">
      <c r="A361" s="1"/>
      <c r="B361" s="1"/>
      <c r="C361" s="1"/>
      <c r="D361" s="1"/>
      <c r="E361" s="1"/>
      <c r="F361" s="1"/>
      <c r="G361" s="1"/>
      <c r="H361" s="1"/>
      <c r="I361" s="1"/>
      <c r="J361" s="1"/>
      <c r="K361" s="1"/>
      <c r="L361" s="1"/>
      <c r="M361" s="1"/>
      <c r="N361" s="1"/>
      <c r="O361" s="1"/>
      <c r="P361" s="1"/>
      <c r="Q361" s="1"/>
      <c r="R361" s="1"/>
      <c r="S361" s="1"/>
      <c r="T361" s="14"/>
      <c r="U361" s="14"/>
      <c r="V361" s="14"/>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row>
    <row r="362" spans="1:226" ht="14.25" customHeight="1" x14ac:dyDescent="0.25">
      <c r="A362" s="1"/>
      <c r="B362" s="1"/>
      <c r="C362" s="1"/>
      <c r="D362" s="1"/>
      <c r="E362" s="1"/>
      <c r="F362" s="1"/>
      <c r="G362" s="1"/>
      <c r="H362" s="1"/>
      <c r="I362" s="1"/>
      <c r="J362" s="1"/>
      <c r="K362" s="1"/>
      <c r="L362" s="1"/>
      <c r="M362" s="1"/>
      <c r="N362" s="1"/>
      <c r="O362" s="1"/>
      <c r="P362" s="1"/>
      <c r="Q362" s="1"/>
      <c r="R362" s="1"/>
      <c r="S362" s="1"/>
      <c r="T362" s="14"/>
      <c r="U362" s="14"/>
      <c r="V362" s="14"/>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row>
    <row r="363" spans="1:226" ht="14.25" customHeight="1" x14ac:dyDescent="0.25">
      <c r="A363" s="1"/>
      <c r="B363" s="1"/>
      <c r="C363" s="1"/>
      <c r="D363" s="1"/>
      <c r="E363" s="1"/>
      <c r="F363" s="1"/>
      <c r="G363" s="1"/>
      <c r="H363" s="1"/>
      <c r="I363" s="1"/>
      <c r="J363" s="1"/>
      <c r="K363" s="1"/>
      <c r="L363" s="1"/>
      <c r="M363" s="1"/>
      <c r="N363" s="1"/>
      <c r="O363" s="1"/>
      <c r="P363" s="1"/>
      <c r="Q363" s="1"/>
      <c r="R363" s="1"/>
      <c r="S363" s="1"/>
      <c r="T363" s="14"/>
      <c r="U363" s="14"/>
      <c r="V363" s="14"/>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row>
    <row r="364" spans="1:226" ht="14.25" customHeight="1" x14ac:dyDescent="0.25">
      <c r="A364" s="1"/>
      <c r="B364" s="1"/>
      <c r="C364" s="1"/>
      <c r="D364" s="1"/>
      <c r="E364" s="1"/>
      <c r="F364" s="1"/>
      <c r="G364" s="1"/>
      <c r="H364" s="1"/>
      <c r="I364" s="1"/>
      <c r="J364" s="1"/>
      <c r="K364" s="1"/>
      <c r="L364" s="1"/>
      <c r="M364" s="1"/>
      <c r="N364" s="1"/>
      <c r="O364" s="1"/>
      <c r="P364" s="1"/>
      <c r="Q364" s="1"/>
      <c r="R364" s="1"/>
      <c r="S364" s="1"/>
      <c r="T364" s="14"/>
      <c r="U364" s="14"/>
      <c r="V364" s="14"/>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row>
    <row r="365" spans="1:226" ht="14.25" customHeight="1" x14ac:dyDescent="0.25">
      <c r="A365" s="1"/>
      <c r="B365" s="1"/>
      <c r="C365" s="1"/>
      <c r="D365" s="1"/>
      <c r="E365" s="1"/>
      <c r="F365" s="1"/>
      <c r="G365" s="1"/>
      <c r="H365" s="1"/>
      <c r="I365" s="1"/>
      <c r="J365" s="1"/>
      <c r="K365" s="1"/>
      <c r="L365" s="1"/>
      <c r="M365" s="1"/>
      <c r="N365" s="1"/>
      <c r="O365" s="1"/>
      <c r="P365" s="1"/>
      <c r="Q365" s="1"/>
      <c r="R365" s="1"/>
      <c r="S365" s="1"/>
      <c r="T365" s="14"/>
      <c r="U365" s="14"/>
      <c r="V365" s="14"/>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row>
    <row r="366" spans="1:226" ht="14.25" customHeight="1" x14ac:dyDescent="0.25">
      <c r="A366" s="1"/>
      <c r="B366" s="1"/>
      <c r="C366" s="1"/>
      <c r="D366" s="1"/>
      <c r="E366" s="1"/>
      <c r="F366" s="1"/>
      <c r="G366" s="1"/>
      <c r="H366" s="1"/>
      <c r="I366" s="1"/>
      <c r="J366" s="1"/>
      <c r="K366" s="1"/>
      <c r="L366" s="1"/>
      <c r="M366" s="1"/>
      <c r="N366" s="1"/>
      <c r="O366" s="1"/>
      <c r="P366" s="1"/>
      <c r="Q366" s="1"/>
      <c r="R366" s="1"/>
      <c r="S366" s="1"/>
      <c r="T366" s="14"/>
      <c r="U366" s="14"/>
      <c r="V366" s="14"/>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row>
    <row r="367" spans="1:226" ht="14.25" customHeight="1" x14ac:dyDescent="0.25">
      <c r="A367" s="1"/>
      <c r="B367" s="1"/>
      <c r="C367" s="1"/>
      <c r="D367" s="1"/>
      <c r="E367" s="1"/>
      <c r="F367" s="1"/>
      <c r="G367" s="1"/>
      <c r="H367" s="1"/>
      <c r="I367" s="1"/>
      <c r="J367" s="1"/>
      <c r="K367" s="1"/>
      <c r="L367" s="1"/>
      <c r="M367" s="1"/>
      <c r="N367" s="1"/>
      <c r="O367" s="1"/>
      <c r="P367" s="1"/>
      <c r="Q367" s="1"/>
      <c r="R367" s="1"/>
      <c r="S367" s="1"/>
      <c r="T367" s="14"/>
      <c r="U367" s="14"/>
      <c r="V367" s="14"/>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row>
    <row r="368" spans="1:226" ht="14.25" customHeight="1" x14ac:dyDescent="0.25">
      <c r="A368" s="1"/>
      <c r="B368" s="1"/>
      <c r="C368" s="1"/>
      <c r="D368" s="1"/>
      <c r="E368" s="1"/>
      <c r="F368" s="1"/>
      <c r="G368" s="1"/>
      <c r="H368" s="1"/>
      <c r="I368" s="1"/>
      <c r="J368" s="1"/>
      <c r="K368" s="1"/>
      <c r="L368" s="1"/>
      <c r="M368" s="1"/>
      <c r="N368" s="1"/>
      <c r="O368" s="1"/>
      <c r="P368" s="1"/>
      <c r="Q368" s="1"/>
      <c r="R368" s="1"/>
      <c r="S368" s="1"/>
      <c r="T368" s="14"/>
      <c r="U368" s="14"/>
      <c r="V368" s="14"/>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row>
    <row r="369" spans="1:226" ht="14.25" customHeight="1" x14ac:dyDescent="0.25">
      <c r="A369" s="1"/>
      <c r="B369" s="1"/>
      <c r="C369" s="1"/>
      <c r="D369" s="1"/>
      <c r="E369" s="1"/>
      <c r="F369" s="1"/>
      <c r="G369" s="1"/>
      <c r="H369" s="1"/>
      <c r="I369" s="1"/>
      <c r="J369" s="1"/>
      <c r="K369" s="1"/>
      <c r="L369" s="1"/>
      <c r="M369" s="1"/>
      <c r="N369" s="1"/>
      <c r="O369" s="1"/>
      <c r="P369" s="1"/>
      <c r="Q369" s="1"/>
      <c r="R369" s="1"/>
      <c r="S369" s="1"/>
      <c r="T369" s="14"/>
      <c r="U369" s="14"/>
      <c r="V369" s="14"/>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row>
    <row r="370" spans="1:226" ht="14.25" customHeight="1" x14ac:dyDescent="0.25">
      <c r="A370" s="1"/>
      <c r="B370" s="1"/>
      <c r="C370" s="1"/>
      <c r="D370" s="1"/>
      <c r="E370" s="1"/>
      <c r="F370" s="1"/>
      <c r="G370" s="1"/>
      <c r="H370" s="1"/>
      <c r="I370" s="1"/>
      <c r="J370" s="1"/>
      <c r="K370" s="1"/>
      <c r="L370" s="1"/>
      <c r="M370" s="1"/>
      <c r="N370" s="1"/>
      <c r="O370" s="1"/>
      <c r="P370" s="1"/>
      <c r="Q370" s="1"/>
      <c r="R370" s="1"/>
      <c r="S370" s="1"/>
      <c r="T370" s="14"/>
      <c r="U370" s="14"/>
      <c r="V370" s="14"/>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row>
    <row r="371" spans="1:226" ht="14.25" customHeight="1" x14ac:dyDescent="0.25">
      <c r="A371" s="1"/>
      <c r="B371" s="1"/>
      <c r="C371" s="1"/>
      <c r="D371" s="1"/>
      <c r="E371" s="1"/>
      <c r="F371" s="1"/>
      <c r="G371" s="1"/>
      <c r="H371" s="1"/>
      <c r="I371" s="1"/>
      <c r="J371" s="1"/>
      <c r="K371" s="1"/>
      <c r="L371" s="1"/>
      <c r="M371" s="1"/>
      <c r="N371" s="1"/>
      <c r="O371" s="1"/>
      <c r="P371" s="1"/>
      <c r="Q371" s="1"/>
      <c r="R371" s="1"/>
      <c r="S371" s="1"/>
      <c r="T371" s="14"/>
      <c r="U371" s="14"/>
      <c r="V371" s="14"/>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row>
    <row r="372" spans="1:226" ht="14.25" customHeight="1" x14ac:dyDescent="0.25">
      <c r="A372" s="1"/>
      <c r="B372" s="1"/>
      <c r="C372" s="1"/>
      <c r="D372" s="1"/>
      <c r="E372" s="1"/>
      <c r="F372" s="1"/>
      <c r="G372" s="1"/>
      <c r="H372" s="1"/>
      <c r="I372" s="1"/>
      <c r="J372" s="1"/>
      <c r="K372" s="1"/>
      <c r="L372" s="1"/>
      <c r="M372" s="1"/>
      <c r="N372" s="1"/>
      <c r="O372" s="1"/>
      <c r="P372" s="1"/>
      <c r="Q372" s="1"/>
      <c r="R372" s="1"/>
      <c r="S372" s="1"/>
      <c r="T372" s="14"/>
      <c r="U372" s="14"/>
      <c r="V372" s="14"/>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row>
    <row r="373" spans="1:226" ht="14.25" customHeight="1" x14ac:dyDescent="0.25">
      <c r="A373" s="1"/>
      <c r="B373" s="1"/>
      <c r="C373" s="1"/>
      <c r="D373" s="1"/>
      <c r="E373" s="1"/>
      <c r="F373" s="1"/>
      <c r="G373" s="1"/>
      <c r="H373" s="1"/>
      <c r="I373" s="1"/>
      <c r="J373" s="1"/>
      <c r="K373" s="1"/>
      <c r="L373" s="1"/>
      <c r="M373" s="1"/>
      <c r="N373" s="1"/>
      <c r="O373" s="1"/>
      <c r="P373" s="1"/>
      <c r="Q373" s="1"/>
      <c r="R373" s="1"/>
      <c r="S373" s="1"/>
      <c r="T373" s="14"/>
      <c r="U373" s="14"/>
      <c r="V373" s="14"/>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row>
    <row r="374" spans="1:226" ht="14.25" customHeight="1" x14ac:dyDescent="0.25">
      <c r="A374" s="1"/>
      <c r="B374" s="1"/>
      <c r="C374" s="1"/>
      <c r="D374" s="1"/>
      <c r="E374" s="1"/>
      <c r="F374" s="1"/>
      <c r="G374" s="1"/>
      <c r="H374" s="1"/>
      <c r="I374" s="1"/>
      <c r="J374" s="1"/>
      <c r="K374" s="1"/>
      <c r="L374" s="1"/>
      <c r="M374" s="1"/>
      <c r="N374" s="1"/>
      <c r="O374" s="1"/>
      <c r="P374" s="1"/>
      <c r="Q374" s="1"/>
      <c r="R374" s="1"/>
      <c r="S374" s="1"/>
      <c r="T374" s="14"/>
      <c r="U374" s="14"/>
      <c r="V374" s="14"/>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row>
    <row r="375" spans="1:226" ht="14.25" customHeight="1" x14ac:dyDescent="0.25">
      <c r="A375" s="1"/>
      <c r="B375" s="1"/>
      <c r="C375" s="1"/>
      <c r="D375" s="1"/>
      <c r="E375" s="1"/>
      <c r="F375" s="1"/>
      <c r="G375" s="1"/>
      <c r="H375" s="1"/>
      <c r="I375" s="1"/>
      <c r="J375" s="1"/>
      <c r="K375" s="1"/>
      <c r="L375" s="1"/>
      <c r="M375" s="1"/>
      <c r="N375" s="1"/>
      <c r="O375" s="1"/>
      <c r="P375" s="1"/>
      <c r="Q375" s="1"/>
      <c r="R375" s="1"/>
      <c r="S375" s="1"/>
      <c r="T375" s="14"/>
      <c r="U375" s="14"/>
      <c r="V375" s="14"/>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row>
    <row r="376" spans="1:226" ht="14.25" customHeight="1" x14ac:dyDescent="0.25">
      <c r="A376" s="1"/>
      <c r="B376" s="1"/>
      <c r="C376" s="1"/>
      <c r="D376" s="1"/>
      <c r="E376" s="1"/>
      <c r="F376" s="1"/>
      <c r="G376" s="1"/>
      <c r="H376" s="1"/>
      <c r="I376" s="1"/>
      <c r="J376" s="1"/>
      <c r="K376" s="1"/>
      <c r="L376" s="1"/>
      <c r="M376" s="1"/>
      <c r="N376" s="1"/>
      <c r="O376" s="1"/>
      <c r="P376" s="1"/>
      <c r="Q376" s="1"/>
      <c r="R376" s="1"/>
      <c r="S376" s="1"/>
      <c r="T376" s="14"/>
      <c r="U376" s="14"/>
      <c r="V376" s="14"/>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row>
    <row r="377" spans="1:226" ht="14.25" customHeight="1" x14ac:dyDescent="0.25">
      <c r="A377" s="1"/>
      <c r="B377" s="1"/>
      <c r="C377" s="1"/>
      <c r="D377" s="1"/>
      <c r="E377" s="1"/>
      <c r="F377" s="1"/>
      <c r="G377" s="1"/>
      <c r="H377" s="1"/>
      <c r="I377" s="1"/>
      <c r="J377" s="1"/>
      <c r="K377" s="1"/>
      <c r="L377" s="1"/>
      <c r="M377" s="1"/>
      <c r="N377" s="1"/>
      <c r="O377" s="1"/>
      <c r="P377" s="1"/>
      <c r="Q377" s="1"/>
      <c r="R377" s="1"/>
      <c r="S377" s="1"/>
      <c r="T377" s="14"/>
      <c r="U377" s="14"/>
      <c r="V377" s="14"/>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row>
    <row r="378" spans="1:226" ht="14.25" customHeight="1" x14ac:dyDescent="0.25">
      <c r="A378" s="1"/>
      <c r="B378" s="1"/>
      <c r="C378" s="1"/>
      <c r="D378" s="1"/>
      <c r="E378" s="1"/>
      <c r="F378" s="1"/>
      <c r="G378" s="1"/>
      <c r="H378" s="1"/>
      <c r="I378" s="1"/>
      <c r="J378" s="1"/>
      <c r="K378" s="1"/>
      <c r="L378" s="1"/>
      <c r="M378" s="1"/>
      <c r="N378" s="1"/>
      <c r="O378" s="1"/>
      <c r="P378" s="1"/>
      <c r="Q378" s="1"/>
      <c r="R378" s="1"/>
      <c r="S378" s="1"/>
      <c r="T378" s="14"/>
      <c r="U378" s="14"/>
      <c r="V378" s="14"/>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row>
    <row r="379" spans="1:226" ht="14.25" customHeight="1" x14ac:dyDescent="0.25">
      <c r="A379" s="1"/>
      <c r="B379" s="1"/>
      <c r="C379" s="1"/>
      <c r="D379" s="1"/>
      <c r="E379" s="1"/>
      <c r="F379" s="1"/>
      <c r="G379" s="1"/>
      <c r="H379" s="1"/>
      <c r="I379" s="1"/>
      <c r="J379" s="1"/>
      <c r="K379" s="1"/>
      <c r="L379" s="1"/>
      <c r="M379" s="1"/>
      <c r="N379" s="1"/>
      <c r="O379" s="1"/>
      <c r="P379" s="1"/>
      <c r="Q379" s="1"/>
      <c r="R379" s="1"/>
      <c r="S379" s="1"/>
      <c r="T379" s="14"/>
      <c r="U379" s="14"/>
      <c r="V379" s="14"/>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row>
    <row r="380" spans="1:226" ht="14.25" customHeight="1" x14ac:dyDescent="0.25">
      <c r="A380" s="1"/>
      <c r="B380" s="1"/>
      <c r="C380" s="1"/>
      <c r="D380" s="1"/>
      <c r="E380" s="1"/>
      <c r="F380" s="1"/>
      <c r="G380" s="1"/>
      <c r="H380" s="1"/>
      <c r="I380" s="1"/>
      <c r="J380" s="1"/>
      <c r="K380" s="1"/>
      <c r="L380" s="1"/>
      <c r="M380" s="1"/>
      <c r="N380" s="1"/>
      <c r="O380" s="1"/>
      <c r="P380" s="1"/>
      <c r="Q380" s="1"/>
      <c r="R380" s="1"/>
      <c r="S380" s="1"/>
      <c r="T380" s="14"/>
      <c r="U380" s="14"/>
      <c r="V380" s="14"/>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row>
    <row r="381" spans="1:226" ht="14.25" customHeight="1" x14ac:dyDescent="0.25">
      <c r="A381" s="1"/>
      <c r="B381" s="1"/>
      <c r="C381" s="1"/>
      <c r="D381" s="1"/>
      <c r="E381" s="1"/>
      <c r="F381" s="1"/>
      <c r="G381" s="1"/>
      <c r="H381" s="1"/>
      <c r="I381" s="1"/>
      <c r="J381" s="1"/>
      <c r="K381" s="1"/>
      <c r="L381" s="1"/>
      <c r="M381" s="1"/>
      <c r="N381" s="1"/>
      <c r="O381" s="1"/>
      <c r="P381" s="1"/>
      <c r="Q381" s="1"/>
      <c r="R381" s="1"/>
      <c r="S381" s="1"/>
      <c r="T381" s="14"/>
      <c r="U381" s="14"/>
      <c r="V381" s="14"/>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row>
    <row r="382" spans="1:226" ht="14.25" customHeight="1" x14ac:dyDescent="0.25">
      <c r="A382" s="1"/>
      <c r="B382" s="1"/>
      <c r="C382" s="1"/>
      <c r="D382" s="1"/>
      <c r="E382" s="1"/>
      <c r="F382" s="1"/>
      <c r="G382" s="1"/>
      <c r="H382" s="1"/>
      <c r="I382" s="1"/>
      <c r="J382" s="1"/>
      <c r="K382" s="1"/>
      <c r="L382" s="1"/>
      <c r="M382" s="1"/>
      <c r="N382" s="1"/>
      <c r="O382" s="1"/>
      <c r="P382" s="1"/>
      <c r="Q382" s="1"/>
      <c r="R382" s="1"/>
      <c r="S382" s="1"/>
      <c r="T382" s="14"/>
      <c r="U382" s="14"/>
      <c r="V382" s="14"/>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row>
    <row r="383" spans="1:226" ht="14.25" customHeight="1" x14ac:dyDescent="0.25">
      <c r="A383" s="1"/>
      <c r="B383" s="1"/>
      <c r="C383" s="1"/>
      <c r="D383" s="1"/>
      <c r="E383" s="1"/>
      <c r="F383" s="1"/>
      <c r="G383" s="1"/>
      <c r="H383" s="1"/>
      <c r="I383" s="1"/>
      <c r="J383" s="1"/>
      <c r="K383" s="1"/>
      <c r="L383" s="1"/>
      <c r="M383" s="1"/>
      <c r="N383" s="1"/>
      <c r="O383" s="1"/>
      <c r="P383" s="1"/>
      <c r="Q383" s="1"/>
      <c r="R383" s="1"/>
      <c r="S383" s="1"/>
      <c r="T383" s="14"/>
      <c r="U383" s="14"/>
      <c r="V383" s="14"/>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row>
    <row r="384" spans="1:226" ht="14.25" customHeight="1" x14ac:dyDescent="0.25">
      <c r="A384" s="1"/>
      <c r="B384" s="1"/>
      <c r="C384" s="1"/>
      <c r="D384" s="1"/>
      <c r="E384" s="1"/>
      <c r="F384" s="1"/>
      <c r="G384" s="1"/>
      <c r="H384" s="1"/>
      <c r="I384" s="1"/>
      <c r="J384" s="1"/>
      <c r="K384" s="1"/>
      <c r="L384" s="1"/>
      <c r="M384" s="1"/>
      <c r="N384" s="1"/>
      <c r="O384" s="1"/>
      <c r="P384" s="1"/>
      <c r="Q384" s="1"/>
      <c r="R384" s="1"/>
      <c r="S384" s="1"/>
      <c r="T384" s="14"/>
      <c r="U384" s="14"/>
      <c r="V384" s="14"/>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row>
    <row r="385" spans="1:226" ht="14.25" customHeight="1" x14ac:dyDescent="0.25">
      <c r="A385" s="1"/>
      <c r="B385" s="1"/>
      <c r="C385" s="1"/>
      <c r="D385" s="1"/>
      <c r="E385" s="1"/>
      <c r="F385" s="1"/>
      <c r="G385" s="1"/>
      <c r="H385" s="1"/>
      <c r="I385" s="1"/>
      <c r="J385" s="1"/>
      <c r="K385" s="1"/>
      <c r="L385" s="1"/>
      <c r="M385" s="1"/>
      <c r="N385" s="1"/>
      <c r="O385" s="1"/>
      <c r="P385" s="1"/>
      <c r="Q385" s="1"/>
      <c r="R385" s="1"/>
      <c r="S385" s="1"/>
      <c r="T385" s="14"/>
      <c r="U385" s="14"/>
      <c r="V385" s="14"/>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row>
    <row r="386" spans="1:226" ht="14.25" customHeight="1" x14ac:dyDescent="0.25">
      <c r="A386" s="1"/>
      <c r="B386" s="1"/>
      <c r="C386" s="1"/>
      <c r="D386" s="1"/>
      <c r="E386" s="1"/>
      <c r="F386" s="1"/>
      <c r="G386" s="1"/>
      <c r="H386" s="1"/>
      <c r="I386" s="1"/>
      <c r="J386" s="1"/>
      <c r="K386" s="1"/>
      <c r="L386" s="1"/>
      <c r="M386" s="1"/>
      <c r="N386" s="1"/>
      <c r="O386" s="1"/>
      <c r="P386" s="1"/>
      <c r="Q386" s="1"/>
      <c r="R386" s="1"/>
      <c r="S386" s="1"/>
      <c r="T386" s="14"/>
      <c r="U386" s="14"/>
      <c r="V386" s="14"/>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row>
    <row r="387" spans="1:226" ht="14.25" customHeight="1" x14ac:dyDescent="0.25">
      <c r="A387" s="1"/>
      <c r="B387" s="1"/>
      <c r="C387" s="1"/>
      <c r="D387" s="1"/>
      <c r="E387" s="1"/>
      <c r="F387" s="1"/>
      <c r="G387" s="1"/>
      <c r="H387" s="1"/>
      <c r="I387" s="1"/>
      <c r="J387" s="1"/>
      <c r="K387" s="1"/>
      <c r="L387" s="1"/>
      <c r="M387" s="1"/>
      <c r="N387" s="1"/>
      <c r="O387" s="1"/>
      <c r="P387" s="1"/>
      <c r="Q387" s="1"/>
      <c r="R387" s="1"/>
      <c r="S387" s="1"/>
      <c r="T387" s="14"/>
      <c r="U387" s="14"/>
      <c r="V387" s="14"/>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row>
    <row r="388" spans="1:226" ht="14.25" customHeight="1" x14ac:dyDescent="0.25">
      <c r="A388" s="1"/>
      <c r="B388" s="1"/>
      <c r="C388" s="1"/>
      <c r="D388" s="1"/>
      <c r="E388" s="1"/>
      <c r="F388" s="1"/>
      <c r="G388" s="1"/>
      <c r="H388" s="1"/>
      <c r="I388" s="1"/>
      <c r="J388" s="1"/>
      <c r="K388" s="1"/>
      <c r="L388" s="1"/>
      <c r="M388" s="1"/>
      <c r="N388" s="1"/>
      <c r="O388" s="1"/>
      <c r="P388" s="1"/>
      <c r="Q388" s="1"/>
      <c r="R388" s="1"/>
      <c r="S388" s="1"/>
      <c r="T388" s="14"/>
      <c r="U388" s="14"/>
      <c r="V388" s="14"/>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row>
    <row r="389" spans="1:226" ht="14.25" customHeight="1" x14ac:dyDescent="0.25">
      <c r="A389" s="1"/>
      <c r="B389" s="1"/>
      <c r="C389" s="1"/>
      <c r="D389" s="1"/>
      <c r="E389" s="1"/>
      <c r="F389" s="1"/>
      <c r="G389" s="1"/>
      <c r="H389" s="1"/>
      <c r="I389" s="1"/>
      <c r="J389" s="1"/>
      <c r="K389" s="1"/>
      <c r="L389" s="1"/>
      <c r="M389" s="1"/>
      <c r="N389" s="1"/>
      <c r="O389" s="1"/>
      <c r="P389" s="1"/>
      <c r="Q389" s="1"/>
      <c r="R389" s="1"/>
      <c r="S389" s="1"/>
      <c r="T389" s="14"/>
      <c r="U389" s="14"/>
      <c r="V389" s="14"/>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row>
    <row r="390" spans="1:226" ht="14.25" customHeight="1" x14ac:dyDescent="0.25">
      <c r="A390" s="1"/>
      <c r="B390" s="1"/>
      <c r="C390" s="1"/>
      <c r="D390" s="1"/>
      <c r="E390" s="1"/>
      <c r="F390" s="1"/>
      <c r="G390" s="1"/>
      <c r="H390" s="1"/>
      <c r="I390" s="1"/>
      <c r="J390" s="1"/>
      <c r="K390" s="1"/>
      <c r="L390" s="1"/>
      <c r="M390" s="1"/>
      <c r="N390" s="1"/>
      <c r="O390" s="1"/>
      <c r="P390" s="1"/>
      <c r="Q390" s="1"/>
      <c r="R390" s="1"/>
      <c r="S390" s="1"/>
      <c r="T390" s="14"/>
      <c r="U390" s="14"/>
      <c r="V390" s="14"/>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row>
    <row r="391" spans="1:226" ht="14.25" customHeight="1" x14ac:dyDescent="0.25">
      <c r="A391" s="1"/>
      <c r="B391" s="1"/>
      <c r="C391" s="1"/>
      <c r="D391" s="1"/>
      <c r="E391" s="1"/>
      <c r="F391" s="1"/>
      <c r="G391" s="1"/>
      <c r="H391" s="1"/>
      <c r="I391" s="1"/>
      <c r="J391" s="1"/>
      <c r="K391" s="1"/>
      <c r="L391" s="1"/>
      <c r="M391" s="1"/>
      <c r="N391" s="1"/>
      <c r="O391" s="1"/>
      <c r="P391" s="1"/>
      <c r="Q391" s="1"/>
      <c r="R391" s="1"/>
      <c r="S391" s="1"/>
      <c r="T391" s="14"/>
      <c r="U391" s="14"/>
      <c r="V391" s="14"/>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row>
    <row r="392" spans="1:226" ht="14.25" customHeight="1" x14ac:dyDescent="0.25">
      <c r="A392" s="1"/>
      <c r="B392" s="1"/>
      <c r="C392" s="1"/>
      <c r="D392" s="1"/>
      <c r="E392" s="1"/>
      <c r="F392" s="1"/>
      <c r="G392" s="1"/>
      <c r="H392" s="1"/>
      <c r="I392" s="1"/>
      <c r="J392" s="1"/>
      <c r="K392" s="1"/>
      <c r="L392" s="1"/>
      <c r="M392" s="1"/>
      <c r="N392" s="1"/>
      <c r="O392" s="1"/>
      <c r="P392" s="1"/>
      <c r="Q392" s="1"/>
      <c r="R392" s="1"/>
      <c r="S392" s="1"/>
      <c r="T392" s="14"/>
      <c r="U392" s="14"/>
      <c r="V392" s="14"/>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row>
    <row r="393" spans="1:226" ht="14.25" customHeight="1" x14ac:dyDescent="0.25">
      <c r="A393" s="1"/>
      <c r="B393" s="1"/>
      <c r="C393" s="1"/>
      <c r="D393" s="1"/>
      <c r="E393" s="1"/>
      <c r="F393" s="1"/>
      <c r="G393" s="1"/>
      <c r="H393" s="1"/>
      <c r="I393" s="1"/>
      <c r="J393" s="1"/>
      <c r="K393" s="1"/>
      <c r="L393" s="1"/>
      <c r="M393" s="1"/>
      <c r="N393" s="1"/>
      <c r="O393" s="1"/>
      <c r="P393" s="1"/>
      <c r="Q393" s="1"/>
      <c r="R393" s="1"/>
      <c r="S393" s="1"/>
      <c r="T393" s="14"/>
      <c r="U393" s="14"/>
      <c r="V393" s="14"/>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row>
    <row r="394" spans="1:226" ht="14.25" customHeight="1" x14ac:dyDescent="0.25">
      <c r="A394" s="1"/>
      <c r="B394" s="1"/>
      <c r="C394" s="1"/>
      <c r="D394" s="1"/>
      <c r="E394" s="1"/>
      <c r="F394" s="1"/>
      <c r="G394" s="1"/>
      <c r="H394" s="1"/>
      <c r="I394" s="1"/>
      <c r="J394" s="1"/>
      <c r="K394" s="1"/>
      <c r="L394" s="1"/>
      <c r="M394" s="1"/>
      <c r="N394" s="1"/>
      <c r="O394" s="1"/>
      <c r="P394" s="1"/>
      <c r="Q394" s="1"/>
      <c r="R394" s="1"/>
      <c r="S394" s="1"/>
      <c r="T394" s="14"/>
      <c r="U394" s="14"/>
      <c r="V394" s="14"/>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row>
    <row r="395" spans="1:226" ht="14.25" customHeight="1" x14ac:dyDescent="0.25">
      <c r="A395" s="1"/>
      <c r="B395" s="1"/>
      <c r="C395" s="1"/>
      <c r="D395" s="1"/>
      <c r="E395" s="1"/>
      <c r="F395" s="1"/>
      <c r="G395" s="1"/>
      <c r="H395" s="1"/>
      <c r="I395" s="1"/>
      <c r="J395" s="1"/>
      <c r="K395" s="1"/>
      <c r="L395" s="1"/>
      <c r="M395" s="1"/>
      <c r="N395" s="1"/>
      <c r="O395" s="1"/>
      <c r="P395" s="1"/>
      <c r="Q395" s="1"/>
      <c r="R395" s="1"/>
      <c r="S395" s="1"/>
      <c r="T395" s="14"/>
      <c r="U395" s="14"/>
      <c r="V395" s="14"/>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row>
    <row r="396" spans="1:226" ht="14.25" customHeight="1" x14ac:dyDescent="0.25">
      <c r="A396" s="1"/>
      <c r="B396" s="1"/>
      <c r="C396" s="1"/>
      <c r="D396" s="1"/>
      <c r="E396" s="1"/>
      <c r="F396" s="1"/>
      <c r="G396" s="1"/>
      <c r="H396" s="1"/>
      <c r="I396" s="1"/>
      <c r="J396" s="1"/>
      <c r="K396" s="1"/>
      <c r="L396" s="1"/>
      <c r="M396" s="1"/>
      <c r="N396" s="1"/>
      <c r="O396" s="1"/>
      <c r="P396" s="1"/>
      <c r="Q396" s="1"/>
      <c r="R396" s="1"/>
      <c r="S396" s="1"/>
      <c r="T396" s="14"/>
      <c r="U396" s="14"/>
      <c r="V396" s="14"/>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row>
    <row r="397" spans="1:226" ht="14.25" customHeight="1" x14ac:dyDescent="0.25">
      <c r="A397" s="1"/>
      <c r="B397" s="1"/>
      <c r="C397" s="1"/>
      <c r="D397" s="1"/>
      <c r="E397" s="1"/>
      <c r="F397" s="1"/>
      <c r="G397" s="1"/>
      <c r="H397" s="1"/>
      <c r="I397" s="1"/>
      <c r="J397" s="1"/>
      <c r="K397" s="1"/>
      <c r="L397" s="1"/>
      <c r="M397" s="1"/>
      <c r="N397" s="1"/>
      <c r="O397" s="1"/>
      <c r="P397" s="1"/>
      <c r="Q397" s="1"/>
      <c r="R397" s="1"/>
      <c r="S397" s="1"/>
      <c r="T397" s="14"/>
      <c r="U397" s="14"/>
      <c r="V397" s="14"/>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row>
    <row r="398" spans="1:226" ht="14.25" customHeight="1" x14ac:dyDescent="0.25">
      <c r="A398" s="1"/>
      <c r="B398" s="1"/>
      <c r="C398" s="1"/>
      <c r="D398" s="1"/>
      <c r="E398" s="1"/>
      <c r="F398" s="1"/>
      <c r="G398" s="1"/>
      <c r="H398" s="1"/>
      <c r="I398" s="1"/>
      <c r="J398" s="1"/>
      <c r="K398" s="1"/>
      <c r="L398" s="1"/>
      <c r="M398" s="1"/>
      <c r="N398" s="1"/>
      <c r="O398" s="1"/>
      <c r="P398" s="1"/>
      <c r="Q398" s="1"/>
      <c r="R398" s="1"/>
      <c r="S398" s="1"/>
      <c r="T398" s="14"/>
      <c r="U398" s="14"/>
      <c r="V398" s="14"/>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row>
    <row r="399" spans="1:226" ht="14.25" customHeight="1" x14ac:dyDescent="0.25">
      <c r="A399" s="1"/>
      <c r="B399" s="1"/>
      <c r="C399" s="1"/>
      <c r="D399" s="1"/>
      <c r="E399" s="1"/>
      <c r="F399" s="1"/>
      <c r="G399" s="1"/>
      <c r="H399" s="1"/>
      <c r="I399" s="1"/>
      <c r="J399" s="1"/>
      <c r="K399" s="1"/>
      <c r="L399" s="1"/>
      <c r="M399" s="1"/>
      <c r="N399" s="1"/>
      <c r="O399" s="1"/>
      <c r="P399" s="1"/>
      <c r="Q399" s="1"/>
      <c r="R399" s="1"/>
      <c r="S399" s="1"/>
      <c r="T399" s="14"/>
      <c r="U399" s="14"/>
      <c r="V399" s="14"/>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row>
    <row r="400" spans="1:226" ht="14.25" customHeight="1" x14ac:dyDescent="0.25">
      <c r="A400" s="1"/>
      <c r="B400" s="1"/>
      <c r="C400" s="1"/>
      <c r="D400" s="1"/>
      <c r="E400" s="1"/>
      <c r="F400" s="1"/>
      <c r="G400" s="1"/>
      <c r="H400" s="1"/>
      <c r="I400" s="1"/>
      <c r="J400" s="1"/>
      <c r="K400" s="1"/>
      <c r="L400" s="1"/>
      <c r="M400" s="1"/>
      <c r="N400" s="1"/>
      <c r="O400" s="1"/>
      <c r="P400" s="1"/>
      <c r="Q400" s="1"/>
      <c r="R400" s="1"/>
      <c r="S400" s="1"/>
      <c r="T400" s="14"/>
      <c r="U400" s="14"/>
      <c r="V400" s="14"/>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row>
    <row r="401" spans="1:226" ht="14.25" customHeight="1" x14ac:dyDescent="0.25">
      <c r="A401" s="1"/>
      <c r="B401" s="1"/>
      <c r="C401" s="1"/>
      <c r="D401" s="1"/>
      <c r="E401" s="1"/>
      <c r="F401" s="1"/>
      <c r="G401" s="1"/>
      <c r="H401" s="1"/>
      <c r="I401" s="1"/>
      <c r="J401" s="1"/>
      <c r="K401" s="1"/>
      <c r="L401" s="1"/>
      <c r="M401" s="1"/>
      <c r="N401" s="1"/>
      <c r="O401" s="1"/>
      <c r="P401" s="1"/>
      <c r="Q401" s="1"/>
      <c r="R401" s="1"/>
      <c r="S401" s="1"/>
      <c r="T401" s="14"/>
      <c r="U401" s="14"/>
      <c r="V401" s="14"/>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row>
    <row r="402" spans="1:226" ht="14.25" customHeight="1" x14ac:dyDescent="0.25">
      <c r="A402" s="1"/>
      <c r="B402" s="1"/>
      <c r="C402" s="1"/>
      <c r="D402" s="1"/>
      <c r="E402" s="1"/>
      <c r="F402" s="1"/>
      <c r="G402" s="1"/>
      <c r="H402" s="1"/>
      <c r="I402" s="1"/>
      <c r="J402" s="1"/>
      <c r="K402" s="1"/>
      <c r="L402" s="1"/>
      <c r="M402" s="1"/>
      <c r="N402" s="1"/>
      <c r="O402" s="1"/>
      <c r="P402" s="1"/>
      <c r="Q402" s="1"/>
      <c r="R402" s="1"/>
      <c r="S402" s="1"/>
      <c r="T402" s="14"/>
      <c r="U402" s="14"/>
      <c r="V402" s="14"/>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row>
    <row r="403" spans="1:226" ht="14.25" customHeight="1" x14ac:dyDescent="0.25">
      <c r="A403" s="1"/>
      <c r="B403" s="1"/>
      <c r="C403" s="1"/>
      <c r="D403" s="1"/>
      <c r="E403" s="1"/>
      <c r="F403" s="1"/>
      <c r="G403" s="1"/>
      <c r="H403" s="1"/>
      <c r="I403" s="1"/>
      <c r="J403" s="1"/>
      <c r="K403" s="1"/>
      <c r="L403" s="1"/>
      <c r="M403" s="1"/>
      <c r="N403" s="1"/>
      <c r="O403" s="1"/>
      <c r="P403" s="1"/>
      <c r="Q403" s="1"/>
      <c r="R403" s="1"/>
      <c r="S403" s="1"/>
      <c r="T403" s="14"/>
      <c r="U403" s="14"/>
      <c r="V403" s="14"/>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row>
    <row r="404" spans="1:226" ht="14.25" customHeight="1" x14ac:dyDescent="0.25">
      <c r="A404" s="1"/>
      <c r="B404" s="1"/>
      <c r="C404" s="1"/>
      <c r="D404" s="1"/>
      <c r="E404" s="1"/>
      <c r="F404" s="1"/>
      <c r="G404" s="1"/>
      <c r="H404" s="1"/>
      <c r="I404" s="1"/>
      <c r="J404" s="1"/>
      <c r="K404" s="1"/>
      <c r="L404" s="1"/>
      <c r="M404" s="1"/>
      <c r="N404" s="1"/>
      <c r="O404" s="1"/>
      <c r="P404" s="1"/>
      <c r="Q404" s="1"/>
      <c r="R404" s="1"/>
      <c r="S404" s="1"/>
      <c r="T404" s="14"/>
      <c r="U404" s="14"/>
      <c r="V404" s="14"/>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row>
    <row r="405" spans="1:226" ht="14.25" customHeight="1" x14ac:dyDescent="0.25">
      <c r="A405" s="1"/>
      <c r="B405" s="1"/>
      <c r="C405" s="1"/>
      <c r="D405" s="1"/>
      <c r="E405" s="1"/>
      <c r="F405" s="1"/>
      <c r="G405" s="1"/>
      <c r="H405" s="1"/>
      <c r="I405" s="1"/>
      <c r="J405" s="1"/>
      <c r="K405" s="1"/>
      <c r="L405" s="1"/>
      <c r="M405" s="1"/>
      <c r="N405" s="1"/>
      <c r="O405" s="1"/>
      <c r="P405" s="1"/>
      <c r="Q405" s="1"/>
      <c r="R405" s="1"/>
      <c r="S405" s="1"/>
      <c r="T405" s="14"/>
      <c r="U405" s="14"/>
      <c r="V405" s="14"/>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row>
    <row r="406" spans="1:226" ht="14.25" customHeight="1" x14ac:dyDescent="0.25">
      <c r="A406" s="1"/>
      <c r="B406" s="1"/>
      <c r="C406" s="1"/>
      <c r="D406" s="1"/>
      <c r="E406" s="1"/>
      <c r="F406" s="1"/>
      <c r="G406" s="1"/>
      <c r="H406" s="1"/>
      <c r="I406" s="1"/>
      <c r="J406" s="1"/>
      <c r="K406" s="1"/>
      <c r="L406" s="1"/>
      <c r="M406" s="1"/>
      <c r="N406" s="1"/>
      <c r="O406" s="1"/>
      <c r="P406" s="1"/>
      <c r="Q406" s="1"/>
      <c r="R406" s="1"/>
      <c r="S406" s="1"/>
      <c r="T406" s="14"/>
      <c r="U406" s="14"/>
      <c r="V406" s="14"/>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row>
    <row r="407" spans="1:226" ht="14.25" customHeight="1" x14ac:dyDescent="0.25">
      <c r="A407" s="1"/>
      <c r="B407" s="1"/>
      <c r="C407" s="1"/>
      <c r="D407" s="1"/>
      <c r="E407" s="1"/>
      <c r="F407" s="1"/>
      <c r="G407" s="1"/>
      <c r="H407" s="1"/>
      <c r="I407" s="1"/>
      <c r="J407" s="1"/>
      <c r="K407" s="1"/>
      <c r="L407" s="1"/>
      <c r="M407" s="1"/>
      <c r="N407" s="1"/>
      <c r="O407" s="1"/>
      <c r="P407" s="1"/>
      <c r="Q407" s="1"/>
      <c r="R407" s="1"/>
      <c r="S407" s="1"/>
      <c r="T407" s="14"/>
      <c r="U407" s="14"/>
      <c r="V407" s="14"/>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row>
    <row r="408" spans="1:226" ht="14.25" customHeight="1" x14ac:dyDescent="0.25">
      <c r="A408" s="1"/>
      <c r="B408" s="1"/>
      <c r="C408" s="1"/>
      <c r="D408" s="1"/>
      <c r="E408" s="1"/>
      <c r="F408" s="1"/>
      <c r="G408" s="1"/>
      <c r="H408" s="1"/>
      <c r="I408" s="1"/>
      <c r="J408" s="1"/>
      <c r="K408" s="1"/>
      <c r="L408" s="1"/>
      <c r="M408" s="1"/>
      <c r="N408" s="1"/>
      <c r="O408" s="1"/>
      <c r="P408" s="1"/>
      <c r="Q408" s="1"/>
      <c r="R408" s="1"/>
      <c r="S408" s="1"/>
      <c r="T408" s="14"/>
      <c r="U408" s="14"/>
      <c r="V408" s="14"/>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row>
    <row r="409" spans="1:226" ht="14.25" customHeight="1" x14ac:dyDescent="0.25">
      <c r="A409" s="1"/>
      <c r="B409" s="1"/>
      <c r="C409" s="1"/>
      <c r="D409" s="1"/>
      <c r="E409" s="1"/>
      <c r="F409" s="1"/>
      <c r="G409" s="1"/>
      <c r="H409" s="1"/>
      <c r="I409" s="1"/>
      <c r="J409" s="1"/>
      <c r="K409" s="1"/>
      <c r="L409" s="1"/>
      <c r="M409" s="1"/>
      <c r="N409" s="1"/>
      <c r="O409" s="1"/>
      <c r="P409" s="1"/>
      <c r="Q409" s="1"/>
      <c r="R409" s="1"/>
      <c r="S409" s="1"/>
      <c r="T409" s="14"/>
      <c r="U409" s="14"/>
      <c r="V409" s="14"/>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row>
    <row r="410" spans="1:226" ht="14.25" customHeight="1" x14ac:dyDescent="0.25">
      <c r="A410" s="1"/>
      <c r="B410" s="1"/>
      <c r="C410" s="1"/>
      <c r="D410" s="1"/>
      <c r="E410" s="1"/>
      <c r="F410" s="1"/>
      <c r="G410" s="1"/>
      <c r="H410" s="1"/>
      <c r="I410" s="1"/>
      <c r="J410" s="1"/>
      <c r="K410" s="1"/>
      <c r="L410" s="1"/>
      <c r="M410" s="1"/>
      <c r="N410" s="1"/>
      <c r="O410" s="1"/>
      <c r="P410" s="1"/>
      <c r="Q410" s="1"/>
      <c r="R410" s="1"/>
      <c r="S410" s="1"/>
      <c r="T410" s="14"/>
      <c r="U410" s="14"/>
      <c r="V410" s="14"/>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row>
    <row r="411" spans="1:226" ht="14.25" customHeight="1" x14ac:dyDescent="0.25">
      <c r="A411" s="1"/>
      <c r="B411" s="1"/>
      <c r="C411" s="1"/>
      <c r="D411" s="1"/>
      <c r="E411" s="1"/>
      <c r="F411" s="1"/>
      <c r="G411" s="1"/>
      <c r="H411" s="1"/>
      <c r="I411" s="1"/>
      <c r="J411" s="1"/>
      <c r="K411" s="1"/>
      <c r="L411" s="1"/>
      <c r="M411" s="1"/>
      <c r="N411" s="1"/>
      <c r="O411" s="1"/>
      <c r="P411" s="1"/>
      <c r="Q411" s="1"/>
      <c r="R411" s="1"/>
      <c r="S411" s="1"/>
      <c r="T411" s="14"/>
      <c r="U411" s="14"/>
      <c r="V411" s="14"/>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row>
    <row r="412" spans="1:226" ht="14.25" customHeight="1" x14ac:dyDescent="0.25">
      <c r="A412" s="1"/>
      <c r="B412" s="1"/>
      <c r="C412" s="1"/>
      <c r="D412" s="1"/>
      <c r="E412" s="1"/>
      <c r="F412" s="1"/>
      <c r="G412" s="1"/>
      <c r="H412" s="1"/>
      <c r="I412" s="1"/>
      <c r="J412" s="1"/>
      <c r="K412" s="1"/>
      <c r="L412" s="1"/>
      <c r="M412" s="1"/>
      <c r="N412" s="1"/>
      <c r="O412" s="1"/>
      <c r="P412" s="1"/>
      <c r="Q412" s="1"/>
      <c r="R412" s="1"/>
      <c r="S412" s="1"/>
      <c r="T412" s="14"/>
      <c r="U412" s="14"/>
      <c r="V412" s="14"/>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row>
    <row r="413" spans="1:226" ht="14.25" customHeight="1" x14ac:dyDescent="0.25">
      <c r="A413" s="1"/>
      <c r="B413" s="1"/>
      <c r="C413" s="1"/>
      <c r="D413" s="1"/>
      <c r="E413" s="1"/>
      <c r="F413" s="1"/>
      <c r="G413" s="1"/>
      <c r="H413" s="1"/>
      <c r="I413" s="1"/>
      <c r="J413" s="1"/>
      <c r="K413" s="1"/>
      <c r="L413" s="1"/>
      <c r="M413" s="1"/>
      <c r="N413" s="1"/>
      <c r="O413" s="1"/>
      <c r="P413" s="1"/>
      <c r="Q413" s="1"/>
      <c r="R413" s="1"/>
      <c r="S413" s="1"/>
      <c r="T413" s="14"/>
      <c r="U413" s="14"/>
      <c r="V413" s="14"/>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row>
    <row r="414" spans="1:226" ht="14.25" customHeight="1" x14ac:dyDescent="0.25">
      <c r="A414" s="1"/>
      <c r="B414" s="1"/>
      <c r="C414" s="1"/>
      <c r="D414" s="1"/>
      <c r="E414" s="1"/>
      <c r="F414" s="1"/>
      <c r="G414" s="1"/>
      <c r="H414" s="1"/>
      <c r="I414" s="1"/>
      <c r="J414" s="1"/>
      <c r="K414" s="1"/>
      <c r="L414" s="1"/>
      <c r="M414" s="1"/>
      <c r="N414" s="1"/>
      <c r="O414" s="1"/>
      <c r="P414" s="1"/>
      <c r="Q414" s="1"/>
      <c r="R414" s="1"/>
      <c r="S414" s="1"/>
      <c r="T414" s="14"/>
      <c r="U414" s="14"/>
      <c r="V414" s="14"/>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row>
    <row r="415" spans="1:226" ht="14.25" customHeight="1" x14ac:dyDescent="0.25">
      <c r="A415" s="1"/>
      <c r="B415" s="1"/>
      <c r="C415" s="1"/>
      <c r="D415" s="1"/>
      <c r="E415" s="1"/>
      <c r="F415" s="1"/>
      <c r="G415" s="1"/>
      <c r="H415" s="1"/>
      <c r="I415" s="1"/>
      <c r="J415" s="1"/>
      <c r="K415" s="1"/>
      <c r="L415" s="1"/>
      <c r="M415" s="1"/>
      <c r="N415" s="1"/>
      <c r="O415" s="1"/>
      <c r="P415" s="1"/>
      <c r="Q415" s="1"/>
      <c r="R415" s="1"/>
      <c r="S415" s="1"/>
      <c r="T415" s="14"/>
      <c r="U415" s="14"/>
      <c r="V415" s="14"/>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row>
    <row r="416" spans="1:226" ht="14.25" customHeight="1" x14ac:dyDescent="0.25">
      <c r="A416" s="1"/>
      <c r="B416" s="1"/>
      <c r="C416" s="1"/>
      <c r="D416" s="1"/>
      <c r="E416" s="1"/>
      <c r="F416" s="1"/>
      <c r="G416" s="1"/>
      <c r="H416" s="1"/>
      <c r="I416" s="1"/>
      <c r="J416" s="1"/>
      <c r="K416" s="1"/>
      <c r="L416" s="1"/>
      <c r="M416" s="1"/>
      <c r="N416" s="1"/>
      <c r="O416" s="1"/>
      <c r="P416" s="1"/>
      <c r="Q416" s="1"/>
      <c r="R416" s="1"/>
      <c r="S416" s="1"/>
      <c r="T416" s="14"/>
      <c r="U416" s="14"/>
      <c r="V416" s="14"/>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row>
    <row r="417" spans="1:226" ht="14.25" customHeight="1" x14ac:dyDescent="0.25">
      <c r="A417" s="1"/>
      <c r="B417" s="1"/>
      <c r="C417" s="1"/>
      <c r="D417" s="1"/>
      <c r="E417" s="1"/>
      <c r="F417" s="1"/>
      <c r="G417" s="1"/>
      <c r="H417" s="1"/>
      <c r="I417" s="1"/>
      <c r="J417" s="1"/>
      <c r="K417" s="1"/>
      <c r="L417" s="1"/>
      <c r="M417" s="1"/>
      <c r="N417" s="1"/>
      <c r="O417" s="1"/>
      <c r="P417" s="1"/>
      <c r="Q417" s="1"/>
      <c r="R417" s="1"/>
      <c r="S417" s="1"/>
      <c r="T417" s="14"/>
      <c r="U417" s="14"/>
      <c r="V417" s="14"/>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row>
    <row r="418" spans="1:226" ht="14.25" customHeight="1" x14ac:dyDescent="0.25">
      <c r="A418" s="1"/>
      <c r="B418" s="1"/>
      <c r="C418" s="1"/>
      <c r="D418" s="1"/>
      <c r="E418" s="1"/>
      <c r="F418" s="1"/>
      <c r="G418" s="1"/>
      <c r="H418" s="1"/>
      <c r="I418" s="1"/>
      <c r="J418" s="1"/>
      <c r="K418" s="1"/>
      <c r="L418" s="1"/>
      <c r="M418" s="1"/>
      <c r="N418" s="1"/>
      <c r="O418" s="1"/>
      <c r="P418" s="1"/>
      <c r="Q418" s="1"/>
      <c r="R418" s="1"/>
      <c r="S418" s="1"/>
      <c r="T418" s="14"/>
      <c r="U418" s="14"/>
      <c r="V418" s="14"/>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row>
    <row r="419" spans="1:226" ht="14.25" customHeight="1" x14ac:dyDescent="0.25">
      <c r="A419" s="1"/>
      <c r="B419" s="1"/>
      <c r="C419" s="1"/>
      <c r="D419" s="1"/>
      <c r="E419" s="1"/>
      <c r="F419" s="1"/>
      <c r="G419" s="1"/>
      <c r="H419" s="1"/>
      <c r="I419" s="1"/>
      <c r="J419" s="1"/>
      <c r="K419" s="1"/>
      <c r="L419" s="1"/>
      <c r="M419" s="1"/>
      <c r="N419" s="1"/>
      <c r="O419" s="1"/>
      <c r="P419" s="1"/>
      <c r="Q419" s="1"/>
      <c r="R419" s="1"/>
      <c r="S419" s="1"/>
      <c r="T419" s="14"/>
      <c r="U419" s="14"/>
      <c r="V419" s="14"/>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row>
    <row r="420" spans="1:226" ht="14.25" customHeight="1" x14ac:dyDescent="0.25">
      <c r="A420" s="1"/>
      <c r="B420" s="1"/>
      <c r="C420" s="1"/>
      <c r="D420" s="1"/>
      <c r="E420" s="1"/>
      <c r="F420" s="1"/>
      <c r="G420" s="1"/>
      <c r="H420" s="1"/>
      <c r="I420" s="1"/>
      <c r="J420" s="1"/>
      <c r="K420" s="1"/>
      <c r="L420" s="1"/>
      <c r="M420" s="1"/>
      <c r="N420" s="1"/>
      <c r="O420" s="1"/>
      <c r="P420" s="1"/>
      <c r="Q420" s="1"/>
      <c r="R420" s="1"/>
      <c r="S420" s="1"/>
      <c r="T420" s="14"/>
      <c r="U420" s="14"/>
      <c r="V420" s="14"/>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row>
    <row r="421" spans="1:226" ht="14.25" customHeight="1" x14ac:dyDescent="0.25">
      <c r="A421" s="1"/>
      <c r="B421" s="1"/>
      <c r="C421" s="1"/>
      <c r="D421" s="1"/>
      <c r="E421" s="1"/>
      <c r="F421" s="1"/>
      <c r="G421" s="1"/>
      <c r="H421" s="1"/>
      <c r="I421" s="1"/>
      <c r="J421" s="1"/>
      <c r="K421" s="1"/>
      <c r="L421" s="1"/>
      <c r="M421" s="1"/>
      <c r="N421" s="1"/>
      <c r="O421" s="1"/>
      <c r="P421" s="1"/>
      <c r="Q421" s="1"/>
      <c r="R421" s="1"/>
      <c r="S421" s="1"/>
      <c r="T421" s="14"/>
      <c r="U421" s="14"/>
      <c r="V421" s="14"/>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row>
    <row r="422" spans="1:226" ht="14.25" customHeight="1" x14ac:dyDescent="0.25">
      <c r="A422" s="1"/>
      <c r="B422" s="1"/>
      <c r="C422" s="1"/>
      <c r="D422" s="1"/>
      <c r="E422" s="1"/>
      <c r="F422" s="1"/>
      <c r="G422" s="1"/>
      <c r="H422" s="1"/>
      <c r="I422" s="1"/>
      <c r="J422" s="1"/>
      <c r="K422" s="1"/>
      <c r="L422" s="1"/>
      <c r="M422" s="1"/>
      <c r="N422" s="1"/>
      <c r="O422" s="1"/>
      <c r="P422" s="1"/>
      <c r="Q422" s="1"/>
      <c r="R422" s="1"/>
      <c r="S422" s="1"/>
      <c r="T422" s="14"/>
      <c r="U422" s="14"/>
      <c r="V422" s="14"/>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row>
    <row r="423" spans="1:226" ht="14.25" customHeight="1" x14ac:dyDescent="0.25">
      <c r="A423" s="1"/>
      <c r="B423" s="1"/>
      <c r="C423" s="1"/>
      <c r="D423" s="1"/>
      <c r="E423" s="1"/>
      <c r="F423" s="1"/>
      <c r="G423" s="1"/>
      <c r="H423" s="1"/>
      <c r="I423" s="1"/>
      <c r="J423" s="1"/>
      <c r="K423" s="1"/>
      <c r="L423" s="1"/>
      <c r="M423" s="1"/>
      <c r="N423" s="1"/>
      <c r="O423" s="1"/>
      <c r="P423" s="1"/>
      <c r="Q423" s="1"/>
      <c r="R423" s="1"/>
      <c r="S423" s="1"/>
      <c r="T423" s="14"/>
      <c r="U423" s="14"/>
      <c r="V423" s="14"/>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row>
    <row r="424" spans="1:226" ht="14.25" customHeight="1" x14ac:dyDescent="0.25">
      <c r="A424" s="1"/>
      <c r="B424" s="1"/>
      <c r="C424" s="1"/>
      <c r="D424" s="1"/>
      <c r="E424" s="1"/>
      <c r="F424" s="1"/>
      <c r="G424" s="1"/>
      <c r="H424" s="1"/>
      <c r="I424" s="1"/>
      <c r="J424" s="1"/>
      <c r="K424" s="1"/>
      <c r="L424" s="1"/>
      <c r="M424" s="1"/>
      <c r="N424" s="1"/>
      <c r="O424" s="1"/>
      <c r="P424" s="1"/>
      <c r="Q424" s="1"/>
      <c r="R424" s="1"/>
      <c r="S424" s="1"/>
      <c r="T424" s="14"/>
      <c r="U424" s="14"/>
      <c r="V424" s="14"/>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row>
    <row r="425" spans="1:226" ht="14.25" customHeight="1" x14ac:dyDescent="0.25">
      <c r="A425" s="1"/>
      <c r="B425" s="1"/>
      <c r="C425" s="1"/>
      <c r="D425" s="1"/>
      <c r="E425" s="1"/>
      <c r="F425" s="1"/>
      <c r="G425" s="1"/>
      <c r="H425" s="1"/>
      <c r="I425" s="1"/>
      <c r="J425" s="1"/>
      <c r="K425" s="1"/>
      <c r="L425" s="1"/>
      <c r="M425" s="1"/>
      <c r="N425" s="1"/>
      <c r="O425" s="1"/>
      <c r="P425" s="1"/>
      <c r="Q425" s="1"/>
      <c r="R425" s="1"/>
      <c r="S425" s="1"/>
      <c r="T425" s="14"/>
      <c r="U425" s="14"/>
      <c r="V425" s="14"/>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row>
    <row r="426" spans="1:226" ht="14.25" customHeight="1" x14ac:dyDescent="0.25">
      <c r="A426" s="1"/>
      <c r="B426" s="1"/>
      <c r="C426" s="1"/>
      <c r="D426" s="1"/>
      <c r="E426" s="1"/>
      <c r="F426" s="1"/>
      <c r="G426" s="1"/>
      <c r="H426" s="1"/>
      <c r="I426" s="1"/>
      <c r="J426" s="1"/>
      <c r="K426" s="1"/>
      <c r="L426" s="1"/>
      <c r="M426" s="1"/>
      <c r="N426" s="1"/>
      <c r="O426" s="1"/>
      <c r="P426" s="1"/>
      <c r="Q426" s="1"/>
      <c r="R426" s="1"/>
      <c r="S426" s="1"/>
      <c r="T426" s="14"/>
      <c r="U426" s="14"/>
      <c r="V426" s="14"/>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row>
    <row r="427" spans="1:226" ht="14.25" customHeight="1" x14ac:dyDescent="0.25">
      <c r="A427" s="1"/>
      <c r="B427" s="1"/>
      <c r="C427" s="1"/>
      <c r="D427" s="1"/>
      <c r="E427" s="1"/>
      <c r="F427" s="1"/>
      <c r="G427" s="1"/>
      <c r="H427" s="1"/>
      <c r="I427" s="1"/>
      <c r="J427" s="1"/>
      <c r="K427" s="1"/>
      <c r="L427" s="1"/>
      <c r="M427" s="1"/>
      <c r="N427" s="1"/>
      <c r="O427" s="1"/>
      <c r="P427" s="1"/>
      <c r="Q427" s="1"/>
      <c r="R427" s="1"/>
      <c r="S427" s="1"/>
      <c r="T427" s="14"/>
      <c r="U427" s="14"/>
      <c r="V427" s="14"/>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row>
    <row r="428" spans="1:226" ht="14.25" customHeight="1" x14ac:dyDescent="0.25">
      <c r="A428" s="1"/>
      <c r="B428" s="1"/>
      <c r="C428" s="1"/>
      <c r="D428" s="1"/>
      <c r="E428" s="1"/>
      <c r="F428" s="1"/>
      <c r="G428" s="1"/>
      <c r="H428" s="1"/>
      <c r="I428" s="1"/>
      <c r="J428" s="1"/>
      <c r="K428" s="1"/>
      <c r="L428" s="1"/>
      <c r="M428" s="1"/>
      <c r="N428" s="1"/>
      <c r="O428" s="1"/>
      <c r="P428" s="1"/>
      <c r="Q428" s="1"/>
      <c r="R428" s="1"/>
      <c r="S428" s="1"/>
      <c r="T428" s="14"/>
      <c r="U428" s="14"/>
      <c r="V428" s="14"/>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row>
    <row r="429" spans="1:226" ht="14.25" customHeight="1" x14ac:dyDescent="0.25">
      <c r="A429" s="1"/>
      <c r="B429" s="1"/>
      <c r="C429" s="1"/>
      <c r="D429" s="1"/>
      <c r="E429" s="1"/>
      <c r="F429" s="1"/>
      <c r="G429" s="1"/>
      <c r="H429" s="1"/>
      <c r="I429" s="1"/>
      <c r="J429" s="1"/>
      <c r="K429" s="1"/>
      <c r="L429" s="1"/>
      <c r="M429" s="1"/>
      <c r="N429" s="1"/>
      <c r="O429" s="1"/>
      <c r="P429" s="1"/>
      <c r="Q429" s="1"/>
      <c r="R429" s="1"/>
      <c r="S429" s="1"/>
      <c r="T429" s="14"/>
      <c r="U429" s="14"/>
      <c r="V429" s="14"/>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row>
    <row r="430" spans="1:226" ht="14.25" customHeight="1" x14ac:dyDescent="0.25">
      <c r="A430" s="1"/>
      <c r="B430" s="1"/>
      <c r="C430" s="1"/>
      <c r="D430" s="1"/>
      <c r="E430" s="1"/>
      <c r="F430" s="1"/>
      <c r="G430" s="1"/>
      <c r="H430" s="1"/>
      <c r="I430" s="1"/>
      <c r="J430" s="1"/>
      <c r="K430" s="1"/>
      <c r="L430" s="1"/>
      <c r="M430" s="1"/>
      <c r="N430" s="1"/>
      <c r="O430" s="1"/>
      <c r="P430" s="1"/>
      <c r="Q430" s="1"/>
      <c r="R430" s="1"/>
      <c r="S430" s="1"/>
      <c r="T430" s="14"/>
      <c r="U430" s="14"/>
      <c r="V430" s="14"/>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row>
    <row r="431" spans="1:226" ht="14.25" customHeight="1" x14ac:dyDescent="0.25">
      <c r="A431" s="1"/>
      <c r="B431" s="1"/>
      <c r="C431" s="1"/>
      <c r="D431" s="1"/>
      <c r="E431" s="1"/>
      <c r="F431" s="1"/>
      <c r="G431" s="1"/>
      <c r="H431" s="1"/>
      <c r="I431" s="1"/>
      <c r="J431" s="1"/>
      <c r="K431" s="1"/>
      <c r="L431" s="1"/>
      <c r="M431" s="1"/>
      <c r="N431" s="1"/>
      <c r="O431" s="1"/>
      <c r="P431" s="1"/>
      <c r="Q431" s="1"/>
      <c r="R431" s="1"/>
      <c r="S431" s="1"/>
      <c r="T431" s="14"/>
      <c r="U431" s="14"/>
      <c r="V431" s="14"/>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row>
    <row r="432" spans="1:226" ht="14.25" customHeight="1" x14ac:dyDescent="0.25">
      <c r="A432" s="1"/>
      <c r="B432" s="1"/>
      <c r="C432" s="1"/>
      <c r="D432" s="1"/>
      <c r="E432" s="1"/>
      <c r="F432" s="1"/>
      <c r="G432" s="1"/>
      <c r="H432" s="1"/>
      <c r="I432" s="1"/>
      <c r="J432" s="1"/>
      <c r="K432" s="1"/>
      <c r="L432" s="1"/>
      <c r="M432" s="1"/>
      <c r="N432" s="1"/>
      <c r="O432" s="1"/>
      <c r="P432" s="1"/>
      <c r="Q432" s="1"/>
      <c r="R432" s="1"/>
      <c r="S432" s="1"/>
      <c r="T432" s="14"/>
      <c r="U432" s="14"/>
      <c r="V432" s="14"/>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row>
    <row r="433" spans="1:226" ht="14.25" customHeight="1" x14ac:dyDescent="0.25">
      <c r="A433" s="1"/>
      <c r="B433" s="1"/>
      <c r="C433" s="1"/>
      <c r="D433" s="1"/>
      <c r="E433" s="1"/>
      <c r="F433" s="1"/>
      <c r="G433" s="1"/>
      <c r="H433" s="1"/>
      <c r="I433" s="1"/>
      <c r="J433" s="1"/>
      <c r="K433" s="1"/>
      <c r="L433" s="1"/>
      <c r="M433" s="1"/>
      <c r="N433" s="1"/>
      <c r="O433" s="1"/>
      <c r="P433" s="1"/>
      <c r="Q433" s="1"/>
      <c r="R433" s="1"/>
      <c r="S433" s="1"/>
      <c r="T433" s="14"/>
      <c r="U433" s="14"/>
      <c r="V433" s="14"/>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row>
    <row r="434" spans="1:226" ht="14.25" customHeight="1" x14ac:dyDescent="0.25">
      <c r="A434" s="1"/>
      <c r="B434" s="1"/>
      <c r="C434" s="1"/>
      <c r="D434" s="1"/>
      <c r="E434" s="1"/>
      <c r="F434" s="1"/>
      <c r="G434" s="1"/>
      <c r="H434" s="1"/>
      <c r="I434" s="1"/>
      <c r="J434" s="1"/>
      <c r="K434" s="1"/>
      <c r="L434" s="1"/>
      <c r="M434" s="1"/>
      <c r="N434" s="1"/>
      <c r="O434" s="1"/>
      <c r="P434" s="1"/>
      <c r="Q434" s="1"/>
      <c r="R434" s="1"/>
      <c r="S434" s="1"/>
      <c r="T434" s="14"/>
      <c r="U434" s="14"/>
      <c r="V434" s="14"/>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row>
    <row r="435" spans="1:226" ht="14.25" customHeight="1" x14ac:dyDescent="0.25">
      <c r="A435" s="1"/>
      <c r="B435" s="1"/>
      <c r="C435" s="1"/>
      <c r="D435" s="1"/>
      <c r="E435" s="1"/>
      <c r="F435" s="1"/>
      <c r="G435" s="1"/>
      <c r="H435" s="1"/>
      <c r="I435" s="1"/>
      <c r="J435" s="1"/>
      <c r="K435" s="1"/>
      <c r="L435" s="1"/>
      <c r="M435" s="1"/>
      <c r="N435" s="1"/>
      <c r="O435" s="1"/>
      <c r="P435" s="1"/>
      <c r="Q435" s="1"/>
      <c r="R435" s="1"/>
      <c r="S435" s="1"/>
      <c r="T435" s="14"/>
      <c r="U435" s="14"/>
      <c r="V435" s="14"/>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row>
    <row r="436" spans="1:226" ht="14.25" customHeight="1" x14ac:dyDescent="0.25">
      <c r="A436" s="1"/>
      <c r="B436" s="1"/>
      <c r="C436" s="1"/>
      <c r="D436" s="1"/>
      <c r="E436" s="1"/>
      <c r="F436" s="1"/>
      <c r="G436" s="1"/>
      <c r="H436" s="1"/>
      <c r="I436" s="1"/>
      <c r="J436" s="1"/>
      <c r="K436" s="1"/>
      <c r="L436" s="1"/>
      <c r="M436" s="1"/>
      <c r="N436" s="1"/>
      <c r="O436" s="1"/>
      <c r="P436" s="1"/>
      <c r="Q436" s="1"/>
      <c r="R436" s="1"/>
      <c r="S436" s="1"/>
      <c r="T436" s="14"/>
      <c r="U436" s="14"/>
      <c r="V436" s="14"/>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row>
    <row r="437" spans="1:226" ht="14.25" customHeight="1" x14ac:dyDescent="0.25">
      <c r="A437" s="1"/>
      <c r="B437" s="1"/>
      <c r="C437" s="1"/>
      <c r="D437" s="1"/>
      <c r="E437" s="1"/>
      <c r="F437" s="1"/>
      <c r="G437" s="1"/>
      <c r="H437" s="1"/>
      <c r="I437" s="1"/>
      <c r="J437" s="1"/>
      <c r="K437" s="1"/>
      <c r="L437" s="1"/>
      <c r="M437" s="1"/>
      <c r="N437" s="1"/>
      <c r="O437" s="1"/>
      <c r="P437" s="1"/>
      <c r="Q437" s="1"/>
      <c r="R437" s="1"/>
      <c r="S437" s="1"/>
      <c r="T437" s="14"/>
      <c r="U437" s="14"/>
      <c r="V437" s="14"/>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row>
    <row r="438" spans="1:226" ht="14.25" customHeight="1" x14ac:dyDescent="0.25">
      <c r="A438" s="1"/>
      <c r="B438" s="1"/>
      <c r="C438" s="1"/>
      <c r="D438" s="1"/>
      <c r="E438" s="1"/>
      <c r="F438" s="1"/>
      <c r="G438" s="1"/>
      <c r="H438" s="1"/>
      <c r="I438" s="1"/>
      <c r="J438" s="1"/>
      <c r="K438" s="1"/>
      <c r="L438" s="1"/>
      <c r="M438" s="1"/>
      <c r="N438" s="1"/>
      <c r="O438" s="1"/>
      <c r="P438" s="1"/>
      <c r="Q438" s="1"/>
      <c r="R438" s="1"/>
      <c r="S438" s="1"/>
      <c r="T438" s="14"/>
      <c r="U438" s="14"/>
      <c r="V438" s="14"/>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row>
    <row r="439" spans="1:226" ht="14.25" customHeight="1" x14ac:dyDescent="0.25">
      <c r="A439" s="1"/>
      <c r="B439" s="1"/>
      <c r="C439" s="1"/>
      <c r="D439" s="1"/>
      <c r="E439" s="1"/>
      <c r="F439" s="1"/>
      <c r="G439" s="1"/>
      <c r="H439" s="1"/>
      <c r="I439" s="1"/>
      <c r="J439" s="1"/>
      <c r="K439" s="1"/>
      <c r="L439" s="1"/>
      <c r="M439" s="1"/>
      <c r="N439" s="1"/>
      <c r="O439" s="1"/>
      <c r="P439" s="1"/>
      <c r="Q439" s="1"/>
      <c r="R439" s="1"/>
      <c r="S439" s="1"/>
      <c r="T439" s="14"/>
      <c r="U439" s="14"/>
      <c r="V439" s="14"/>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row>
    <row r="440" spans="1:226" ht="14.25" customHeight="1" x14ac:dyDescent="0.25">
      <c r="A440" s="1"/>
      <c r="B440" s="1"/>
      <c r="C440" s="1"/>
      <c r="D440" s="1"/>
      <c r="E440" s="1"/>
      <c r="F440" s="1"/>
      <c r="G440" s="1"/>
      <c r="H440" s="1"/>
      <c r="I440" s="1"/>
      <c r="J440" s="1"/>
      <c r="K440" s="1"/>
      <c r="L440" s="1"/>
      <c r="M440" s="1"/>
      <c r="N440" s="1"/>
      <c r="O440" s="1"/>
      <c r="P440" s="1"/>
      <c r="Q440" s="1"/>
      <c r="R440" s="1"/>
      <c r="S440" s="1"/>
      <c r="T440" s="14"/>
      <c r="U440" s="14"/>
      <c r="V440" s="14"/>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row>
    <row r="441" spans="1:226" ht="14.25" customHeight="1" x14ac:dyDescent="0.25">
      <c r="A441" s="1"/>
      <c r="B441" s="1"/>
      <c r="C441" s="1"/>
      <c r="D441" s="1"/>
      <c r="E441" s="1"/>
      <c r="F441" s="1"/>
      <c r="G441" s="1"/>
      <c r="H441" s="1"/>
      <c r="I441" s="1"/>
      <c r="J441" s="1"/>
      <c r="K441" s="1"/>
      <c r="L441" s="1"/>
      <c r="M441" s="1"/>
      <c r="N441" s="1"/>
      <c r="O441" s="1"/>
      <c r="P441" s="1"/>
      <c r="Q441" s="1"/>
      <c r="R441" s="1"/>
      <c r="S441" s="1"/>
      <c r="T441" s="14"/>
      <c r="U441" s="14"/>
      <c r="V441" s="14"/>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row>
    <row r="442" spans="1:226" ht="14.25" customHeight="1" x14ac:dyDescent="0.25">
      <c r="A442" s="1"/>
      <c r="B442" s="1"/>
      <c r="C442" s="1"/>
      <c r="D442" s="1"/>
      <c r="E442" s="1"/>
      <c r="F442" s="1"/>
      <c r="G442" s="1"/>
      <c r="H442" s="1"/>
      <c r="I442" s="1"/>
      <c r="J442" s="1"/>
      <c r="K442" s="1"/>
      <c r="L442" s="1"/>
      <c r="M442" s="1"/>
      <c r="N442" s="1"/>
      <c r="O442" s="1"/>
      <c r="P442" s="1"/>
      <c r="Q442" s="1"/>
      <c r="R442" s="1"/>
      <c r="S442" s="1"/>
      <c r="T442" s="14"/>
      <c r="U442" s="14"/>
      <c r="V442" s="14"/>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row>
    <row r="443" spans="1:226" ht="14.25" customHeight="1" x14ac:dyDescent="0.25">
      <c r="A443" s="1"/>
      <c r="B443" s="1"/>
      <c r="C443" s="1"/>
      <c r="D443" s="1"/>
      <c r="E443" s="1"/>
      <c r="F443" s="1"/>
      <c r="G443" s="1"/>
      <c r="H443" s="1"/>
      <c r="I443" s="1"/>
      <c r="J443" s="1"/>
      <c r="K443" s="1"/>
      <c r="L443" s="1"/>
      <c r="M443" s="1"/>
      <c r="N443" s="1"/>
      <c r="O443" s="1"/>
      <c r="P443" s="1"/>
      <c r="Q443" s="1"/>
      <c r="R443" s="1"/>
      <c r="S443" s="1"/>
      <c r="T443" s="14"/>
      <c r="U443" s="14"/>
      <c r="V443" s="14"/>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row>
    <row r="444" spans="1:226" ht="14.25" customHeight="1" x14ac:dyDescent="0.25">
      <c r="A444" s="1"/>
      <c r="B444" s="1"/>
      <c r="C444" s="1"/>
      <c r="D444" s="1"/>
      <c r="E444" s="1"/>
      <c r="F444" s="1"/>
      <c r="G444" s="1"/>
      <c r="H444" s="1"/>
      <c r="I444" s="1"/>
      <c r="J444" s="1"/>
      <c r="K444" s="1"/>
      <c r="L444" s="1"/>
      <c r="M444" s="1"/>
      <c r="N444" s="1"/>
      <c r="O444" s="1"/>
      <c r="P444" s="1"/>
      <c r="Q444" s="1"/>
      <c r="R444" s="1"/>
      <c r="S444" s="1"/>
      <c r="T444" s="14"/>
      <c r="U444" s="14"/>
      <c r="V444" s="14"/>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row>
    <row r="445" spans="1:226" ht="14.25" customHeight="1" x14ac:dyDescent="0.25">
      <c r="A445" s="1"/>
      <c r="B445" s="1"/>
      <c r="C445" s="1"/>
      <c r="D445" s="1"/>
      <c r="E445" s="1"/>
      <c r="F445" s="1"/>
      <c r="G445" s="1"/>
      <c r="H445" s="1"/>
      <c r="I445" s="1"/>
      <c r="J445" s="1"/>
      <c r="K445" s="1"/>
      <c r="L445" s="1"/>
      <c r="M445" s="1"/>
      <c r="N445" s="1"/>
      <c r="O445" s="1"/>
      <c r="P445" s="1"/>
      <c r="Q445" s="1"/>
      <c r="R445" s="1"/>
      <c r="S445" s="1"/>
      <c r="T445" s="14"/>
      <c r="U445" s="14"/>
      <c r="V445" s="14"/>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row>
    <row r="446" spans="1:226" ht="14.25" customHeight="1" x14ac:dyDescent="0.25">
      <c r="A446" s="1"/>
      <c r="B446" s="1"/>
      <c r="C446" s="1"/>
      <c r="D446" s="1"/>
      <c r="E446" s="1"/>
      <c r="F446" s="1"/>
      <c r="G446" s="1"/>
      <c r="H446" s="1"/>
      <c r="I446" s="1"/>
      <c r="J446" s="1"/>
      <c r="K446" s="1"/>
      <c r="L446" s="1"/>
      <c r="M446" s="1"/>
      <c r="N446" s="1"/>
      <c r="O446" s="1"/>
      <c r="P446" s="1"/>
      <c r="Q446" s="1"/>
      <c r="R446" s="1"/>
      <c r="S446" s="1"/>
      <c r="T446" s="14"/>
      <c r="U446" s="14"/>
      <c r="V446" s="14"/>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row>
    <row r="447" spans="1:226" ht="14.25" customHeight="1" x14ac:dyDescent="0.25">
      <c r="A447" s="1"/>
      <c r="B447" s="1"/>
      <c r="C447" s="1"/>
      <c r="D447" s="1"/>
      <c r="E447" s="1"/>
      <c r="F447" s="1"/>
      <c r="G447" s="1"/>
      <c r="H447" s="1"/>
      <c r="I447" s="1"/>
      <c r="J447" s="1"/>
      <c r="K447" s="1"/>
      <c r="L447" s="1"/>
      <c r="M447" s="1"/>
      <c r="N447" s="1"/>
      <c r="O447" s="1"/>
      <c r="P447" s="1"/>
      <c r="Q447" s="1"/>
      <c r="R447" s="1"/>
      <c r="S447" s="1"/>
      <c r="T447" s="14"/>
      <c r="U447" s="14"/>
      <c r="V447" s="14"/>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row>
    <row r="448" spans="1:226" ht="14.25" customHeight="1" x14ac:dyDescent="0.25">
      <c r="A448" s="1"/>
      <c r="B448" s="1"/>
      <c r="C448" s="1"/>
      <c r="D448" s="1"/>
      <c r="E448" s="1"/>
      <c r="F448" s="1"/>
      <c r="G448" s="1"/>
      <c r="H448" s="1"/>
      <c r="I448" s="1"/>
      <c r="J448" s="1"/>
      <c r="K448" s="1"/>
      <c r="L448" s="1"/>
      <c r="M448" s="1"/>
      <c r="N448" s="1"/>
      <c r="O448" s="1"/>
      <c r="P448" s="1"/>
      <c r="Q448" s="1"/>
      <c r="R448" s="1"/>
      <c r="S448" s="1"/>
      <c r="T448" s="14"/>
      <c r="U448" s="14"/>
      <c r="V448" s="14"/>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row>
    <row r="449" spans="1:226" ht="14.25" customHeight="1" x14ac:dyDescent="0.25">
      <c r="A449" s="1"/>
      <c r="B449" s="1"/>
      <c r="C449" s="1"/>
      <c r="D449" s="1"/>
      <c r="E449" s="1"/>
      <c r="F449" s="1"/>
      <c r="G449" s="1"/>
      <c r="H449" s="1"/>
      <c r="I449" s="1"/>
      <c r="J449" s="1"/>
      <c r="K449" s="1"/>
      <c r="L449" s="1"/>
      <c r="M449" s="1"/>
      <c r="N449" s="1"/>
      <c r="O449" s="1"/>
      <c r="P449" s="1"/>
      <c r="Q449" s="1"/>
      <c r="R449" s="1"/>
      <c r="S449" s="1"/>
      <c r="T449" s="14"/>
      <c r="U449" s="14"/>
      <c r="V449" s="14"/>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row>
    <row r="450" spans="1:226" ht="14.25" customHeight="1" x14ac:dyDescent="0.25">
      <c r="A450" s="1"/>
      <c r="B450" s="1"/>
      <c r="C450" s="1"/>
      <c r="D450" s="1"/>
      <c r="E450" s="1"/>
      <c r="F450" s="1"/>
      <c r="G450" s="1"/>
      <c r="H450" s="1"/>
      <c r="I450" s="1"/>
      <c r="J450" s="1"/>
      <c r="K450" s="1"/>
      <c r="L450" s="1"/>
      <c r="M450" s="1"/>
      <c r="N450" s="1"/>
      <c r="O450" s="1"/>
      <c r="P450" s="1"/>
      <c r="Q450" s="1"/>
      <c r="R450" s="1"/>
      <c r="S450" s="1"/>
      <c r="T450" s="14"/>
      <c r="U450" s="14"/>
      <c r="V450" s="14"/>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row>
    <row r="451" spans="1:226" ht="14.25" customHeight="1" x14ac:dyDescent="0.25">
      <c r="A451" s="1"/>
      <c r="B451" s="1"/>
      <c r="C451" s="1"/>
      <c r="D451" s="1"/>
      <c r="E451" s="1"/>
      <c r="F451" s="1"/>
      <c r="G451" s="1"/>
      <c r="H451" s="1"/>
      <c r="I451" s="1"/>
      <c r="J451" s="1"/>
      <c r="K451" s="1"/>
      <c r="L451" s="1"/>
      <c r="M451" s="1"/>
      <c r="N451" s="1"/>
      <c r="O451" s="1"/>
      <c r="P451" s="1"/>
      <c r="Q451" s="1"/>
      <c r="R451" s="1"/>
      <c r="S451" s="1"/>
      <c r="T451" s="14"/>
      <c r="U451" s="14"/>
      <c r="V451" s="14"/>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row>
    <row r="452" spans="1:226" ht="14.25" customHeight="1" x14ac:dyDescent="0.25">
      <c r="A452" s="1"/>
      <c r="B452" s="1"/>
      <c r="C452" s="1"/>
      <c r="D452" s="1"/>
      <c r="E452" s="1"/>
      <c r="F452" s="1"/>
      <c r="G452" s="1"/>
      <c r="H452" s="1"/>
      <c r="I452" s="1"/>
      <c r="J452" s="1"/>
      <c r="K452" s="1"/>
      <c r="L452" s="1"/>
      <c r="M452" s="1"/>
      <c r="N452" s="1"/>
      <c r="O452" s="1"/>
      <c r="P452" s="1"/>
      <c r="Q452" s="1"/>
      <c r="R452" s="1"/>
      <c r="S452" s="1"/>
      <c r="T452" s="14"/>
      <c r="U452" s="14"/>
      <c r="V452" s="14"/>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row>
    <row r="453" spans="1:226" ht="14.25" customHeight="1" x14ac:dyDescent="0.25">
      <c r="A453" s="1"/>
      <c r="B453" s="1"/>
      <c r="C453" s="1"/>
      <c r="D453" s="1"/>
      <c r="E453" s="1"/>
      <c r="F453" s="1"/>
      <c r="G453" s="1"/>
      <c r="H453" s="1"/>
      <c r="I453" s="1"/>
      <c r="J453" s="1"/>
      <c r="K453" s="1"/>
      <c r="L453" s="1"/>
      <c r="M453" s="1"/>
      <c r="N453" s="1"/>
      <c r="O453" s="1"/>
      <c r="P453" s="1"/>
      <c r="Q453" s="1"/>
      <c r="R453" s="1"/>
      <c r="S453" s="1"/>
      <c r="T453" s="14"/>
      <c r="U453" s="14"/>
      <c r="V453" s="14"/>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row>
    <row r="454" spans="1:226" ht="14.25" customHeight="1" x14ac:dyDescent="0.25">
      <c r="A454" s="1"/>
      <c r="B454" s="1"/>
      <c r="C454" s="1"/>
      <c r="D454" s="1"/>
      <c r="E454" s="1"/>
      <c r="F454" s="1"/>
      <c r="G454" s="1"/>
      <c r="H454" s="1"/>
      <c r="I454" s="1"/>
      <c r="J454" s="1"/>
      <c r="K454" s="1"/>
      <c r="L454" s="1"/>
      <c r="M454" s="1"/>
      <c r="N454" s="1"/>
      <c r="O454" s="1"/>
      <c r="P454" s="1"/>
      <c r="Q454" s="1"/>
      <c r="R454" s="1"/>
      <c r="S454" s="1"/>
      <c r="T454" s="14"/>
      <c r="U454" s="14"/>
      <c r="V454" s="14"/>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row>
    <row r="455" spans="1:226" ht="14.25" customHeight="1" x14ac:dyDescent="0.25">
      <c r="A455" s="1"/>
      <c r="B455" s="1"/>
      <c r="C455" s="1"/>
      <c r="D455" s="1"/>
      <c r="E455" s="1"/>
      <c r="F455" s="1"/>
      <c r="G455" s="1"/>
      <c r="H455" s="1"/>
      <c r="I455" s="1"/>
      <c r="J455" s="1"/>
      <c r="K455" s="1"/>
      <c r="L455" s="1"/>
      <c r="M455" s="1"/>
      <c r="N455" s="1"/>
      <c r="O455" s="1"/>
      <c r="P455" s="1"/>
      <c r="Q455" s="1"/>
      <c r="R455" s="1"/>
      <c r="S455" s="1"/>
      <c r="T455" s="14"/>
      <c r="U455" s="14"/>
      <c r="V455" s="14"/>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row>
    <row r="456" spans="1:226" ht="14.25" customHeight="1" x14ac:dyDescent="0.25">
      <c r="A456" s="1"/>
      <c r="B456" s="1"/>
      <c r="C456" s="1"/>
      <c r="D456" s="1"/>
      <c r="E456" s="1"/>
      <c r="F456" s="1"/>
      <c r="G456" s="1"/>
      <c r="H456" s="1"/>
      <c r="I456" s="1"/>
      <c r="J456" s="1"/>
      <c r="K456" s="1"/>
      <c r="L456" s="1"/>
      <c r="M456" s="1"/>
      <c r="N456" s="1"/>
      <c r="O456" s="1"/>
      <c r="P456" s="1"/>
      <c r="Q456" s="1"/>
      <c r="R456" s="1"/>
      <c r="S456" s="1"/>
      <c r="T456" s="14"/>
      <c r="U456" s="14"/>
      <c r="V456" s="14"/>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row>
    <row r="457" spans="1:226" ht="14.25" customHeight="1" x14ac:dyDescent="0.25">
      <c r="A457" s="1"/>
      <c r="B457" s="1"/>
      <c r="C457" s="1"/>
      <c r="D457" s="1"/>
      <c r="E457" s="1"/>
      <c r="F457" s="1"/>
      <c r="G457" s="1"/>
      <c r="H457" s="1"/>
      <c r="I457" s="1"/>
      <c r="J457" s="1"/>
      <c r="K457" s="1"/>
      <c r="L457" s="1"/>
      <c r="M457" s="1"/>
      <c r="N457" s="1"/>
      <c r="O457" s="1"/>
      <c r="P457" s="1"/>
      <c r="Q457" s="1"/>
      <c r="R457" s="1"/>
      <c r="S457" s="1"/>
      <c r="T457" s="14"/>
      <c r="U457" s="14"/>
      <c r="V457" s="14"/>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row>
    <row r="458" spans="1:226" ht="14.25" customHeight="1" x14ac:dyDescent="0.25">
      <c r="A458" s="1"/>
      <c r="B458" s="1"/>
      <c r="C458" s="1"/>
      <c r="D458" s="1"/>
      <c r="E458" s="1"/>
      <c r="F458" s="1"/>
      <c r="G458" s="1"/>
      <c r="H458" s="1"/>
      <c r="I458" s="1"/>
      <c r="J458" s="1"/>
      <c r="K458" s="1"/>
      <c r="L458" s="1"/>
      <c r="M458" s="1"/>
      <c r="N458" s="1"/>
      <c r="O458" s="1"/>
      <c r="P458" s="1"/>
      <c r="Q458" s="1"/>
      <c r="R458" s="1"/>
      <c r="S458" s="1"/>
      <c r="T458" s="14"/>
      <c r="U458" s="14"/>
      <c r="V458" s="14"/>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row>
    <row r="459" spans="1:226" ht="14.25" customHeight="1" x14ac:dyDescent="0.25">
      <c r="A459" s="1"/>
      <c r="B459" s="1"/>
      <c r="C459" s="1"/>
      <c r="D459" s="1"/>
      <c r="E459" s="1"/>
      <c r="F459" s="1"/>
      <c r="G459" s="1"/>
      <c r="H459" s="1"/>
      <c r="I459" s="1"/>
      <c r="J459" s="1"/>
      <c r="K459" s="1"/>
      <c r="L459" s="1"/>
      <c r="M459" s="1"/>
      <c r="N459" s="1"/>
      <c r="O459" s="1"/>
      <c r="P459" s="1"/>
      <c r="Q459" s="1"/>
      <c r="R459" s="1"/>
      <c r="S459" s="1"/>
      <c r="T459" s="14"/>
      <c r="U459" s="14"/>
      <c r="V459" s="14"/>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row>
    <row r="460" spans="1:226" ht="14.25" customHeight="1" x14ac:dyDescent="0.25">
      <c r="A460" s="1"/>
      <c r="B460" s="1"/>
      <c r="C460" s="1"/>
      <c r="D460" s="1"/>
      <c r="E460" s="1"/>
      <c r="F460" s="1"/>
      <c r="G460" s="1"/>
      <c r="H460" s="1"/>
      <c r="I460" s="1"/>
      <c r="J460" s="1"/>
      <c r="K460" s="1"/>
      <c r="L460" s="1"/>
      <c r="M460" s="1"/>
      <c r="N460" s="1"/>
      <c r="O460" s="1"/>
      <c r="P460" s="1"/>
      <c r="Q460" s="1"/>
      <c r="R460" s="1"/>
      <c r="S460" s="1"/>
      <c r="T460" s="14"/>
      <c r="U460" s="14"/>
      <c r="V460" s="14"/>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row>
    <row r="461" spans="1:226" ht="14.25" customHeight="1" x14ac:dyDescent="0.25">
      <c r="A461" s="1"/>
      <c r="B461" s="1"/>
      <c r="C461" s="1"/>
      <c r="D461" s="1"/>
      <c r="E461" s="1"/>
      <c r="F461" s="1"/>
      <c r="G461" s="1"/>
      <c r="H461" s="1"/>
      <c r="I461" s="1"/>
      <c r="J461" s="1"/>
      <c r="K461" s="1"/>
      <c r="L461" s="1"/>
      <c r="M461" s="1"/>
      <c r="N461" s="1"/>
      <c r="O461" s="1"/>
      <c r="P461" s="1"/>
      <c r="Q461" s="1"/>
      <c r="R461" s="1"/>
      <c r="S461" s="1"/>
      <c r="T461" s="14"/>
      <c r="U461" s="14"/>
      <c r="V461" s="14"/>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row>
    <row r="462" spans="1:226" ht="14.25" customHeight="1" x14ac:dyDescent="0.25">
      <c r="A462" s="1"/>
      <c r="B462" s="1"/>
      <c r="C462" s="1"/>
      <c r="D462" s="1"/>
      <c r="E462" s="1"/>
      <c r="F462" s="1"/>
      <c r="G462" s="1"/>
      <c r="H462" s="1"/>
      <c r="I462" s="1"/>
      <c r="J462" s="1"/>
      <c r="K462" s="1"/>
      <c r="L462" s="1"/>
      <c r="M462" s="1"/>
      <c r="N462" s="1"/>
      <c r="O462" s="1"/>
      <c r="P462" s="1"/>
      <c r="Q462" s="1"/>
      <c r="R462" s="1"/>
      <c r="S462" s="1"/>
      <c r="T462" s="14"/>
      <c r="U462" s="14"/>
      <c r="V462" s="14"/>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row>
    <row r="463" spans="1:226" ht="14.25" customHeight="1" x14ac:dyDescent="0.25">
      <c r="A463" s="1"/>
      <c r="B463" s="1"/>
      <c r="C463" s="1"/>
      <c r="D463" s="1"/>
      <c r="E463" s="1"/>
      <c r="F463" s="1"/>
      <c r="G463" s="1"/>
      <c r="H463" s="1"/>
      <c r="I463" s="1"/>
      <c r="J463" s="1"/>
      <c r="K463" s="1"/>
      <c r="L463" s="1"/>
      <c r="M463" s="1"/>
      <c r="N463" s="1"/>
      <c r="O463" s="1"/>
      <c r="P463" s="1"/>
      <c r="Q463" s="1"/>
      <c r="R463" s="1"/>
      <c r="S463" s="1"/>
      <c r="T463" s="14"/>
      <c r="U463" s="14"/>
      <c r="V463" s="14"/>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row>
    <row r="464" spans="1:226" ht="14.25" customHeight="1" x14ac:dyDescent="0.25">
      <c r="A464" s="1"/>
      <c r="B464" s="1"/>
      <c r="C464" s="1"/>
      <c r="D464" s="1"/>
      <c r="E464" s="1"/>
      <c r="F464" s="1"/>
      <c r="G464" s="1"/>
      <c r="H464" s="1"/>
      <c r="I464" s="1"/>
      <c r="J464" s="1"/>
      <c r="K464" s="1"/>
      <c r="L464" s="1"/>
      <c r="M464" s="1"/>
      <c r="N464" s="1"/>
      <c r="O464" s="1"/>
      <c r="P464" s="1"/>
      <c r="Q464" s="1"/>
      <c r="R464" s="1"/>
      <c r="S464" s="1"/>
      <c r="T464" s="14"/>
      <c r="U464" s="14"/>
      <c r="V464" s="14"/>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row>
    <row r="465" spans="1:226" ht="14.25" customHeight="1" x14ac:dyDescent="0.25">
      <c r="A465" s="1"/>
      <c r="B465" s="1"/>
      <c r="C465" s="1"/>
      <c r="D465" s="1"/>
      <c r="E465" s="1"/>
      <c r="F465" s="1"/>
      <c r="G465" s="1"/>
      <c r="H465" s="1"/>
      <c r="I465" s="1"/>
      <c r="J465" s="1"/>
      <c r="K465" s="1"/>
      <c r="L465" s="1"/>
      <c r="M465" s="1"/>
      <c r="N465" s="1"/>
      <c r="O465" s="1"/>
      <c r="P465" s="1"/>
      <c r="Q465" s="1"/>
      <c r="R465" s="1"/>
      <c r="S465" s="1"/>
      <c r="T465" s="14"/>
      <c r="U465" s="14"/>
      <c r="V465" s="14"/>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row>
    <row r="466" spans="1:226" ht="14.25" customHeight="1" x14ac:dyDescent="0.25">
      <c r="A466" s="1"/>
      <c r="B466" s="1"/>
      <c r="C466" s="1"/>
      <c r="D466" s="1"/>
      <c r="E466" s="1"/>
      <c r="F466" s="1"/>
      <c r="G466" s="1"/>
      <c r="H466" s="1"/>
      <c r="I466" s="1"/>
      <c r="J466" s="1"/>
      <c r="K466" s="1"/>
      <c r="L466" s="1"/>
      <c r="M466" s="1"/>
      <c r="N466" s="1"/>
      <c r="O466" s="1"/>
      <c r="P466" s="1"/>
      <c r="Q466" s="1"/>
      <c r="R466" s="1"/>
      <c r="S466" s="1"/>
      <c r="T466" s="14"/>
      <c r="U466" s="14"/>
      <c r="V466" s="14"/>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row>
    <row r="467" spans="1:226" ht="14.25" customHeight="1" x14ac:dyDescent="0.25">
      <c r="A467" s="1"/>
      <c r="B467" s="1"/>
      <c r="C467" s="1"/>
      <c r="D467" s="1"/>
      <c r="E467" s="1"/>
      <c r="F467" s="1"/>
      <c r="G467" s="1"/>
      <c r="H467" s="1"/>
      <c r="I467" s="1"/>
      <c r="J467" s="1"/>
      <c r="K467" s="1"/>
      <c r="L467" s="1"/>
      <c r="M467" s="1"/>
      <c r="N467" s="1"/>
      <c r="O467" s="1"/>
      <c r="P467" s="1"/>
      <c r="Q467" s="1"/>
      <c r="R467" s="1"/>
      <c r="S467" s="1"/>
      <c r="T467" s="14"/>
      <c r="U467" s="14"/>
      <c r="V467" s="14"/>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row>
    <row r="468" spans="1:226" ht="14.25" customHeight="1" x14ac:dyDescent="0.25">
      <c r="A468" s="1"/>
      <c r="B468" s="1"/>
      <c r="C468" s="1"/>
      <c r="D468" s="1"/>
      <c r="E468" s="1"/>
      <c r="F468" s="1"/>
      <c r="G468" s="1"/>
      <c r="H468" s="1"/>
      <c r="I468" s="1"/>
      <c r="J468" s="1"/>
      <c r="K468" s="1"/>
      <c r="L468" s="1"/>
      <c r="M468" s="1"/>
      <c r="N468" s="1"/>
      <c r="O468" s="1"/>
      <c r="P468" s="1"/>
      <c r="Q468" s="1"/>
      <c r="R468" s="1"/>
      <c r="S468" s="1"/>
      <c r="T468" s="14"/>
      <c r="U468" s="14"/>
      <c r="V468" s="14"/>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row>
    <row r="469" spans="1:226" ht="14.25" customHeight="1" x14ac:dyDescent="0.25">
      <c r="A469" s="1"/>
      <c r="B469" s="1"/>
      <c r="C469" s="1"/>
      <c r="D469" s="1"/>
      <c r="E469" s="1"/>
      <c r="F469" s="1"/>
      <c r="G469" s="1"/>
      <c r="H469" s="1"/>
      <c r="I469" s="1"/>
      <c r="J469" s="1"/>
      <c r="K469" s="1"/>
      <c r="L469" s="1"/>
      <c r="M469" s="1"/>
      <c r="N469" s="1"/>
      <c r="O469" s="1"/>
      <c r="P469" s="1"/>
      <c r="Q469" s="1"/>
      <c r="R469" s="1"/>
      <c r="S469" s="1"/>
      <c r="T469" s="14"/>
      <c r="U469" s="14"/>
      <c r="V469" s="14"/>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row>
    <row r="470" spans="1:226" ht="14.25" customHeight="1" x14ac:dyDescent="0.25">
      <c r="A470" s="1"/>
      <c r="B470" s="1"/>
      <c r="C470" s="1"/>
      <c r="D470" s="1"/>
      <c r="E470" s="1"/>
      <c r="F470" s="1"/>
      <c r="G470" s="1"/>
      <c r="H470" s="1"/>
      <c r="I470" s="1"/>
      <c r="J470" s="1"/>
      <c r="K470" s="1"/>
      <c r="L470" s="1"/>
      <c r="M470" s="1"/>
      <c r="N470" s="1"/>
      <c r="O470" s="1"/>
      <c r="P470" s="1"/>
      <c r="Q470" s="1"/>
      <c r="R470" s="1"/>
      <c r="S470" s="1"/>
      <c r="T470" s="14"/>
      <c r="U470" s="14"/>
      <c r="V470" s="14"/>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row>
    <row r="471" spans="1:226" ht="14.25" customHeight="1" x14ac:dyDescent="0.25">
      <c r="A471" s="1"/>
      <c r="B471" s="1"/>
      <c r="C471" s="1"/>
      <c r="D471" s="1"/>
      <c r="E471" s="1"/>
      <c r="F471" s="1"/>
      <c r="G471" s="1"/>
      <c r="H471" s="1"/>
      <c r="I471" s="1"/>
      <c r="J471" s="1"/>
      <c r="K471" s="1"/>
      <c r="L471" s="1"/>
      <c r="M471" s="1"/>
      <c r="N471" s="1"/>
      <c r="O471" s="1"/>
      <c r="P471" s="1"/>
      <c r="Q471" s="1"/>
      <c r="R471" s="1"/>
      <c r="S471" s="1"/>
      <c r="T471" s="14"/>
      <c r="U471" s="14"/>
      <c r="V471" s="14"/>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row>
    <row r="472" spans="1:226" ht="14.25" customHeight="1" x14ac:dyDescent="0.25">
      <c r="A472" s="1"/>
      <c r="B472" s="1"/>
      <c r="C472" s="1"/>
      <c r="D472" s="1"/>
      <c r="E472" s="1"/>
      <c r="F472" s="1"/>
      <c r="G472" s="1"/>
      <c r="H472" s="1"/>
      <c r="I472" s="1"/>
      <c r="J472" s="1"/>
      <c r="K472" s="1"/>
      <c r="L472" s="1"/>
      <c r="M472" s="1"/>
      <c r="N472" s="1"/>
      <c r="O472" s="1"/>
      <c r="P472" s="1"/>
      <c r="Q472" s="1"/>
      <c r="R472" s="1"/>
      <c r="S472" s="1"/>
      <c r="T472" s="14"/>
      <c r="U472" s="14"/>
      <c r="V472" s="14"/>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row>
    <row r="473" spans="1:226" ht="14.25" customHeight="1" x14ac:dyDescent="0.25">
      <c r="A473" s="1"/>
      <c r="B473" s="1"/>
      <c r="C473" s="1"/>
      <c r="D473" s="1"/>
      <c r="E473" s="1"/>
      <c r="F473" s="1"/>
      <c r="G473" s="1"/>
      <c r="H473" s="1"/>
      <c r="I473" s="1"/>
      <c r="J473" s="1"/>
      <c r="K473" s="1"/>
      <c r="L473" s="1"/>
      <c r="M473" s="1"/>
      <c r="N473" s="1"/>
      <c r="O473" s="1"/>
      <c r="P473" s="1"/>
      <c r="Q473" s="1"/>
      <c r="R473" s="1"/>
      <c r="S473" s="1"/>
      <c r="T473" s="14"/>
      <c r="U473" s="14"/>
      <c r="V473" s="14"/>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row>
    <row r="474" spans="1:226" ht="14.25" customHeight="1" x14ac:dyDescent="0.25">
      <c r="A474" s="1"/>
      <c r="B474" s="1"/>
      <c r="C474" s="1"/>
      <c r="D474" s="1"/>
      <c r="E474" s="1"/>
      <c r="F474" s="1"/>
      <c r="G474" s="1"/>
      <c r="H474" s="1"/>
      <c r="I474" s="1"/>
      <c r="J474" s="1"/>
      <c r="K474" s="1"/>
      <c r="L474" s="1"/>
      <c r="M474" s="1"/>
      <c r="N474" s="1"/>
      <c r="O474" s="1"/>
      <c r="P474" s="1"/>
      <c r="Q474" s="1"/>
      <c r="R474" s="1"/>
      <c r="S474" s="1"/>
      <c r="T474" s="14"/>
      <c r="U474" s="14"/>
      <c r="V474" s="14"/>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row>
    <row r="475" spans="1:226" ht="14.25" customHeight="1" x14ac:dyDescent="0.25">
      <c r="A475" s="1"/>
      <c r="B475" s="1"/>
      <c r="C475" s="1"/>
      <c r="D475" s="1"/>
      <c r="E475" s="1"/>
      <c r="F475" s="1"/>
      <c r="G475" s="1"/>
      <c r="H475" s="1"/>
      <c r="I475" s="1"/>
      <c r="J475" s="1"/>
      <c r="K475" s="1"/>
      <c r="L475" s="1"/>
      <c r="M475" s="1"/>
      <c r="N475" s="1"/>
      <c r="O475" s="1"/>
      <c r="P475" s="1"/>
      <c r="Q475" s="1"/>
      <c r="R475" s="1"/>
      <c r="S475" s="1"/>
      <c r="T475" s="14"/>
      <c r="U475" s="14"/>
      <c r="V475" s="14"/>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row>
    <row r="476" spans="1:226" ht="14.25" customHeight="1" x14ac:dyDescent="0.25">
      <c r="A476" s="1"/>
      <c r="B476" s="1"/>
      <c r="C476" s="1"/>
      <c r="D476" s="1"/>
      <c r="E476" s="1"/>
      <c r="F476" s="1"/>
      <c r="G476" s="1"/>
      <c r="H476" s="1"/>
      <c r="I476" s="1"/>
      <c r="J476" s="1"/>
      <c r="K476" s="1"/>
      <c r="L476" s="1"/>
      <c r="M476" s="1"/>
      <c r="N476" s="1"/>
      <c r="O476" s="1"/>
      <c r="P476" s="1"/>
      <c r="Q476" s="1"/>
      <c r="R476" s="1"/>
      <c r="S476" s="1"/>
      <c r="T476" s="14"/>
      <c r="U476" s="14"/>
      <c r="V476" s="14"/>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row>
    <row r="477" spans="1:226" ht="14.25" customHeight="1" x14ac:dyDescent="0.25">
      <c r="A477" s="1"/>
      <c r="B477" s="1"/>
      <c r="C477" s="1"/>
      <c r="D477" s="1"/>
      <c r="E477" s="1"/>
      <c r="F477" s="1"/>
      <c r="G477" s="1"/>
      <c r="H477" s="1"/>
      <c r="I477" s="1"/>
      <c r="J477" s="1"/>
      <c r="K477" s="1"/>
      <c r="L477" s="1"/>
      <c r="M477" s="1"/>
      <c r="N477" s="1"/>
      <c r="O477" s="1"/>
      <c r="P477" s="1"/>
      <c r="Q477" s="1"/>
      <c r="R477" s="1"/>
      <c r="S477" s="1"/>
      <c r="T477" s="14"/>
      <c r="U477" s="14"/>
      <c r="V477" s="14"/>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row>
    <row r="478" spans="1:226" ht="14.25" customHeight="1" x14ac:dyDescent="0.25">
      <c r="A478" s="1"/>
      <c r="B478" s="1"/>
      <c r="C478" s="1"/>
      <c r="D478" s="1"/>
      <c r="E478" s="1"/>
      <c r="F478" s="1"/>
      <c r="G478" s="1"/>
      <c r="H478" s="1"/>
      <c r="I478" s="1"/>
      <c r="J478" s="1"/>
      <c r="K478" s="1"/>
      <c r="L478" s="1"/>
      <c r="M478" s="1"/>
      <c r="N478" s="1"/>
      <c r="O478" s="1"/>
      <c r="P478" s="1"/>
      <c r="Q478" s="1"/>
      <c r="R478" s="1"/>
      <c r="S478" s="1"/>
      <c r="T478" s="14"/>
      <c r="U478" s="14"/>
      <c r="V478" s="14"/>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row>
    <row r="479" spans="1:226" ht="14.25" customHeight="1" x14ac:dyDescent="0.25">
      <c r="A479" s="1"/>
      <c r="B479" s="1"/>
      <c r="C479" s="1"/>
      <c r="D479" s="1"/>
      <c r="E479" s="1"/>
      <c r="F479" s="1"/>
      <c r="G479" s="1"/>
      <c r="H479" s="1"/>
      <c r="I479" s="1"/>
      <c r="J479" s="1"/>
      <c r="K479" s="1"/>
      <c r="L479" s="1"/>
      <c r="M479" s="1"/>
      <c r="N479" s="1"/>
      <c r="O479" s="1"/>
      <c r="P479" s="1"/>
      <c r="Q479" s="1"/>
      <c r="R479" s="1"/>
      <c r="S479" s="1"/>
      <c r="T479" s="14"/>
      <c r="U479" s="14"/>
      <c r="V479" s="14"/>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row>
    <row r="480" spans="1:226" ht="14.25" customHeight="1" x14ac:dyDescent="0.25">
      <c r="A480" s="1"/>
      <c r="B480" s="1"/>
      <c r="C480" s="1"/>
      <c r="D480" s="1"/>
      <c r="E480" s="1"/>
      <c r="F480" s="1"/>
      <c r="G480" s="1"/>
      <c r="H480" s="1"/>
      <c r="I480" s="1"/>
      <c r="J480" s="1"/>
      <c r="K480" s="1"/>
      <c r="L480" s="1"/>
      <c r="M480" s="1"/>
      <c r="N480" s="1"/>
      <c r="O480" s="1"/>
      <c r="P480" s="1"/>
      <c r="Q480" s="1"/>
      <c r="R480" s="1"/>
      <c r="S480" s="1"/>
      <c r="T480" s="14"/>
      <c r="U480" s="14"/>
      <c r="V480" s="14"/>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row>
    <row r="481" spans="1:226" ht="14.25" customHeight="1" x14ac:dyDescent="0.25">
      <c r="A481" s="1"/>
      <c r="B481" s="1"/>
      <c r="C481" s="1"/>
      <c r="D481" s="1"/>
      <c r="E481" s="1"/>
      <c r="F481" s="1"/>
      <c r="G481" s="1"/>
      <c r="H481" s="1"/>
      <c r="I481" s="1"/>
      <c r="J481" s="1"/>
      <c r="K481" s="1"/>
      <c r="L481" s="1"/>
      <c r="M481" s="1"/>
      <c r="N481" s="1"/>
      <c r="O481" s="1"/>
      <c r="P481" s="1"/>
      <c r="Q481" s="1"/>
      <c r="R481" s="1"/>
      <c r="S481" s="1"/>
      <c r="T481" s="14"/>
      <c r="U481" s="14"/>
      <c r="V481" s="14"/>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row>
    <row r="482" spans="1:226" ht="14.25" customHeight="1" x14ac:dyDescent="0.25">
      <c r="A482" s="1"/>
      <c r="B482" s="1"/>
      <c r="C482" s="1"/>
      <c r="D482" s="1"/>
      <c r="E482" s="1"/>
      <c r="F482" s="1"/>
      <c r="G482" s="1"/>
      <c r="H482" s="1"/>
      <c r="I482" s="1"/>
      <c r="J482" s="1"/>
      <c r="K482" s="1"/>
      <c r="L482" s="1"/>
      <c r="M482" s="1"/>
      <c r="N482" s="1"/>
      <c r="O482" s="1"/>
      <c r="P482" s="1"/>
      <c r="Q482" s="1"/>
      <c r="R482" s="1"/>
      <c r="S482" s="1"/>
      <c r="T482" s="14"/>
      <c r="U482" s="14"/>
      <c r="V482" s="14"/>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row>
    <row r="483" spans="1:226" ht="14.25" customHeight="1" x14ac:dyDescent="0.25">
      <c r="A483" s="1"/>
      <c r="B483" s="1"/>
      <c r="C483" s="1"/>
      <c r="D483" s="1"/>
      <c r="E483" s="1"/>
      <c r="F483" s="1"/>
      <c r="G483" s="1"/>
      <c r="H483" s="1"/>
      <c r="I483" s="1"/>
      <c r="J483" s="1"/>
      <c r="K483" s="1"/>
      <c r="L483" s="1"/>
      <c r="M483" s="1"/>
      <c r="N483" s="1"/>
      <c r="O483" s="1"/>
      <c r="P483" s="1"/>
      <c r="Q483" s="1"/>
      <c r="R483" s="1"/>
      <c r="S483" s="1"/>
      <c r="T483" s="14"/>
      <c r="U483" s="14"/>
      <c r="V483" s="14"/>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row>
    <row r="484" spans="1:226" ht="14.25" customHeight="1" x14ac:dyDescent="0.25">
      <c r="A484" s="1"/>
      <c r="B484" s="1"/>
      <c r="C484" s="1"/>
      <c r="D484" s="1"/>
      <c r="E484" s="1"/>
      <c r="F484" s="1"/>
      <c r="G484" s="1"/>
      <c r="H484" s="1"/>
      <c r="I484" s="1"/>
      <c r="J484" s="1"/>
      <c r="K484" s="1"/>
      <c r="L484" s="1"/>
      <c r="M484" s="1"/>
      <c r="N484" s="1"/>
      <c r="O484" s="1"/>
      <c r="P484" s="1"/>
      <c r="Q484" s="1"/>
      <c r="R484" s="1"/>
      <c r="S484" s="1"/>
      <c r="T484" s="14"/>
      <c r="U484" s="14"/>
      <c r="V484" s="14"/>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row>
    <row r="485" spans="1:226" ht="14.25" customHeight="1" x14ac:dyDescent="0.25">
      <c r="A485" s="1"/>
      <c r="B485" s="1"/>
      <c r="C485" s="1"/>
      <c r="D485" s="1"/>
      <c r="E485" s="1"/>
      <c r="F485" s="1"/>
      <c r="G485" s="1"/>
      <c r="H485" s="1"/>
      <c r="I485" s="1"/>
      <c r="J485" s="1"/>
      <c r="K485" s="1"/>
      <c r="L485" s="1"/>
      <c r="M485" s="1"/>
      <c r="N485" s="1"/>
      <c r="O485" s="1"/>
      <c r="P485" s="1"/>
      <c r="Q485" s="1"/>
      <c r="R485" s="1"/>
      <c r="S485" s="1"/>
      <c r="T485" s="14"/>
      <c r="U485" s="14"/>
      <c r="V485" s="14"/>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row>
    <row r="486" spans="1:226" ht="14.25" customHeight="1" x14ac:dyDescent="0.25">
      <c r="A486" s="1"/>
      <c r="B486" s="1"/>
      <c r="C486" s="1"/>
      <c r="D486" s="1"/>
      <c r="E486" s="1"/>
      <c r="F486" s="1"/>
      <c r="G486" s="1"/>
      <c r="H486" s="1"/>
      <c r="I486" s="1"/>
      <c r="J486" s="1"/>
      <c r="K486" s="1"/>
      <c r="L486" s="1"/>
      <c r="M486" s="1"/>
      <c r="N486" s="1"/>
      <c r="O486" s="1"/>
      <c r="P486" s="1"/>
      <c r="Q486" s="1"/>
      <c r="R486" s="1"/>
      <c r="S486" s="1"/>
      <c r="T486" s="14"/>
      <c r="U486" s="14"/>
      <c r="V486" s="14"/>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row>
    <row r="487" spans="1:226" ht="14.25" customHeight="1" x14ac:dyDescent="0.25">
      <c r="A487" s="1"/>
      <c r="B487" s="1"/>
      <c r="C487" s="1"/>
      <c r="D487" s="1"/>
      <c r="E487" s="1"/>
      <c r="F487" s="1"/>
      <c r="G487" s="1"/>
      <c r="H487" s="1"/>
      <c r="I487" s="1"/>
      <c r="J487" s="1"/>
      <c r="K487" s="1"/>
      <c r="L487" s="1"/>
      <c r="M487" s="1"/>
      <c r="N487" s="1"/>
      <c r="O487" s="1"/>
      <c r="P487" s="1"/>
      <c r="Q487" s="1"/>
      <c r="R487" s="1"/>
      <c r="S487" s="1"/>
      <c r="T487" s="14"/>
      <c r="U487" s="14"/>
      <c r="V487" s="14"/>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row>
    <row r="488" spans="1:226" ht="14.25" customHeight="1" x14ac:dyDescent="0.25">
      <c r="A488" s="1"/>
      <c r="B488" s="1"/>
      <c r="C488" s="1"/>
      <c r="D488" s="1"/>
      <c r="E488" s="1"/>
      <c r="F488" s="1"/>
      <c r="G488" s="1"/>
      <c r="H488" s="1"/>
      <c r="I488" s="1"/>
      <c r="J488" s="1"/>
      <c r="K488" s="1"/>
      <c r="L488" s="1"/>
      <c r="M488" s="1"/>
      <c r="N488" s="1"/>
      <c r="O488" s="1"/>
      <c r="P488" s="1"/>
      <c r="Q488" s="1"/>
      <c r="R488" s="1"/>
      <c r="S488" s="1"/>
      <c r="T488" s="14"/>
      <c r="U488" s="14"/>
      <c r="V488" s="14"/>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row>
    <row r="489" spans="1:226" ht="14.25" customHeight="1" x14ac:dyDescent="0.25">
      <c r="A489" s="1"/>
      <c r="B489" s="1"/>
      <c r="C489" s="1"/>
      <c r="D489" s="1"/>
      <c r="E489" s="1"/>
      <c r="F489" s="1"/>
      <c r="G489" s="1"/>
      <c r="H489" s="1"/>
      <c r="I489" s="1"/>
      <c r="J489" s="1"/>
      <c r="K489" s="1"/>
      <c r="L489" s="1"/>
      <c r="M489" s="1"/>
      <c r="N489" s="1"/>
      <c r="O489" s="1"/>
      <c r="P489" s="1"/>
      <c r="Q489" s="1"/>
      <c r="R489" s="1"/>
      <c r="S489" s="1"/>
      <c r="T489" s="14"/>
      <c r="U489" s="14"/>
      <c r="V489" s="14"/>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row>
    <row r="490" spans="1:226" ht="14.25" customHeight="1" x14ac:dyDescent="0.25">
      <c r="A490" s="1"/>
      <c r="B490" s="1"/>
      <c r="C490" s="1"/>
      <c r="D490" s="1"/>
      <c r="E490" s="1"/>
      <c r="F490" s="1"/>
      <c r="G490" s="1"/>
      <c r="H490" s="1"/>
      <c r="I490" s="1"/>
      <c r="J490" s="1"/>
      <c r="K490" s="1"/>
      <c r="L490" s="1"/>
      <c r="M490" s="1"/>
      <c r="N490" s="1"/>
      <c r="O490" s="1"/>
      <c r="P490" s="1"/>
      <c r="Q490" s="1"/>
      <c r="R490" s="1"/>
      <c r="S490" s="1"/>
      <c r="T490" s="14"/>
      <c r="U490" s="14"/>
      <c r="V490" s="14"/>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row>
    <row r="491" spans="1:226" ht="14.25" customHeight="1" x14ac:dyDescent="0.25">
      <c r="A491" s="1"/>
      <c r="B491" s="1"/>
      <c r="C491" s="1"/>
      <c r="D491" s="1"/>
      <c r="E491" s="1"/>
      <c r="F491" s="1"/>
      <c r="G491" s="1"/>
      <c r="H491" s="1"/>
      <c r="I491" s="1"/>
      <c r="J491" s="1"/>
      <c r="K491" s="1"/>
      <c r="L491" s="1"/>
      <c r="M491" s="1"/>
      <c r="N491" s="1"/>
      <c r="O491" s="1"/>
      <c r="P491" s="1"/>
      <c r="Q491" s="1"/>
      <c r="R491" s="1"/>
      <c r="S491" s="1"/>
      <c r="T491" s="14"/>
      <c r="U491" s="14"/>
      <c r="V491" s="14"/>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row>
    <row r="492" spans="1:226" ht="14.25" customHeight="1" x14ac:dyDescent="0.25">
      <c r="A492" s="1"/>
      <c r="B492" s="1"/>
      <c r="C492" s="1"/>
      <c r="D492" s="1"/>
      <c r="E492" s="1"/>
      <c r="F492" s="1"/>
      <c r="G492" s="1"/>
      <c r="H492" s="1"/>
      <c r="I492" s="1"/>
      <c r="J492" s="1"/>
      <c r="K492" s="1"/>
      <c r="L492" s="1"/>
      <c r="M492" s="1"/>
      <c r="N492" s="1"/>
      <c r="O492" s="1"/>
      <c r="P492" s="1"/>
      <c r="Q492" s="1"/>
      <c r="R492" s="1"/>
      <c r="S492" s="1"/>
      <c r="T492" s="14"/>
      <c r="U492" s="14"/>
      <c r="V492" s="14"/>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row>
    <row r="493" spans="1:226" ht="14.25" customHeight="1" x14ac:dyDescent="0.25">
      <c r="A493" s="1"/>
      <c r="B493" s="1"/>
      <c r="C493" s="1"/>
      <c r="D493" s="1"/>
      <c r="E493" s="1"/>
      <c r="F493" s="1"/>
      <c r="G493" s="1"/>
      <c r="H493" s="1"/>
      <c r="I493" s="1"/>
      <c r="J493" s="1"/>
      <c r="K493" s="1"/>
      <c r="L493" s="1"/>
      <c r="M493" s="1"/>
      <c r="N493" s="1"/>
      <c r="O493" s="1"/>
      <c r="P493" s="1"/>
      <c r="Q493" s="1"/>
      <c r="R493" s="1"/>
      <c r="S493" s="1"/>
      <c r="T493" s="14"/>
      <c r="U493" s="14"/>
      <c r="V493" s="14"/>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row>
    <row r="494" spans="1:226" ht="14.25" customHeight="1" x14ac:dyDescent="0.25">
      <c r="A494" s="1"/>
      <c r="B494" s="1"/>
      <c r="C494" s="1"/>
      <c r="D494" s="1"/>
      <c r="E494" s="1"/>
      <c r="F494" s="1"/>
      <c r="G494" s="1"/>
      <c r="H494" s="1"/>
      <c r="I494" s="1"/>
      <c r="J494" s="1"/>
      <c r="K494" s="1"/>
      <c r="L494" s="1"/>
      <c r="M494" s="1"/>
      <c r="N494" s="1"/>
      <c r="O494" s="1"/>
      <c r="P494" s="1"/>
      <c r="Q494" s="1"/>
      <c r="R494" s="1"/>
      <c r="S494" s="1"/>
      <c r="T494" s="14"/>
      <c r="U494" s="14"/>
      <c r="V494" s="14"/>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row>
    <row r="495" spans="1:226" ht="14.25" customHeight="1" x14ac:dyDescent="0.25">
      <c r="A495" s="1"/>
      <c r="B495" s="1"/>
      <c r="C495" s="1"/>
      <c r="D495" s="1"/>
      <c r="E495" s="1"/>
      <c r="F495" s="1"/>
      <c r="G495" s="1"/>
      <c r="H495" s="1"/>
      <c r="I495" s="1"/>
      <c r="J495" s="1"/>
      <c r="K495" s="1"/>
      <c r="L495" s="1"/>
      <c r="M495" s="1"/>
      <c r="N495" s="1"/>
      <c r="O495" s="1"/>
      <c r="P495" s="1"/>
      <c r="Q495" s="1"/>
      <c r="R495" s="1"/>
      <c r="S495" s="1"/>
      <c r="T495" s="14"/>
      <c r="U495" s="14"/>
      <c r="V495" s="14"/>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row>
    <row r="496" spans="1:226" ht="14.25" customHeight="1" x14ac:dyDescent="0.25">
      <c r="A496" s="1"/>
      <c r="B496" s="1"/>
      <c r="C496" s="1"/>
      <c r="D496" s="1"/>
      <c r="E496" s="1"/>
      <c r="F496" s="1"/>
      <c r="G496" s="1"/>
      <c r="H496" s="1"/>
      <c r="I496" s="1"/>
      <c r="J496" s="1"/>
      <c r="K496" s="1"/>
      <c r="L496" s="1"/>
      <c r="M496" s="1"/>
      <c r="N496" s="1"/>
      <c r="O496" s="1"/>
      <c r="P496" s="1"/>
      <c r="Q496" s="1"/>
      <c r="R496" s="1"/>
      <c r="S496" s="1"/>
      <c r="T496" s="14"/>
      <c r="U496" s="14"/>
      <c r="V496" s="14"/>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row>
    <row r="497" spans="1:226" ht="14.25" customHeight="1" x14ac:dyDescent="0.25">
      <c r="A497" s="1"/>
      <c r="B497" s="1"/>
      <c r="C497" s="1"/>
      <c r="D497" s="1"/>
      <c r="E497" s="1"/>
      <c r="F497" s="1"/>
      <c r="G497" s="1"/>
      <c r="H497" s="1"/>
      <c r="I497" s="1"/>
      <c r="J497" s="1"/>
      <c r="K497" s="1"/>
      <c r="L497" s="1"/>
      <c r="M497" s="1"/>
      <c r="N497" s="1"/>
      <c r="O497" s="1"/>
      <c r="P497" s="1"/>
      <c r="Q497" s="1"/>
      <c r="R497" s="1"/>
      <c r="S497" s="1"/>
      <c r="T497" s="14"/>
      <c r="U497" s="14"/>
      <c r="V497" s="14"/>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row>
    <row r="498" spans="1:226" ht="14.25" customHeight="1" x14ac:dyDescent="0.25">
      <c r="A498" s="1"/>
      <c r="B498" s="1"/>
      <c r="C498" s="1"/>
      <c r="D498" s="1"/>
      <c r="E498" s="1"/>
      <c r="F498" s="1"/>
      <c r="G498" s="1"/>
      <c r="H498" s="1"/>
      <c r="I498" s="1"/>
      <c r="J498" s="1"/>
      <c r="K498" s="1"/>
      <c r="L498" s="1"/>
      <c r="M498" s="1"/>
      <c r="N498" s="1"/>
      <c r="O498" s="1"/>
      <c r="P498" s="1"/>
      <c r="Q498" s="1"/>
      <c r="R498" s="1"/>
      <c r="S498" s="1"/>
      <c r="T498" s="14"/>
      <c r="U498" s="14"/>
      <c r="V498" s="14"/>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row>
    <row r="499" spans="1:226" ht="14.25" customHeight="1" x14ac:dyDescent="0.25">
      <c r="A499" s="1"/>
      <c r="B499" s="1"/>
      <c r="C499" s="1"/>
      <c r="D499" s="1"/>
      <c r="E499" s="1"/>
      <c r="F499" s="1"/>
      <c r="G499" s="1"/>
      <c r="H499" s="1"/>
      <c r="I499" s="1"/>
      <c r="J499" s="1"/>
      <c r="K499" s="1"/>
      <c r="L499" s="1"/>
      <c r="M499" s="1"/>
      <c r="N499" s="1"/>
      <c r="O499" s="1"/>
      <c r="P499" s="1"/>
      <c r="Q499" s="1"/>
      <c r="R499" s="1"/>
      <c r="S499" s="1"/>
      <c r="T499" s="14"/>
      <c r="U499" s="14"/>
      <c r="V499" s="14"/>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row>
    <row r="500" spans="1:226" ht="14.25" customHeight="1" x14ac:dyDescent="0.25">
      <c r="A500" s="1"/>
      <c r="B500" s="1"/>
      <c r="C500" s="1"/>
      <c r="D500" s="1"/>
      <c r="E500" s="1"/>
      <c r="F500" s="1"/>
      <c r="G500" s="1"/>
      <c r="H500" s="1"/>
      <c r="I500" s="1"/>
      <c r="J500" s="1"/>
      <c r="K500" s="1"/>
      <c r="L500" s="1"/>
      <c r="M500" s="1"/>
      <c r="N500" s="1"/>
      <c r="O500" s="1"/>
      <c r="P500" s="1"/>
      <c r="Q500" s="1"/>
      <c r="R500" s="1"/>
      <c r="S500" s="1"/>
      <c r="T500" s="14"/>
      <c r="U500" s="14"/>
      <c r="V500" s="14"/>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row>
    <row r="501" spans="1:226" ht="14.25" customHeight="1" x14ac:dyDescent="0.25">
      <c r="A501" s="1"/>
      <c r="B501" s="1"/>
      <c r="C501" s="1"/>
      <c r="D501" s="1"/>
      <c r="E501" s="1"/>
      <c r="F501" s="1"/>
      <c r="G501" s="1"/>
      <c r="H501" s="1"/>
      <c r="I501" s="1"/>
      <c r="J501" s="1"/>
      <c r="K501" s="1"/>
      <c r="L501" s="1"/>
      <c r="M501" s="1"/>
      <c r="N501" s="1"/>
      <c r="O501" s="1"/>
      <c r="P501" s="1"/>
      <c r="Q501" s="1"/>
      <c r="R501" s="1"/>
      <c r="S501" s="1"/>
      <c r="T501" s="14"/>
      <c r="U501" s="14"/>
      <c r="V501" s="14"/>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row>
    <row r="502" spans="1:226" ht="14.25" customHeight="1" x14ac:dyDescent="0.25">
      <c r="A502" s="1"/>
      <c r="B502" s="1"/>
      <c r="C502" s="1"/>
      <c r="D502" s="1"/>
      <c r="E502" s="1"/>
      <c r="F502" s="1"/>
      <c r="G502" s="1"/>
      <c r="H502" s="1"/>
      <c r="I502" s="1"/>
      <c r="J502" s="1"/>
      <c r="K502" s="1"/>
      <c r="L502" s="1"/>
      <c r="M502" s="1"/>
      <c r="N502" s="1"/>
      <c r="O502" s="1"/>
      <c r="P502" s="1"/>
      <c r="Q502" s="1"/>
      <c r="R502" s="1"/>
      <c r="S502" s="1"/>
      <c r="T502" s="14"/>
      <c r="U502" s="14"/>
      <c r="V502" s="14"/>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row>
    <row r="503" spans="1:226" ht="14.25" customHeight="1" x14ac:dyDescent="0.25">
      <c r="A503" s="1"/>
      <c r="B503" s="1"/>
      <c r="C503" s="1"/>
      <c r="D503" s="1"/>
      <c r="E503" s="1"/>
      <c r="F503" s="1"/>
      <c r="G503" s="1"/>
      <c r="H503" s="1"/>
      <c r="I503" s="1"/>
      <c r="J503" s="1"/>
      <c r="K503" s="1"/>
      <c r="L503" s="1"/>
      <c r="M503" s="1"/>
      <c r="N503" s="1"/>
      <c r="O503" s="1"/>
      <c r="P503" s="1"/>
      <c r="Q503" s="1"/>
      <c r="R503" s="1"/>
      <c r="S503" s="1"/>
      <c r="T503" s="14"/>
      <c r="U503" s="14"/>
      <c r="V503" s="14"/>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row>
    <row r="504" spans="1:226" ht="14.25" customHeight="1" x14ac:dyDescent="0.25">
      <c r="A504" s="1"/>
      <c r="B504" s="1"/>
      <c r="C504" s="1"/>
      <c r="D504" s="1"/>
      <c r="E504" s="1"/>
      <c r="F504" s="1"/>
      <c r="G504" s="1"/>
      <c r="H504" s="1"/>
      <c r="I504" s="1"/>
      <c r="J504" s="1"/>
      <c r="K504" s="1"/>
      <c r="L504" s="1"/>
      <c r="M504" s="1"/>
      <c r="N504" s="1"/>
      <c r="O504" s="1"/>
      <c r="P504" s="1"/>
      <c r="Q504" s="1"/>
      <c r="R504" s="1"/>
      <c r="S504" s="1"/>
      <c r="T504" s="14"/>
      <c r="U504" s="14"/>
      <c r="V504" s="14"/>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row>
    <row r="505" spans="1:226" ht="14.25" customHeight="1" x14ac:dyDescent="0.25">
      <c r="A505" s="1"/>
      <c r="B505" s="1"/>
      <c r="C505" s="1"/>
      <c r="D505" s="1"/>
      <c r="E505" s="1"/>
      <c r="F505" s="1"/>
      <c r="G505" s="1"/>
      <c r="H505" s="1"/>
      <c r="I505" s="1"/>
      <c r="J505" s="1"/>
      <c r="K505" s="1"/>
      <c r="L505" s="1"/>
      <c r="M505" s="1"/>
      <c r="N505" s="1"/>
      <c r="O505" s="1"/>
      <c r="P505" s="1"/>
      <c r="Q505" s="1"/>
      <c r="R505" s="1"/>
      <c r="S505" s="1"/>
      <c r="T505" s="14"/>
      <c r="U505" s="14"/>
      <c r="V505" s="14"/>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row>
    <row r="506" spans="1:226" ht="14.25" customHeight="1" x14ac:dyDescent="0.25">
      <c r="A506" s="1"/>
      <c r="B506" s="1"/>
      <c r="C506" s="1"/>
      <c r="D506" s="1"/>
      <c r="E506" s="1"/>
      <c r="F506" s="1"/>
      <c r="G506" s="1"/>
      <c r="H506" s="1"/>
      <c r="I506" s="1"/>
      <c r="J506" s="1"/>
      <c r="K506" s="1"/>
      <c r="L506" s="1"/>
      <c r="M506" s="1"/>
      <c r="N506" s="1"/>
      <c r="O506" s="1"/>
      <c r="P506" s="1"/>
      <c r="Q506" s="1"/>
      <c r="R506" s="1"/>
      <c r="S506" s="1"/>
      <c r="T506" s="14"/>
      <c r="U506" s="14"/>
      <c r="V506" s="14"/>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row>
    <row r="507" spans="1:226" ht="14.25" customHeight="1" x14ac:dyDescent="0.25">
      <c r="A507" s="1"/>
      <c r="B507" s="1"/>
      <c r="C507" s="1"/>
      <c r="D507" s="1"/>
      <c r="E507" s="1"/>
      <c r="F507" s="1"/>
      <c r="G507" s="1"/>
      <c r="H507" s="1"/>
      <c r="I507" s="1"/>
      <c r="J507" s="1"/>
      <c r="K507" s="1"/>
      <c r="L507" s="1"/>
      <c r="M507" s="1"/>
      <c r="N507" s="1"/>
      <c r="O507" s="1"/>
      <c r="P507" s="1"/>
      <c r="Q507" s="1"/>
      <c r="R507" s="1"/>
      <c r="S507" s="1"/>
      <c r="T507" s="14"/>
      <c r="U507" s="14"/>
      <c r="V507" s="14"/>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row>
    <row r="508" spans="1:226" ht="14.25" customHeight="1" x14ac:dyDescent="0.25">
      <c r="A508" s="1"/>
      <c r="B508" s="1"/>
      <c r="C508" s="1"/>
      <c r="D508" s="1"/>
      <c r="E508" s="1"/>
      <c r="F508" s="1"/>
      <c r="G508" s="1"/>
      <c r="H508" s="1"/>
      <c r="I508" s="1"/>
      <c r="J508" s="1"/>
      <c r="K508" s="1"/>
      <c r="L508" s="1"/>
      <c r="M508" s="1"/>
      <c r="N508" s="1"/>
      <c r="O508" s="1"/>
      <c r="P508" s="1"/>
      <c r="Q508" s="1"/>
      <c r="R508" s="1"/>
      <c r="S508" s="1"/>
      <c r="T508" s="14"/>
      <c r="U508" s="14"/>
      <c r="V508" s="14"/>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row>
    <row r="509" spans="1:226" ht="14.25" customHeight="1" x14ac:dyDescent="0.25">
      <c r="A509" s="1"/>
      <c r="B509" s="1"/>
      <c r="C509" s="1"/>
      <c r="D509" s="1"/>
      <c r="E509" s="1"/>
      <c r="F509" s="1"/>
      <c r="G509" s="1"/>
      <c r="H509" s="1"/>
      <c r="I509" s="1"/>
      <c r="J509" s="1"/>
      <c r="K509" s="1"/>
      <c r="L509" s="1"/>
      <c r="M509" s="1"/>
      <c r="N509" s="1"/>
      <c r="O509" s="1"/>
      <c r="P509" s="1"/>
      <c r="Q509" s="1"/>
      <c r="R509" s="1"/>
      <c r="S509" s="1"/>
      <c r="T509" s="14"/>
      <c r="U509" s="14"/>
      <c r="V509" s="14"/>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row>
    <row r="510" spans="1:226" ht="14.25" customHeight="1" x14ac:dyDescent="0.25">
      <c r="A510" s="1"/>
      <c r="B510" s="1"/>
      <c r="C510" s="1"/>
      <c r="D510" s="1"/>
      <c r="E510" s="1"/>
      <c r="F510" s="1"/>
      <c r="G510" s="1"/>
      <c r="H510" s="1"/>
      <c r="I510" s="1"/>
      <c r="J510" s="1"/>
      <c r="K510" s="1"/>
      <c r="L510" s="1"/>
      <c r="M510" s="1"/>
      <c r="N510" s="1"/>
      <c r="O510" s="1"/>
      <c r="P510" s="1"/>
      <c r="Q510" s="1"/>
      <c r="R510" s="1"/>
      <c r="S510" s="1"/>
      <c r="T510" s="14"/>
      <c r="U510" s="14"/>
      <c r="V510" s="14"/>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row>
    <row r="511" spans="1:226" ht="14.25" customHeight="1" x14ac:dyDescent="0.25">
      <c r="A511" s="1"/>
      <c r="B511" s="1"/>
      <c r="C511" s="1"/>
      <c r="D511" s="1"/>
      <c r="E511" s="1"/>
      <c r="F511" s="1"/>
      <c r="G511" s="1"/>
      <c r="H511" s="1"/>
      <c r="I511" s="1"/>
      <c r="J511" s="1"/>
      <c r="K511" s="1"/>
      <c r="L511" s="1"/>
      <c r="M511" s="1"/>
      <c r="N511" s="1"/>
      <c r="O511" s="1"/>
      <c r="P511" s="1"/>
      <c r="Q511" s="1"/>
      <c r="R511" s="1"/>
      <c r="S511" s="1"/>
      <c r="T511" s="14"/>
      <c r="U511" s="14"/>
      <c r="V511" s="14"/>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row>
    <row r="512" spans="1:226" ht="14.25" customHeight="1" x14ac:dyDescent="0.25">
      <c r="A512" s="1"/>
      <c r="B512" s="1"/>
      <c r="C512" s="1"/>
      <c r="D512" s="1"/>
      <c r="E512" s="1"/>
      <c r="F512" s="1"/>
      <c r="G512" s="1"/>
      <c r="H512" s="1"/>
      <c r="I512" s="1"/>
      <c r="J512" s="1"/>
      <c r="K512" s="1"/>
      <c r="L512" s="1"/>
      <c r="M512" s="1"/>
      <c r="N512" s="1"/>
      <c r="O512" s="1"/>
      <c r="P512" s="1"/>
      <c r="Q512" s="1"/>
      <c r="R512" s="1"/>
      <c r="S512" s="1"/>
      <c r="T512" s="14"/>
      <c r="U512" s="14"/>
      <c r="V512" s="14"/>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row>
    <row r="513" spans="1:226" ht="14.25" customHeight="1" x14ac:dyDescent="0.25">
      <c r="A513" s="1"/>
      <c r="B513" s="1"/>
      <c r="C513" s="1"/>
      <c r="D513" s="1"/>
      <c r="E513" s="1"/>
      <c r="F513" s="1"/>
      <c r="G513" s="1"/>
      <c r="H513" s="1"/>
      <c r="I513" s="1"/>
      <c r="J513" s="1"/>
      <c r="K513" s="1"/>
      <c r="L513" s="1"/>
      <c r="M513" s="1"/>
      <c r="N513" s="1"/>
      <c r="O513" s="1"/>
      <c r="P513" s="1"/>
      <c r="Q513" s="1"/>
      <c r="R513" s="1"/>
      <c r="S513" s="1"/>
      <c r="T513" s="14"/>
      <c r="U513" s="14"/>
      <c r="V513" s="14"/>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row>
    <row r="514" spans="1:226" ht="14.25" customHeight="1" x14ac:dyDescent="0.25">
      <c r="A514" s="1"/>
      <c r="B514" s="1"/>
      <c r="C514" s="1"/>
      <c r="D514" s="1"/>
      <c r="E514" s="1"/>
      <c r="F514" s="1"/>
      <c r="G514" s="1"/>
      <c r="H514" s="1"/>
      <c r="I514" s="1"/>
      <c r="J514" s="1"/>
      <c r="K514" s="1"/>
      <c r="L514" s="1"/>
      <c r="M514" s="1"/>
      <c r="N514" s="1"/>
      <c r="O514" s="1"/>
      <c r="P514" s="1"/>
      <c r="Q514" s="1"/>
      <c r="R514" s="1"/>
      <c r="S514" s="1"/>
      <c r="T514" s="14"/>
      <c r="U514" s="14"/>
      <c r="V514" s="14"/>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row>
    <row r="515" spans="1:226" ht="14.25" customHeight="1" x14ac:dyDescent="0.25">
      <c r="A515" s="1"/>
      <c r="B515" s="1"/>
      <c r="C515" s="1"/>
      <c r="D515" s="1"/>
      <c r="E515" s="1"/>
      <c r="F515" s="1"/>
      <c r="G515" s="1"/>
      <c r="H515" s="1"/>
      <c r="I515" s="1"/>
      <c r="J515" s="1"/>
      <c r="K515" s="1"/>
      <c r="L515" s="1"/>
      <c r="M515" s="1"/>
      <c r="N515" s="1"/>
      <c r="O515" s="1"/>
      <c r="P515" s="1"/>
      <c r="Q515" s="1"/>
      <c r="R515" s="1"/>
      <c r="S515" s="1"/>
      <c r="T515" s="14"/>
      <c r="U515" s="14"/>
      <c r="V515" s="14"/>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row>
    <row r="516" spans="1:226" ht="14.25" customHeight="1" x14ac:dyDescent="0.25">
      <c r="A516" s="1"/>
      <c r="B516" s="1"/>
      <c r="C516" s="1"/>
      <c r="D516" s="1"/>
      <c r="E516" s="1"/>
      <c r="F516" s="1"/>
      <c r="G516" s="1"/>
      <c r="H516" s="1"/>
      <c r="I516" s="1"/>
      <c r="J516" s="1"/>
      <c r="K516" s="1"/>
      <c r="L516" s="1"/>
      <c r="M516" s="1"/>
      <c r="N516" s="1"/>
      <c r="O516" s="1"/>
      <c r="P516" s="1"/>
      <c r="Q516" s="1"/>
      <c r="R516" s="1"/>
      <c r="S516" s="1"/>
      <c r="T516" s="14"/>
      <c r="U516" s="14"/>
      <c r="V516" s="14"/>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row>
    <row r="517" spans="1:226" ht="14.25" customHeight="1" x14ac:dyDescent="0.25">
      <c r="A517" s="1"/>
      <c r="B517" s="1"/>
      <c r="C517" s="1"/>
      <c r="D517" s="1"/>
      <c r="E517" s="1"/>
      <c r="F517" s="1"/>
      <c r="G517" s="1"/>
      <c r="H517" s="1"/>
      <c r="I517" s="1"/>
      <c r="J517" s="1"/>
      <c r="K517" s="1"/>
      <c r="L517" s="1"/>
      <c r="M517" s="1"/>
      <c r="N517" s="1"/>
      <c r="O517" s="1"/>
      <c r="P517" s="1"/>
      <c r="Q517" s="1"/>
      <c r="R517" s="1"/>
      <c r="S517" s="1"/>
      <c r="T517" s="14"/>
      <c r="U517" s="14"/>
      <c r="V517" s="14"/>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row>
    <row r="518" spans="1:226" ht="14.25" customHeight="1" x14ac:dyDescent="0.25">
      <c r="A518" s="1"/>
      <c r="B518" s="1"/>
      <c r="C518" s="1"/>
      <c r="D518" s="1"/>
      <c r="E518" s="1"/>
      <c r="F518" s="1"/>
      <c r="G518" s="1"/>
      <c r="H518" s="1"/>
      <c r="I518" s="1"/>
      <c r="J518" s="1"/>
      <c r="K518" s="1"/>
      <c r="L518" s="1"/>
      <c r="M518" s="1"/>
      <c r="N518" s="1"/>
      <c r="O518" s="1"/>
      <c r="P518" s="1"/>
      <c r="Q518" s="1"/>
      <c r="R518" s="1"/>
      <c r="S518" s="1"/>
      <c r="T518" s="14"/>
      <c r="U518" s="14"/>
      <c r="V518" s="14"/>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row>
    <row r="519" spans="1:226" ht="14.25" customHeight="1" x14ac:dyDescent="0.25">
      <c r="A519" s="1"/>
      <c r="B519" s="1"/>
      <c r="C519" s="1"/>
      <c r="D519" s="1"/>
      <c r="E519" s="1"/>
      <c r="F519" s="1"/>
      <c r="G519" s="1"/>
      <c r="H519" s="1"/>
      <c r="I519" s="1"/>
      <c r="J519" s="1"/>
      <c r="K519" s="1"/>
      <c r="L519" s="1"/>
      <c r="M519" s="1"/>
      <c r="N519" s="1"/>
      <c r="O519" s="1"/>
      <c r="P519" s="1"/>
      <c r="Q519" s="1"/>
      <c r="R519" s="1"/>
      <c r="S519" s="1"/>
      <c r="T519" s="14"/>
      <c r="U519" s="14"/>
      <c r="V519" s="14"/>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row>
    <row r="520" spans="1:226" ht="14.25" customHeight="1" x14ac:dyDescent="0.25">
      <c r="A520" s="1"/>
      <c r="B520" s="1"/>
      <c r="C520" s="1"/>
      <c r="D520" s="1"/>
      <c r="E520" s="1"/>
      <c r="F520" s="1"/>
      <c r="G520" s="1"/>
      <c r="H520" s="1"/>
      <c r="I520" s="1"/>
      <c r="J520" s="1"/>
      <c r="K520" s="1"/>
      <c r="L520" s="1"/>
      <c r="M520" s="1"/>
      <c r="N520" s="1"/>
      <c r="O520" s="1"/>
      <c r="P520" s="1"/>
      <c r="Q520" s="1"/>
      <c r="R520" s="1"/>
      <c r="S520" s="1"/>
      <c r="T520" s="14"/>
      <c r="U520" s="14"/>
      <c r="V520" s="14"/>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row>
    <row r="521" spans="1:226" ht="14.25" customHeight="1" x14ac:dyDescent="0.25">
      <c r="A521" s="1"/>
      <c r="B521" s="1"/>
      <c r="C521" s="1"/>
      <c r="D521" s="1"/>
      <c r="E521" s="1"/>
      <c r="F521" s="1"/>
      <c r="G521" s="1"/>
      <c r="H521" s="1"/>
      <c r="I521" s="1"/>
      <c r="J521" s="1"/>
      <c r="K521" s="1"/>
      <c r="L521" s="1"/>
      <c r="M521" s="1"/>
      <c r="N521" s="1"/>
      <c r="O521" s="1"/>
      <c r="P521" s="1"/>
      <c r="Q521" s="1"/>
      <c r="R521" s="1"/>
      <c r="S521" s="1"/>
      <c r="T521" s="14"/>
      <c r="U521" s="14"/>
      <c r="V521" s="14"/>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row>
    <row r="522" spans="1:226" ht="14.25" customHeight="1" x14ac:dyDescent="0.25">
      <c r="A522" s="1"/>
      <c r="B522" s="1"/>
      <c r="C522" s="1"/>
      <c r="D522" s="1"/>
      <c r="E522" s="1"/>
      <c r="F522" s="1"/>
      <c r="G522" s="1"/>
      <c r="H522" s="1"/>
      <c r="I522" s="1"/>
      <c r="J522" s="1"/>
      <c r="K522" s="1"/>
      <c r="L522" s="1"/>
      <c r="M522" s="1"/>
      <c r="N522" s="1"/>
      <c r="O522" s="1"/>
      <c r="P522" s="1"/>
      <c r="Q522" s="1"/>
      <c r="R522" s="1"/>
      <c r="S522" s="1"/>
      <c r="T522" s="14"/>
      <c r="U522" s="14"/>
      <c r="V522" s="14"/>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row>
    <row r="523" spans="1:226" ht="14.25" customHeight="1" x14ac:dyDescent="0.25">
      <c r="A523" s="1"/>
      <c r="B523" s="1"/>
      <c r="C523" s="1"/>
      <c r="D523" s="1"/>
      <c r="E523" s="1"/>
      <c r="F523" s="1"/>
      <c r="G523" s="1"/>
      <c r="H523" s="1"/>
      <c r="I523" s="1"/>
      <c r="J523" s="1"/>
      <c r="K523" s="1"/>
      <c r="L523" s="1"/>
      <c r="M523" s="1"/>
      <c r="N523" s="1"/>
      <c r="O523" s="1"/>
      <c r="P523" s="1"/>
      <c r="Q523" s="1"/>
      <c r="R523" s="1"/>
      <c r="S523" s="1"/>
      <c r="T523" s="14"/>
      <c r="U523" s="14"/>
      <c r="V523" s="14"/>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row>
    <row r="524" spans="1:226" ht="14.25" customHeight="1" x14ac:dyDescent="0.25">
      <c r="A524" s="1"/>
      <c r="B524" s="1"/>
      <c r="C524" s="1"/>
      <c r="D524" s="1"/>
      <c r="E524" s="1"/>
      <c r="F524" s="1"/>
      <c r="G524" s="1"/>
      <c r="H524" s="1"/>
      <c r="I524" s="1"/>
      <c r="J524" s="1"/>
      <c r="K524" s="1"/>
      <c r="L524" s="1"/>
      <c r="M524" s="1"/>
      <c r="N524" s="1"/>
      <c r="O524" s="1"/>
      <c r="P524" s="1"/>
      <c r="Q524" s="1"/>
      <c r="R524" s="1"/>
      <c r="S524" s="1"/>
      <c r="T524" s="14"/>
      <c r="U524" s="14"/>
      <c r="V524" s="14"/>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row>
    <row r="525" spans="1:226" ht="14.25" customHeight="1" x14ac:dyDescent="0.25">
      <c r="A525" s="1"/>
      <c r="B525" s="1"/>
      <c r="C525" s="1"/>
      <c r="D525" s="1"/>
      <c r="E525" s="1"/>
      <c r="F525" s="1"/>
      <c r="G525" s="1"/>
      <c r="H525" s="1"/>
      <c r="I525" s="1"/>
      <c r="J525" s="1"/>
      <c r="K525" s="1"/>
      <c r="L525" s="1"/>
      <c r="M525" s="1"/>
      <c r="N525" s="1"/>
      <c r="O525" s="1"/>
      <c r="P525" s="1"/>
      <c r="Q525" s="1"/>
      <c r="R525" s="1"/>
      <c r="S525" s="1"/>
      <c r="T525" s="14"/>
      <c r="U525" s="14"/>
      <c r="V525" s="14"/>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row>
    <row r="526" spans="1:226" ht="14.25" customHeight="1" x14ac:dyDescent="0.25">
      <c r="A526" s="1"/>
      <c r="B526" s="1"/>
      <c r="C526" s="1"/>
      <c r="D526" s="1"/>
      <c r="E526" s="1"/>
      <c r="F526" s="1"/>
      <c r="G526" s="1"/>
      <c r="H526" s="1"/>
      <c r="I526" s="1"/>
      <c r="J526" s="1"/>
      <c r="K526" s="1"/>
      <c r="L526" s="1"/>
      <c r="M526" s="1"/>
      <c r="N526" s="1"/>
      <c r="O526" s="1"/>
      <c r="P526" s="1"/>
      <c r="Q526" s="1"/>
      <c r="R526" s="1"/>
      <c r="S526" s="1"/>
      <c r="T526" s="14"/>
      <c r="U526" s="14"/>
      <c r="V526" s="14"/>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row>
    <row r="527" spans="1:226" ht="14.25" customHeight="1" x14ac:dyDescent="0.25">
      <c r="A527" s="1"/>
      <c r="B527" s="1"/>
      <c r="C527" s="1"/>
      <c r="D527" s="1"/>
      <c r="E527" s="1"/>
      <c r="F527" s="1"/>
      <c r="G527" s="1"/>
      <c r="H527" s="1"/>
      <c r="I527" s="1"/>
      <c r="J527" s="1"/>
      <c r="K527" s="1"/>
      <c r="L527" s="1"/>
      <c r="M527" s="1"/>
      <c r="N527" s="1"/>
      <c r="O527" s="1"/>
      <c r="P527" s="1"/>
      <c r="Q527" s="1"/>
      <c r="R527" s="1"/>
      <c r="S527" s="1"/>
      <c r="T527" s="14"/>
      <c r="U527" s="14"/>
      <c r="V527" s="14"/>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row>
    <row r="528" spans="1:226" ht="14.25" customHeight="1" x14ac:dyDescent="0.25">
      <c r="A528" s="1"/>
      <c r="B528" s="1"/>
      <c r="C528" s="1"/>
      <c r="D528" s="1"/>
      <c r="E528" s="1"/>
      <c r="F528" s="1"/>
      <c r="G528" s="1"/>
      <c r="H528" s="1"/>
      <c r="I528" s="1"/>
      <c r="J528" s="1"/>
      <c r="K528" s="1"/>
      <c r="L528" s="1"/>
      <c r="M528" s="1"/>
      <c r="N528" s="1"/>
      <c r="O528" s="1"/>
      <c r="P528" s="1"/>
      <c r="Q528" s="1"/>
      <c r="R528" s="1"/>
      <c r="S528" s="1"/>
      <c r="T528" s="14"/>
      <c r="U528" s="14"/>
      <c r="V528" s="14"/>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row>
    <row r="529" spans="1:226" ht="14.25" customHeight="1" x14ac:dyDescent="0.25">
      <c r="A529" s="1"/>
      <c r="B529" s="1"/>
      <c r="C529" s="1"/>
      <c r="D529" s="1"/>
      <c r="E529" s="1"/>
      <c r="F529" s="1"/>
      <c r="G529" s="1"/>
      <c r="H529" s="1"/>
      <c r="I529" s="1"/>
      <c r="J529" s="1"/>
      <c r="K529" s="1"/>
      <c r="L529" s="1"/>
      <c r="M529" s="1"/>
      <c r="N529" s="1"/>
      <c r="O529" s="1"/>
      <c r="P529" s="1"/>
      <c r="Q529" s="1"/>
      <c r="R529" s="1"/>
      <c r="S529" s="1"/>
      <c r="T529" s="14"/>
      <c r="U529" s="14"/>
      <c r="V529" s="14"/>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row>
    <row r="530" spans="1:226" ht="14.25" customHeight="1" x14ac:dyDescent="0.25">
      <c r="A530" s="1"/>
      <c r="B530" s="1"/>
      <c r="C530" s="1"/>
      <c r="D530" s="1"/>
      <c r="E530" s="1"/>
      <c r="F530" s="1"/>
      <c r="G530" s="1"/>
      <c r="H530" s="1"/>
      <c r="I530" s="1"/>
      <c r="J530" s="1"/>
      <c r="K530" s="1"/>
      <c r="L530" s="1"/>
      <c r="M530" s="1"/>
      <c r="N530" s="1"/>
      <c r="O530" s="1"/>
      <c r="P530" s="1"/>
      <c r="Q530" s="1"/>
      <c r="R530" s="1"/>
      <c r="S530" s="1"/>
      <c r="T530" s="14"/>
      <c r="U530" s="14"/>
      <c r="V530" s="14"/>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row>
    <row r="531" spans="1:226" ht="14.25" customHeight="1" x14ac:dyDescent="0.25">
      <c r="A531" s="1"/>
      <c r="B531" s="1"/>
      <c r="C531" s="1"/>
      <c r="D531" s="1"/>
      <c r="E531" s="1"/>
      <c r="F531" s="1"/>
      <c r="G531" s="1"/>
      <c r="H531" s="1"/>
      <c r="I531" s="1"/>
      <c r="J531" s="1"/>
      <c r="K531" s="1"/>
      <c r="L531" s="1"/>
      <c r="M531" s="1"/>
      <c r="N531" s="1"/>
      <c r="O531" s="1"/>
      <c r="P531" s="1"/>
      <c r="Q531" s="1"/>
      <c r="R531" s="1"/>
      <c r="S531" s="1"/>
      <c r="T531" s="14"/>
      <c r="U531" s="14"/>
      <c r="V531" s="14"/>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row>
    <row r="532" spans="1:226" ht="14.25" customHeight="1" x14ac:dyDescent="0.25">
      <c r="A532" s="1"/>
      <c r="B532" s="1"/>
      <c r="C532" s="1"/>
      <c r="D532" s="1"/>
      <c r="E532" s="1"/>
      <c r="F532" s="1"/>
      <c r="G532" s="1"/>
      <c r="H532" s="1"/>
      <c r="I532" s="1"/>
      <c r="J532" s="1"/>
      <c r="K532" s="1"/>
      <c r="L532" s="1"/>
      <c r="M532" s="1"/>
      <c r="N532" s="1"/>
      <c r="O532" s="1"/>
      <c r="P532" s="1"/>
      <c r="Q532" s="1"/>
      <c r="R532" s="1"/>
      <c r="S532" s="1"/>
      <c r="T532" s="14"/>
      <c r="U532" s="14"/>
      <c r="V532" s="14"/>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row>
    <row r="533" spans="1:226" ht="14.25" customHeight="1" x14ac:dyDescent="0.25">
      <c r="A533" s="1"/>
      <c r="B533" s="1"/>
      <c r="C533" s="1"/>
      <c r="D533" s="1"/>
      <c r="E533" s="1"/>
      <c r="F533" s="1"/>
      <c r="G533" s="1"/>
      <c r="H533" s="1"/>
      <c r="I533" s="1"/>
      <c r="J533" s="1"/>
      <c r="K533" s="1"/>
      <c r="L533" s="1"/>
      <c r="M533" s="1"/>
      <c r="N533" s="1"/>
      <c r="O533" s="1"/>
      <c r="P533" s="1"/>
      <c r="Q533" s="1"/>
      <c r="R533" s="1"/>
      <c r="S533" s="1"/>
      <c r="T533" s="14"/>
      <c r="U533" s="14"/>
      <c r="V533" s="14"/>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row>
    <row r="534" spans="1:226" ht="14.25" customHeight="1" x14ac:dyDescent="0.25">
      <c r="A534" s="1"/>
      <c r="B534" s="1"/>
      <c r="C534" s="1"/>
      <c r="D534" s="1"/>
      <c r="E534" s="1"/>
      <c r="F534" s="1"/>
      <c r="G534" s="1"/>
      <c r="H534" s="1"/>
      <c r="I534" s="1"/>
      <c r="J534" s="1"/>
      <c r="K534" s="1"/>
      <c r="L534" s="1"/>
      <c r="M534" s="1"/>
      <c r="N534" s="1"/>
      <c r="O534" s="1"/>
      <c r="P534" s="1"/>
      <c r="Q534" s="1"/>
      <c r="R534" s="1"/>
      <c r="S534" s="1"/>
      <c r="T534" s="14"/>
      <c r="U534" s="14"/>
      <c r="V534" s="14"/>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row>
    <row r="535" spans="1:226" ht="14.25" customHeight="1" x14ac:dyDescent="0.25">
      <c r="A535" s="1"/>
      <c r="B535" s="1"/>
      <c r="C535" s="1"/>
      <c r="D535" s="1"/>
      <c r="E535" s="1"/>
      <c r="F535" s="1"/>
      <c r="G535" s="1"/>
      <c r="H535" s="1"/>
      <c r="I535" s="1"/>
      <c r="J535" s="1"/>
      <c r="K535" s="1"/>
      <c r="L535" s="1"/>
      <c r="M535" s="1"/>
      <c r="N535" s="1"/>
      <c r="O535" s="1"/>
      <c r="P535" s="1"/>
      <c r="Q535" s="1"/>
      <c r="R535" s="1"/>
      <c r="S535" s="1"/>
      <c r="T535" s="14"/>
      <c r="U535" s="14"/>
      <c r="V535" s="14"/>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row>
    <row r="536" spans="1:226" ht="14.25" customHeight="1" x14ac:dyDescent="0.25">
      <c r="A536" s="1"/>
      <c r="B536" s="1"/>
      <c r="C536" s="1"/>
      <c r="D536" s="1"/>
      <c r="E536" s="1"/>
      <c r="F536" s="1"/>
      <c r="G536" s="1"/>
      <c r="H536" s="1"/>
      <c r="I536" s="1"/>
      <c r="J536" s="1"/>
      <c r="K536" s="1"/>
      <c r="L536" s="1"/>
      <c r="M536" s="1"/>
      <c r="N536" s="1"/>
      <c r="O536" s="1"/>
      <c r="P536" s="1"/>
      <c r="Q536" s="1"/>
      <c r="R536" s="1"/>
      <c r="S536" s="1"/>
      <c r="T536" s="14"/>
      <c r="U536" s="14"/>
      <c r="V536" s="14"/>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row>
    <row r="537" spans="1:226" ht="14.25" customHeight="1" x14ac:dyDescent="0.25">
      <c r="A537" s="1"/>
      <c r="B537" s="1"/>
      <c r="C537" s="1"/>
      <c r="D537" s="1"/>
      <c r="E537" s="1"/>
      <c r="F537" s="1"/>
      <c r="G537" s="1"/>
      <c r="H537" s="1"/>
      <c r="I537" s="1"/>
      <c r="J537" s="1"/>
      <c r="K537" s="1"/>
      <c r="L537" s="1"/>
      <c r="M537" s="1"/>
      <c r="N537" s="1"/>
      <c r="O537" s="1"/>
      <c r="P537" s="1"/>
      <c r="Q537" s="1"/>
      <c r="R537" s="1"/>
      <c r="S537" s="1"/>
      <c r="T537" s="14"/>
      <c r="U537" s="14"/>
      <c r="V537" s="14"/>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row>
    <row r="538" spans="1:226" ht="14.25" customHeight="1" x14ac:dyDescent="0.25">
      <c r="A538" s="1"/>
      <c r="B538" s="1"/>
      <c r="C538" s="1"/>
      <c r="D538" s="1"/>
      <c r="E538" s="1"/>
      <c r="F538" s="1"/>
      <c r="G538" s="1"/>
      <c r="H538" s="1"/>
      <c r="I538" s="1"/>
      <c r="J538" s="1"/>
      <c r="K538" s="1"/>
      <c r="L538" s="1"/>
      <c r="M538" s="1"/>
      <c r="N538" s="1"/>
      <c r="O538" s="1"/>
      <c r="P538" s="1"/>
      <c r="Q538" s="1"/>
      <c r="R538" s="1"/>
      <c r="S538" s="1"/>
      <c r="T538" s="14"/>
      <c r="U538" s="14"/>
      <c r="V538" s="14"/>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row>
    <row r="539" spans="1:226" ht="14.25" customHeight="1" x14ac:dyDescent="0.25">
      <c r="A539" s="1"/>
      <c r="B539" s="1"/>
      <c r="C539" s="1"/>
      <c r="D539" s="1"/>
      <c r="E539" s="1"/>
      <c r="F539" s="1"/>
      <c r="G539" s="1"/>
      <c r="H539" s="1"/>
      <c r="I539" s="1"/>
      <c r="J539" s="1"/>
      <c r="K539" s="1"/>
      <c r="L539" s="1"/>
      <c r="M539" s="1"/>
      <c r="N539" s="1"/>
      <c r="O539" s="1"/>
      <c r="P539" s="1"/>
      <c r="Q539" s="1"/>
      <c r="R539" s="1"/>
      <c r="S539" s="1"/>
      <c r="T539" s="14"/>
      <c r="U539" s="14"/>
      <c r="V539" s="14"/>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row>
    <row r="540" spans="1:226" ht="14.25" customHeight="1" x14ac:dyDescent="0.25">
      <c r="A540" s="1"/>
      <c r="B540" s="1"/>
      <c r="C540" s="1"/>
      <c r="D540" s="1"/>
      <c r="E540" s="1"/>
      <c r="F540" s="1"/>
      <c r="G540" s="1"/>
      <c r="H540" s="1"/>
      <c r="I540" s="1"/>
      <c r="J540" s="1"/>
      <c r="K540" s="1"/>
      <c r="L540" s="1"/>
      <c r="M540" s="1"/>
      <c r="N540" s="1"/>
      <c r="O540" s="1"/>
      <c r="P540" s="1"/>
      <c r="Q540" s="1"/>
      <c r="R540" s="1"/>
      <c r="S540" s="1"/>
      <c r="T540" s="14"/>
      <c r="U540" s="14"/>
      <c r="V540" s="14"/>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row>
    <row r="541" spans="1:226" ht="14.25" customHeight="1" x14ac:dyDescent="0.25">
      <c r="A541" s="1"/>
      <c r="B541" s="1"/>
      <c r="C541" s="1"/>
      <c r="D541" s="1"/>
      <c r="E541" s="1"/>
      <c r="F541" s="1"/>
      <c r="G541" s="1"/>
      <c r="H541" s="1"/>
      <c r="I541" s="1"/>
      <c r="J541" s="1"/>
      <c r="K541" s="1"/>
      <c r="L541" s="1"/>
      <c r="M541" s="1"/>
      <c r="N541" s="1"/>
      <c r="O541" s="1"/>
      <c r="P541" s="1"/>
      <c r="Q541" s="1"/>
      <c r="R541" s="1"/>
      <c r="S541" s="1"/>
      <c r="T541" s="14"/>
      <c r="U541" s="14"/>
      <c r="V541" s="14"/>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row>
    <row r="542" spans="1:226" ht="14.25" customHeight="1" x14ac:dyDescent="0.25">
      <c r="A542" s="1"/>
      <c r="B542" s="1"/>
      <c r="C542" s="1"/>
      <c r="D542" s="1"/>
      <c r="E542" s="1"/>
      <c r="F542" s="1"/>
      <c r="G542" s="1"/>
      <c r="H542" s="1"/>
      <c r="I542" s="1"/>
      <c r="J542" s="1"/>
      <c r="K542" s="1"/>
      <c r="L542" s="1"/>
      <c r="M542" s="1"/>
      <c r="N542" s="1"/>
      <c r="O542" s="1"/>
      <c r="P542" s="1"/>
      <c r="Q542" s="1"/>
      <c r="R542" s="1"/>
      <c r="S542" s="1"/>
      <c r="T542" s="14"/>
      <c r="U542" s="14"/>
      <c r="V542" s="14"/>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row>
    <row r="543" spans="1:226" ht="14.25" customHeight="1" x14ac:dyDescent="0.25">
      <c r="A543" s="1"/>
      <c r="B543" s="1"/>
      <c r="C543" s="1"/>
      <c r="D543" s="1"/>
      <c r="E543" s="1"/>
      <c r="F543" s="1"/>
      <c r="G543" s="1"/>
      <c r="H543" s="1"/>
      <c r="I543" s="1"/>
      <c r="J543" s="1"/>
      <c r="K543" s="1"/>
      <c r="L543" s="1"/>
      <c r="M543" s="1"/>
      <c r="N543" s="1"/>
      <c r="O543" s="1"/>
      <c r="P543" s="1"/>
      <c r="Q543" s="1"/>
      <c r="R543" s="1"/>
      <c r="S543" s="1"/>
      <c r="T543" s="14"/>
      <c r="U543" s="14"/>
      <c r="V543" s="14"/>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row>
    <row r="544" spans="1:226" ht="14.25" customHeight="1" x14ac:dyDescent="0.25">
      <c r="A544" s="1"/>
      <c r="B544" s="1"/>
      <c r="C544" s="1"/>
      <c r="D544" s="1"/>
      <c r="E544" s="1"/>
      <c r="F544" s="1"/>
      <c r="G544" s="1"/>
      <c r="H544" s="1"/>
      <c r="I544" s="1"/>
      <c r="J544" s="1"/>
      <c r="K544" s="1"/>
      <c r="L544" s="1"/>
      <c r="M544" s="1"/>
      <c r="N544" s="1"/>
      <c r="O544" s="1"/>
      <c r="P544" s="1"/>
      <c r="Q544" s="1"/>
      <c r="R544" s="1"/>
      <c r="S544" s="1"/>
      <c r="T544" s="14"/>
      <c r="U544" s="14"/>
      <c r="V544" s="14"/>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row>
    <row r="545" spans="1:226" ht="14.25" customHeight="1" x14ac:dyDescent="0.25">
      <c r="A545" s="1"/>
      <c r="B545" s="1"/>
      <c r="C545" s="1"/>
      <c r="D545" s="1"/>
      <c r="E545" s="1"/>
      <c r="F545" s="1"/>
      <c r="G545" s="1"/>
      <c r="H545" s="1"/>
      <c r="I545" s="1"/>
      <c r="J545" s="1"/>
      <c r="K545" s="1"/>
      <c r="L545" s="1"/>
      <c r="M545" s="1"/>
      <c r="N545" s="1"/>
      <c r="O545" s="1"/>
      <c r="P545" s="1"/>
      <c r="Q545" s="1"/>
      <c r="R545" s="1"/>
      <c r="S545" s="1"/>
      <c r="T545" s="14"/>
      <c r="U545" s="14"/>
      <c r="V545" s="14"/>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row>
    <row r="546" spans="1:226" ht="14.25" customHeight="1" x14ac:dyDescent="0.25">
      <c r="A546" s="1"/>
      <c r="B546" s="1"/>
      <c r="C546" s="1"/>
      <c r="D546" s="1"/>
      <c r="E546" s="1"/>
      <c r="F546" s="1"/>
      <c r="G546" s="1"/>
      <c r="H546" s="1"/>
      <c r="I546" s="1"/>
      <c r="J546" s="1"/>
      <c r="K546" s="1"/>
      <c r="L546" s="1"/>
      <c r="M546" s="1"/>
      <c r="N546" s="1"/>
      <c r="O546" s="1"/>
      <c r="P546" s="1"/>
      <c r="Q546" s="1"/>
      <c r="R546" s="1"/>
      <c r="S546" s="1"/>
      <c r="T546" s="14"/>
      <c r="U546" s="14"/>
      <c r="V546" s="14"/>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row>
    <row r="547" spans="1:226" ht="14.25" customHeight="1" x14ac:dyDescent="0.25">
      <c r="A547" s="1"/>
      <c r="B547" s="1"/>
      <c r="C547" s="1"/>
      <c r="D547" s="1"/>
      <c r="E547" s="1"/>
      <c r="F547" s="1"/>
      <c r="G547" s="1"/>
      <c r="H547" s="1"/>
      <c r="I547" s="1"/>
      <c r="J547" s="1"/>
      <c r="K547" s="1"/>
      <c r="L547" s="1"/>
      <c r="M547" s="1"/>
      <c r="N547" s="1"/>
      <c r="O547" s="1"/>
      <c r="P547" s="1"/>
      <c r="Q547" s="1"/>
      <c r="R547" s="1"/>
      <c r="S547" s="1"/>
      <c r="T547" s="14"/>
      <c r="U547" s="14"/>
      <c r="V547" s="14"/>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row>
    <row r="548" spans="1:226" ht="14.25" customHeight="1" x14ac:dyDescent="0.25">
      <c r="A548" s="1"/>
      <c r="B548" s="1"/>
      <c r="C548" s="1"/>
      <c r="D548" s="1"/>
      <c r="E548" s="1"/>
      <c r="F548" s="1"/>
      <c r="G548" s="1"/>
      <c r="H548" s="1"/>
      <c r="I548" s="1"/>
      <c r="J548" s="1"/>
      <c r="K548" s="1"/>
      <c r="L548" s="1"/>
      <c r="M548" s="1"/>
      <c r="N548" s="1"/>
      <c r="O548" s="1"/>
      <c r="P548" s="1"/>
      <c r="Q548" s="1"/>
      <c r="R548" s="1"/>
      <c r="S548" s="1"/>
      <c r="T548" s="14"/>
      <c r="U548" s="14"/>
      <c r="V548" s="14"/>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row>
    <row r="549" spans="1:226" ht="14.25" customHeight="1" x14ac:dyDescent="0.25">
      <c r="A549" s="1"/>
      <c r="B549" s="1"/>
      <c r="C549" s="1"/>
      <c r="D549" s="1"/>
      <c r="E549" s="1"/>
      <c r="F549" s="1"/>
      <c r="G549" s="1"/>
      <c r="H549" s="1"/>
      <c r="I549" s="1"/>
      <c r="J549" s="1"/>
      <c r="K549" s="1"/>
      <c r="L549" s="1"/>
      <c r="M549" s="1"/>
      <c r="N549" s="1"/>
      <c r="O549" s="1"/>
      <c r="P549" s="1"/>
      <c r="Q549" s="1"/>
      <c r="R549" s="1"/>
      <c r="S549" s="1"/>
      <c r="T549" s="14"/>
      <c r="U549" s="14"/>
      <c r="V549" s="14"/>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row>
    <row r="550" spans="1:226" ht="14.25" customHeight="1" x14ac:dyDescent="0.25">
      <c r="A550" s="1"/>
      <c r="B550" s="1"/>
      <c r="C550" s="1"/>
      <c r="D550" s="1"/>
      <c r="E550" s="1"/>
      <c r="F550" s="1"/>
      <c r="G550" s="1"/>
      <c r="H550" s="1"/>
      <c r="I550" s="1"/>
      <c r="J550" s="1"/>
      <c r="K550" s="1"/>
      <c r="L550" s="1"/>
      <c r="M550" s="1"/>
      <c r="N550" s="1"/>
      <c r="O550" s="1"/>
      <c r="P550" s="1"/>
      <c r="Q550" s="1"/>
      <c r="R550" s="1"/>
      <c r="S550" s="1"/>
      <c r="T550" s="14"/>
      <c r="U550" s="14"/>
      <c r="V550" s="14"/>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row>
    <row r="551" spans="1:226" ht="14.25" customHeight="1" x14ac:dyDescent="0.25">
      <c r="A551" s="1"/>
      <c r="B551" s="1"/>
      <c r="C551" s="1"/>
      <c r="D551" s="1"/>
      <c r="E551" s="1"/>
      <c r="F551" s="1"/>
      <c r="G551" s="1"/>
      <c r="H551" s="1"/>
      <c r="I551" s="1"/>
      <c r="J551" s="1"/>
      <c r="K551" s="1"/>
      <c r="L551" s="1"/>
      <c r="M551" s="1"/>
      <c r="N551" s="1"/>
      <c r="O551" s="1"/>
      <c r="P551" s="1"/>
      <c r="Q551" s="1"/>
      <c r="R551" s="1"/>
      <c r="S551" s="1"/>
      <c r="T551" s="14"/>
      <c r="U551" s="14"/>
      <c r="V551" s="14"/>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row>
    <row r="552" spans="1:226" ht="14.25" customHeight="1" x14ac:dyDescent="0.25">
      <c r="A552" s="1"/>
      <c r="B552" s="1"/>
      <c r="C552" s="1"/>
      <c r="D552" s="1"/>
      <c r="E552" s="1"/>
      <c r="F552" s="1"/>
      <c r="G552" s="1"/>
      <c r="H552" s="1"/>
      <c r="I552" s="1"/>
      <c r="J552" s="1"/>
      <c r="K552" s="1"/>
      <c r="L552" s="1"/>
      <c r="M552" s="1"/>
      <c r="N552" s="1"/>
      <c r="O552" s="1"/>
      <c r="P552" s="1"/>
      <c r="Q552" s="1"/>
      <c r="R552" s="1"/>
      <c r="S552" s="1"/>
      <c r="T552" s="14"/>
      <c r="U552" s="14"/>
      <c r="V552" s="14"/>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row>
    <row r="553" spans="1:226" ht="14.25" customHeight="1" x14ac:dyDescent="0.25">
      <c r="A553" s="1"/>
      <c r="B553" s="1"/>
      <c r="C553" s="1"/>
      <c r="D553" s="1"/>
      <c r="E553" s="1"/>
      <c r="F553" s="1"/>
      <c r="G553" s="1"/>
      <c r="H553" s="1"/>
      <c r="I553" s="1"/>
      <c r="J553" s="1"/>
      <c r="K553" s="1"/>
      <c r="L553" s="1"/>
      <c r="M553" s="1"/>
      <c r="N553" s="1"/>
      <c r="O553" s="1"/>
      <c r="P553" s="1"/>
      <c r="Q553" s="1"/>
      <c r="R553" s="1"/>
      <c r="S553" s="1"/>
      <c r="T553" s="14"/>
      <c r="U553" s="14"/>
      <c r="V553" s="14"/>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row>
    <row r="554" spans="1:226" ht="14.25" customHeight="1" x14ac:dyDescent="0.25">
      <c r="A554" s="1"/>
      <c r="B554" s="1"/>
      <c r="C554" s="1"/>
      <c r="D554" s="1"/>
      <c r="E554" s="1"/>
      <c r="F554" s="1"/>
      <c r="G554" s="1"/>
      <c r="H554" s="1"/>
      <c r="I554" s="1"/>
      <c r="J554" s="1"/>
      <c r="K554" s="1"/>
      <c r="L554" s="1"/>
      <c r="M554" s="1"/>
      <c r="N554" s="1"/>
      <c r="O554" s="1"/>
      <c r="P554" s="1"/>
      <c r="Q554" s="1"/>
      <c r="R554" s="1"/>
      <c r="S554" s="1"/>
      <c r="T554" s="14"/>
      <c r="U554" s="14"/>
      <c r="V554" s="14"/>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row>
    <row r="555" spans="1:226" ht="14.25" customHeight="1" x14ac:dyDescent="0.25">
      <c r="A555" s="1"/>
      <c r="B555" s="1"/>
      <c r="C555" s="1"/>
      <c r="D555" s="1"/>
      <c r="E555" s="1"/>
      <c r="F555" s="1"/>
      <c r="G555" s="1"/>
      <c r="H555" s="1"/>
      <c r="I555" s="1"/>
      <c r="J555" s="1"/>
      <c r="K555" s="1"/>
      <c r="L555" s="1"/>
      <c r="M555" s="1"/>
      <c r="N555" s="1"/>
      <c r="O555" s="1"/>
      <c r="P555" s="1"/>
      <c r="Q555" s="1"/>
      <c r="R555" s="1"/>
      <c r="S555" s="1"/>
      <c r="T555" s="14"/>
      <c r="U555" s="14"/>
      <c r="V555" s="14"/>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row>
    <row r="556" spans="1:226" ht="14.25" customHeight="1" x14ac:dyDescent="0.25">
      <c r="A556" s="1"/>
      <c r="B556" s="1"/>
      <c r="C556" s="1"/>
      <c r="D556" s="1"/>
      <c r="E556" s="1"/>
      <c r="F556" s="1"/>
      <c r="G556" s="1"/>
      <c r="H556" s="1"/>
      <c r="I556" s="1"/>
      <c r="J556" s="1"/>
      <c r="K556" s="1"/>
      <c r="L556" s="1"/>
      <c r="M556" s="1"/>
      <c r="N556" s="1"/>
      <c r="O556" s="1"/>
      <c r="P556" s="1"/>
      <c r="Q556" s="1"/>
      <c r="R556" s="1"/>
      <c r="S556" s="1"/>
      <c r="T556" s="14"/>
      <c r="U556" s="14"/>
      <c r="V556" s="14"/>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row>
    <row r="557" spans="1:226" ht="14.25" customHeight="1" x14ac:dyDescent="0.25">
      <c r="A557" s="1"/>
      <c r="B557" s="1"/>
      <c r="C557" s="1"/>
      <c r="D557" s="1"/>
      <c r="E557" s="1"/>
      <c r="F557" s="1"/>
      <c r="G557" s="1"/>
      <c r="H557" s="1"/>
      <c r="I557" s="1"/>
      <c r="J557" s="1"/>
      <c r="K557" s="1"/>
      <c r="L557" s="1"/>
      <c r="M557" s="1"/>
      <c r="N557" s="1"/>
      <c r="O557" s="1"/>
      <c r="P557" s="1"/>
      <c r="Q557" s="1"/>
      <c r="R557" s="1"/>
      <c r="S557" s="1"/>
      <c r="T557" s="14"/>
      <c r="U557" s="14"/>
      <c r="V557" s="14"/>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row>
    <row r="558" spans="1:226" ht="14.25" customHeight="1" x14ac:dyDescent="0.25">
      <c r="A558" s="1"/>
      <c r="B558" s="1"/>
      <c r="C558" s="1"/>
      <c r="D558" s="1"/>
      <c r="E558" s="1"/>
      <c r="F558" s="1"/>
      <c r="G558" s="1"/>
      <c r="H558" s="1"/>
      <c r="I558" s="1"/>
      <c r="J558" s="1"/>
      <c r="K558" s="1"/>
      <c r="L558" s="1"/>
      <c r="M558" s="1"/>
      <c r="N558" s="1"/>
      <c r="O558" s="1"/>
      <c r="P558" s="1"/>
      <c r="Q558" s="1"/>
      <c r="R558" s="1"/>
      <c r="S558" s="1"/>
      <c r="T558" s="14"/>
      <c r="U558" s="14"/>
      <c r="V558" s="14"/>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row>
    <row r="559" spans="1:226" ht="14.25" customHeight="1" x14ac:dyDescent="0.25">
      <c r="A559" s="1"/>
      <c r="B559" s="1"/>
      <c r="C559" s="1"/>
      <c r="D559" s="1"/>
      <c r="E559" s="1"/>
      <c r="F559" s="1"/>
      <c r="G559" s="1"/>
      <c r="H559" s="1"/>
      <c r="I559" s="1"/>
      <c r="J559" s="1"/>
      <c r="K559" s="1"/>
      <c r="L559" s="1"/>
      <c r="M559" s="1"/>
      <c r="N559" s="1"/>
      <c r="O559" s="1"/>
      <c r="P559" s="1"/>
      <c r="Q559" s="1"/>
      <c r="R559" s="1"/>
      <c r="S559" s="1"/>
      <c r="T559" s="14"/>
      <c r="U559" s="14"/>
      <c r="V559" s="14"/>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row>
    <row r="560" spans="1:226" ht="14.25" customHeight="1" x14ac:dyDescent="0.25">
      <c r="A560" s="1"/>
      <c r="B560" s="1"/>
      <c r="C560" s="1"/>
      <c r="D560" s="1"/>
      <c r="E560" s="1"/>
      <c r="F560" s="1"/>
      <c r="G560" s="1"/>
      <c r="H560" s="1"/>
      <c r="I560" s="1"/>
      <c r="J560" s="1"/>
      <c r="K560" s="1"/>
      <c r="L560" s="1"/>
      <c r="M560" s="1"/>
      <c r="N560" s="1"/>
      <c r="O560" s="1"/>
      <c r="P560" s="1"/>
      <c r="Q560" s="1"/>
      <c r="R560" s="1"/>
      <c r="S560" s="1"/>
      <c r="T560" s="14"/>
      <c r="U560" s="14"/>
      <c r="V560" s="14"/>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row>
    <row r="561" spans="1:226" ht="14.25" customHeight="1" x14ac:dyDescent="0.25">
      <c r="A561" s="1"/>
      <c r="B561" s="1"/>
      <c r="C561" s="1"/>
      <c r="D561" s="1"/>
      <c r="E561" s="1"/>
      <c r="F561" s="1"/>
      <c r="G561" s="1"/>
      <c r="H561" s="1"/>
      <c r="I561" s="1"/>
      <c r="J561" s="1"/>
      <c r="K561" s="1"/>
      <c r="L561" s="1"/>
      <c r="M561" s="1"/>
      <c r="N561" s="1"/>
      <c r="O561" s="1"/>
      <c r="P561" s="1"/>
      <c r="Q561" s="1"/>
      <c r="R561" s="1"/>
      <c r="S561" s="1"/>
      <c r="T561" s="14"/>
      <c r="U561" s="14"/>
      <c r="V561" s="14"/>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row>
    <row r="562" spans="1:226" ht="14.25" customHeight="1" x14ac:dyDescent="0.25">
      <c r="A562" s="1"/>
      <c r="B562" s="1"/>
      <c r="C562" s="1"/>
      <c r="D562" s="1"/>
      <c r="E562" s="1"/>
      <c r="F562" s="1"/>
      <c r="G562" s="1"/>
      <c r="H562" s="1"/>
      <c r="I562" s="1"/>
      <c r="J562" s="1"/>
      <c r="K562" s="1"/>
      <c r="L562" s="1"/>
      <c r="M562" s="1"/>
      <c r="N562" s="1"/>
      <c r="O562" s="1"/>
      <c r="P562" s="1"/>
      <c r="Q562" s="1"/>
      <c r="R562" s="1"/>
      <c r="S562" s="1"/>
      <c r="T562" s="14"/>
      <c r="U562" s="14"/>
      <c r="V562" s="14"/>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row>
    <row r="563" spans="1:226" ht="14.25" customHeight="1" x14ac:dyDescent="0.25">
      <c r="A563" s="1"/>
      <c r="B563" s="1"/>
      <c r="C563" s="1"/>
      <c r="D563" s="1"/>
      <c r="E563" s="1"/>
      <c r="F563" s="1"/>
      <c r="G563" s="1"/>
      <c r="H563" s="1"/>
      <c r="I563" s="1"/>
      <c r="J563" s="1"/>
      <c r="K563" s="1"/>
      <c r="L563" s="1"/>
      <c r="M563" s="1"/>
      <c r="N563" s="1"/>
      <c r="O563" s="1"/>
      <c r="P563" s="1"/>
      <c r="Q563" s="1"/>
      <c r="R563" s="1"/>
      <c r="S563" s="1"/>
      <c r="T563" s="14"/>
      <c r="U563" s="14"/>
      <c r="V563" s="14"/>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row>
    <row r="564" spans="1:226" ht="14.25" customHeight="1" x14ac:dyDescent="0.25">
      <c r="A564" s="1"/>
      <c r="B564" s="1"/>
      <c r="C564" s="1"/>
      <c r="D564" s="1"/>
      <c r="E564" s="1"/>
      <c r="F564" s="1"/>
      <c r="G564" s="1"/>
      <c r="H564" s="1"/>
      <c r="I564" s="1"/>
      <c r="J564" s="1"/>
      <c r="K564" s="1"/>
      <c r="L564" s="1"/>
      <c r="M564" s="1"/>
      <c r="N564" s="1"/>
      <c r="O564" s="1"/>
      <c r="P564" s="1"/>
      <c r="Q564" s="1"/>
      <c r="R564" s="1"/>
      <c r="S564" s="1"/>
      <c r="T564" s="14"/>
      <c r="U564" s="14"/>
      <c r="V564" s="14"/>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row>
    <row r="565" spans="1:226" ht="14.25" customHeight="1" x14ac:dyDescent="0.25">
      <c r="A565" s="1"/>
      <c r="B565" s="1"/>
      <c r="C565" s="1"/>
      <c r="D565" s="1"/>
      <c r="E565" s="1"/>
      <c r="F565" s="1"/>
      <c r="G565" s="1"/>
      <c r="H565" s="1"/>
      <c r="I565" s="1"/>
      <c r="J565" s="1"/>
      <c r="K565" s="1"/>
      <c r="L565" s="1"/>
      <c r="M565" s="1"/>
      <c r="N565" s="1"/>
      <c r="O565" s="1"/>
      <c r="P565" s="1"/>
      <c r="Q565" s="1"/>
      <c r="R565" s="1"/>
      <c r="S565" s="1"/>
      <c r="T565" s="14"/>
      <c r="U565" s="14"/>
      <c r="V565" s="14"/>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row>
    <row r="566" spans="1:226" ht="14.25" customHeight="1" x14ac:dyDescent="0.25">
      <c r="A566" s="1"/>
      <c r="B566" s="1"/>
      <c r="C566" s="1"/>
      <c r="D566" s="1"/>
      <c r="E566" s="1"/>
      <c r="F566" s="1"/>
      <c r="G566" s="1"/>
      <c r="H566" s="1"/>
      <c r="I566" s="1"/>
      <c r="J566" s="1"/>
      <c r="K566" s="1"/>
      <c r="L566" s="1"/>
      <c r="M566" s="1"/>
      <c r="N566" s="1"/>
      <c r="O566" s="1"/>
      <c r="P566" s="1"/>
      <c r="Q566" s="1"/>
      <c r="R566" s="1"/>
      <c r="S566" s="1"/>
      <c r="T566" s="14"/>
      <c r="U566" s="14"/>
      <c r="V566" s="14"/>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row>
    <row r="567" spans="1:226" ht="14.25" customHeight="1" x14ac:dyDescent="0.25">
      <c r="A567" s="1"/>
      <c r="B567" s="1"/>
      <c r="C567" s="1"/>
      <c r="D567" s="1"/>
      <c r="E567" s="1"/>
      <c r="F567" s="1"/>
      <c r="G567" s="1"/>
      <c r="H567" s="1"/>
      <c r="I567" s="1"/>
      <c r="J567" s="1"/>
      <c r="K567" s="1"/>
      <c r="L567" s="1"/>
      <c r="M567" s="1"/>
      <c r="N567" s="1"/>
      <c r="O567" s="1"/>
      <c r="P567" s="1"/>
      <c r="Q567" s="1"/>
      <c r="R567" s="1"/>
      <c r="S567" s="1"/>
      <c r="T567" s="14"/>
      <c r="U567" s="14"/>
      <c r="V567" s="14"/>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row>
    <row r="568" spans="1:226" ht="14.25" customHeight="1" x14ac:dyDescent="0.25">
      <c r="A568" s="1"/>
      <c r="B568" s="1"/>
      <c r="C568" s="1"/>
      <c r="D568" s="1"/>
      <c r="E568" s="1"/>
      <c r="F568" s="1"/>
      <c r="G568" s="1"/>
      <c r="H568" s="1"/>
      <c r="I568" s="1"/>
      <c r="J568" s="1"/>
      <c r="K568" s="1"/>
      <c r="L568" s="1"/>
      <c r="M568" s="1"/>
      <c r="N568" s="1"/>
      <c r="O568" s="1"/>
      <c r="P568" s="1"/>
      <c r="Q568" s="1"/>
      <c r="R568" s="1"/>
      <c r="S568" s="1"/>
      <c r="T568" s="14"/>
      <c r="U568" s="14"/>
      <c r="V568" s="14"/>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row>
    <row r="569" spans="1:226" ht="14.25" customHeight="1" x14ac:dyDescent="0.25">
      <c r="A569" s="1"/>
      <c r="B569" s="1"/>
      <c r="C569" s="1"/>
      <c r="D569" s="1"/>
      <c r="E569" s="1"/>
      <c r="F569" s="1"/>
      <c r="G569" s="1"/>
      <c r="H569" s="1"/>
      <c r="I569" s="1"/>
      <c r="J569" s="1"/>
      <c r="K569" s="1"/>
      <c r="L569" s="1"/>
      <c r="M569" s="1"/>
      <c r="N569" s="1"/>
      <c r="O569" s="1"/>
      <c r="P569" s="1"/>
      <c r="Q569" s="1"/>
      <c r="R569" s="1"/>
      <c r="S569" s="1"/>
      <c r="T569" s="14"/>
      <c r="U569" s="14"/>
      <c r="V569" s="14"/>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row>
    <row r="570" spans="1:226" ht="14.25" customHeight="1" x14ac:dyDescent="0.25">
      <c r="A570" s="1"/>
      <c r="B570" s="1"/>
      <c r="C570" s="1"/>
      <c r="D570" s="1"/>
      <c r="E570" s="1"/>
      <c r="F570" s="1"/>
      <c r="G570" s="1"/>
      <c r="H570" s="1"/>
      <c r="I570" s="1"/>
      <c r="J570" s="1"/>
      <c r="K570" s="1"/>
      <c r="L570" s="1"/>
      <c r="M570" s="1"/>
      <c r="N570" s="1"/>
      <c r="O570" s="1"/>
      <c r="P570" s="1"/>
      <c r="Q570" s="1"/>
      <c r="R570" s="1"/>
      <c r="S570" s="1"/>
      <c r="T570" s="14"/>
      <c r="U570" s="14"/>
      <c r="V570" s="14"/>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row>
    <row r="571" spans="1:226" ht="14.25" customHeight="1" x14ac:dyDescent="0.25">
      <c r="A571" s="1"/>
      <c r="B571" s="1"/>
      <c r="C571" s="1"/>
      <c r="D571" s="1"/>
      <c r="E571" s="1"/>
      <c r="F571" s="1"/>
      <c r="G571" s="1"/>
      <c r="H571" s="1"/>
      <c r="I571" s="1"/>
      <c r="J571" s="1"/>
      <c r="K571" s="1"/>
      <c r="L571" s="1"/>
      <c r="M571" s="1"/>
      <c r="N571" s="1"/>
      <c r="O571" s="1"/>
      <c r="P571" s="1"/>
      <c r="Q571" s="1"/>
      <c r="R571" s="1"/>
      <c r="S571" s="1"/>
      <c r="T571" s="14"/>
      <c r="U571" s="14"/>
      <c r="V571" s="14"/>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row>
    <row r="572" spans="1:226" ht="14.25" customHeight="1" x14ac:dyDescent="0.25">
      <c r="A572" s="1"/>
      <c r="B572" s="1"/>
      <c r="C572" s="1"/>
      <c r="D572" s="1"/>
      <c r="E572" s="1"/>
      <c r="F572" s="1"/>
      <c r="G572" s="1"/>
      <c r="H572" s="1"/>
      <c r="I572" s="1"/>
      <c r="J572" s="1"/>
      <c r="K572" s="1"/>
      <c r="L572" s="1"/>
      <c r="M572" s="1"/>
      <c r="N572" s="1"/>
      <c r="O572" s="1"/>
      <c r="P572" s="1"/>
      <c r="Q572" s="1"/>
      <c r="R572" s="1"/>
      <c r="S572" s="1"/>
      <c r="T572" s="14"/>
      <c r="U572" s="14"/>
      <c r="V572" s="14"/>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row>
    <row r="573" spans="1:226" ht="14.25" customHeight="1" x14ac:dyDescent="0.25">
      <c r="A573" s="1"/>
      <c r="B573" s="1"/>
      <c r="C573" s="1"/>
      <c r="D573" s="1"/>
      <c r="E573" s="1"/>
      <c r="F573" s="1"/>
      <c r="G573" s="1"/>
      <c r="H573" s="1"/>
      <c r="I573" s="1"/>
      <c r="J573" s="1"/>
      <c r="K573" s="1"/>
      <c r="L573" s="1"/>
      <c r="M573" s="1"/>
      <c r="N573" s="1"/>
      <c r="O573" s="1"/>
      <c r="P573" s="1"/>
      <c r="Q573" s="1"/>
      <c r="R573" s="1"/>
      <c r="S573" s="1"/>
      <c r="T573" s="14"/>
      <c r="U573" s="14"/>
      <c r="V573" s="14"/>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row>
    <row r="574" spans="1:226" ht="14.25" customHeight="1" x14ac:dyDescent="0.25">
      <c r="A574" s="1"/>
      <c r="B574" s="1"/>
      <c r="C574" s="1"/>
      <c r="D574" s="1"/>
      <c r="E574" s="1"/>
      <c r="F574" s="1"/>
      <c r="G574" s="1"/>
      <c r="H574" s="1"/>
      <c r="I574" s="1"/>
      <c r="J574" s="1"/>
      <c r="K574" s="1"/>
      <c r="L574" s="1"/>
      <c r="M574" s="1"/>
      <c r="N574" s="1"/>
      <c r="O574" s="1"/>
      <c r="P574" s="1"/>
      <c r="Q574" s="1"/>
      <c r="R574" s="1"/>
      <c r="S574" s="1"/>
      <c r="T574" s="14"/>
      <c r="U574" s="14"/>
      <c r="V574" s="14"/>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row>
    <row r="575" spans="1:226" ht="14.25" customHeight="1" x14ac:dyDescent="0.25">
      <c r="A575" s="1"/>
      <c r="B575" s="1"/>
      <c r="C575" s="1"/>
      <c r="D575" s="1"/>
      <c r="E575" s="1"/>
      <c r="F575" s="1"/>
      <c r="G575" s="1"/>
      <c r="H575" s="1"/>
      <c r="I575" s="1"/>
      <c r="J575" s="1"/>
      <c r="K575" s="1"/>
      <c r="L575" s="1"/>
      <c r="M575" s="1"/>
      <c r="N575" s="1"/>
      <c r="O575" s="1"/>
      <c r="P575" s="1"/>
      <c r="Q575" s="1"/>
      <c r="R575" s="1"/>
      <c r="S575" s="1"/>
      <c r="T575" s="14"/>
      <c r="U575" s="14"/>
      <c r="V575" s="14"/>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row>
    <row r="576" spans="1:226" ht="14.25" customHeight="1" x14ac:dyDescent="0.25">
      <c r="A576" s="1"/>
      <c r="B576" s="1"/>
      <c r="C576" s="1"/>
      <c r="D576" s="1"/>
      <c r="E576" s="1"/>
      <c r="F576" s="1"/>
      <c r="G576" s="1"/>
      <c r="H576" s="1"/>
      <c r="I576" s="1"/>
      <c r="J576" s="1"/>
      <c r="K576" s="1"/>
      <c r="L576" s="1"/>
      <c r="M576" s="1"/>
      <c r="N576" s="1"/>
      <c r="O576" s="1"/>
      <c r="P576" s="1"/>
      <c r="Q576" s="1"/>
      <c r="R576" s="1"/>
      <c r="S576" s="1"/>
      <c r="T576" s="14"/>
      <c r="U576" s="14"/>
      <c r="V576" s="14"/>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row>
    <row r="577" spans="1:226" ht="14.25" customHeight="1" x14ac:dyDescent="0.25">
      <c r="A577" s="1"/>
      <c r="B577" s="1"/>
      <c r="C577" s="1"/>
      <c r="D577" s="1"/>
      <c r="E577" s="1"/>
      <c r="F577" s="1"/>
      <c r="G577" s="1"/>
      <c r="H577" s="1"/>
      <c r="I577" s="1"/>
      <c r="J577" s="1"/>
      <c r="K577" s="1"/>
      <c r="L577" s="1"/>
      <c r="M577" s="1"/>
      <c r="N577" s="1"/>
      <c r="O577" s="1"/>
      <c r="P577" s="1"/>
      <c r="Q577" s="1"/>
      <c r="R577" s="1"/>
      <c r="S577" s="1"/>
      <c r="T577" s="14"/>
      <c r="U577" s="14"/>
      <c r="V577" s="14"/>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row>
    <row r="578" spans="1:226" ht="14.25" customHeight="1" x14ac:dyDescent="0.25">
      <c r="A578" s="1"/>
      <c r="B578" s="1"/>
      <c r="C578" s="1"/>
      <c r="D578" s="1"/>
      <c r="E578" s="1"/>
      <c r="F578" s="1"/>
      <c r="G578" s="1"/>
      <c r="H578" s="1"/>
      <c r="I578" s="1"/>
      <c r="J578" s="1"/>
      <c r="K578" s="1"/>
      <c r="L578" s="1"/>
      <c r="M578" s="1"/>
      <c r="N578" s="1"/>
      <c r="O578" s="1"/>
      <c r="P578" s="1"/>
      <c r="Q578" s="1"/>
      <c r="R578" s="1"/>
      <c r="S578" s="1"/>
      <c r="T578" s="14"/>
      <c r="U578" s="14"/>
      <c r="V578" s="14"/>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row>
    <row r="579" spans="1:226" ht="14.25" customHeight="1" x14ac:dyDescent="0.25">
      <c r="A579" s="1"/>
      <c r="B579" s="1"/>
      <c r="C579" s="1"/>
      <c r="D579" s="1"/>
      <c r="E579" s="1"/>
      <c r="F579" s="1"/>
      <c r="G579" s="1"/>
      <c r="H579" s="1"/>
      <c r="I579" s="1"/>
      <c r="J579" s="1"/>
      <c r="K579" s="1"/>
      <c r="L579" s="1"/>
      <c r="M579" s="1"/>
      <c r="N579" s="1"/>
      <c r="O579" s="1"/>
      <c r="P579" s="1"/>
      <c r="Q579" s="1"/>
      <c r="R579" s="1"/>
      <c r="S579" s="1"/>
      <c r="T579" s="14"/>
      <c r="U579" s="14"/>
      <c r="V579" s="14"/>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row>
    <row r="580" spans="1:226" ht="14.25" customHeight="1" x14ac:dyDescent="0.25">
      <c r="A580" s="1"/>
      <c r="B580" s="1"/>
      <c r="C580" s="1"/>
      <c r="D580" s="1"/>
      <c r="E580" s="1"/>
      <c r="F580" s="1"/>
      <c r="G580" s="1"/>
      <c r="H580" s="1"/>
      <c r="I580" s="1"/>
      <c r="J580" s="1"/>
      <c r="K580" s="1"/>
      <c r="L580" s="1"/>
      <c r="M580" s="1"/>
      <c r="N580" s="1"/>
      <c r="O580" s="1"/>
      <c r="P580" s="1"/>
      <c r="Q580" s="1"/>
      <c r="R580" s="1"/>
      <c r="S580" s="1"/>
      <c r="T580" s="14"/>
      <c r="U580" s="14"/>
      <c r="V580" s="14"/>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row>
    <row r="581" spans="1:226" ht="14.25" customHeight="1" x14ac:dyDescent="0.25">
      <c r="A581" s="1"/>
      <c r="B581" s="1"/>
      <c r="C581" s="1"/>
      <c r="D581" s="1"/>
      <c r="E581" s="1"/>
      <c r="F581" s="1"/>
      <c r="G581" s="1"/>
      <c r="H581" s="1"/>
      <c r="I581" s="1"/>
      <c r="J581" s="1"/>
      <c r="K581" s="1"/>
      <c r="L581" s="1"/>
      <c r="M581" s="1"/>
      <c r="N581" s="1"/>
      <c r="O581" s="1"/>
      <c r="P581" s="1"/>
      <c r="Q581" s="1"/>
      <c r="R581" s="1"/>
      <c r="S581" s="1"/>
      <c r="T581" s="14"/>
      <c r="U581" s="14"/>
      <c r="V581" s="14"/>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row>
    <row r="582" spans="1:226" ht="14.25" customHeight="1" x14ac:dyDescent="0.25">
      <c r="A582" s="1"/>
      <c r="B582" s="1"/>
      <c r="C582" s="1"/>
      <c r="D582" s="1"/>
      <c r="E582" s="1"/>
      <c r="F582" s="1"/>
      <c r="G582" s="1"/>
      <c r="H582" s="1"/>
      <c r="I582" s="1"/>
      <c r="J582" s="1"/>
      <c r="K582" s="1"/>
      <c r="L582" s="1"/>
      <c r="M582" s="1"/>
      <c r="N582" s="1"/>
      <c r="O582" s="1"/>
      <c r="P582" s="1"/>
      <c r="Q582" s="1"/>
      <c r="R582" s="1"/>
      <c r="S582" s="1"/>
      <c r="T582" s="14"/>
      <c r="U582" s="14"/>
      <c r="V582" s="14"/>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row>
    <row r="583" spans="1:226" ht="14.25" customHeight="1" x14ac:dyDescent="0.25">
      <c r="A583" s="1"/>
      <c r="B583" s="1"/>
      <c r="C583" s="1"/>
      <c r="D583" s="1"/>
      <c r="E583" s="1"/>
      <c r="F583" s="1"/>
      <c r="G583" s="1"/>
      <c r="H583" s="1"/>
      <c r="I583" s="1"/>
      <c r="J583" s="1"/>
      <c r="K583" s="1"/>
      <c r="L583" s="1"/>
      <c r="M583" s="1"/>
      <c r="N583" s="1"/>
      <c r="O583" s="1"/>
      <c r="P583" s="1"/>
      <c r="Q583" s="1"/>
      <c r="R583" s="1"/>
      <c r="S583" s="1"/>
      <c r="T583" s="14"/>
      <c r="U583" s="14"/>
      <c r="V583" s="14"/>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row>
    <row r="584" spans="1:226" ht="14.25" customHeight="1" x14ac:dyDescent="0.25">
      <c r="A584" s="1"/>
      <c r="B584" s="1"/>
      <c r="C584" s="1"/>
      <c r="D584" s="1"/>
      <c r="E584" s="1"/>
      <c r="F584" s="1"/>
      <c r="G584" s="1"/>
      <c r="H584" s="1"/>
      <c r="I584" s="1"/>
      <c r="J584" s="1"/>
      <c r="K584" s="1"/>
      <c r="L584" s="1"/>
      <c r="M584" s="1"/>
      <c r="N584" s="1"/>
      <c r="O584" s="1"/>
      <c r="P584" s="1"/>
      <c r="Q584" s="1"/>
      <c r="R584" s="1"/>
      <c r="S584" s="1"/>
      <c r="T584" s="14"/>
      <c r="U584" s="14"/>
      <c r="V584" s="14"/>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row>
    <row r="585" spans="1:226" ht="14.25" customHeight="1" x14ac:dyDescent="0.25">
      <c r="A585" s="1"/>
      <c r="B585" s="1"/>
      <c r="C585" s="1"/>
      <c r="D585" s="1"/>
      <c r="E585" s="1"/>
      <c r="F585" s="1"/>
      <c r="G585" s="1"/>
      <c r="H585" s="1"/>
      <c r="I585" s="1"/>
      <c r="J585" s="1"/>
      <c r="K585" s="1"/>
      <c r="L585" s="1"/>
      <c r="M585" s="1"/>
      <c r="N585" s="1"/>
      <c r="O585" s="1"/>
      <c r="P585" s="1"/>
      <c r="Q585" s="1"/>
      <c r="R585" s="1"/>
      <c r="S585" s="1"/>
      <c r="T585" s="14"/>
      <c r="U585" s="14"/>
      <c r="V585" s="14"/>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row>
    <row r="586" spans="1:226" ht="14.25" customHeight="1" x14ac:dyDescent="0.25">
      <c r="A586" s="1"/>
      <c r="B586" s="1"/>
      <c r="C586" s="1"/>
      <c r="D586" s="1"/>
      <c r="E586" s="1"/>
      <c r="F586" s="1"/>
      <c r="G586" s="1"/>
      <c r="H586" s="1"/>
      <c r="I586" s="1"/>
      <c r="J586" s="1"/>
      <c r="K586" s="1"/>
      <c r="L586" s="1"/>
      <c r="M586" s="1"/>
      <c r="N586" s="1"/>
      <c r="O586" s="1"/>
      <c r="P586" s="1"/>
      <c r="Q586" s="1"/>
      <c r="R586" s="1"/>
      <c r="S586" s="1"/>
      <c r="T586" s="14"/>
      <c r="U586" s="14"/>
      <c r="V586" s="14"/>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row>
    <row r="587" spans="1:226" ht="14.25" customHeight="1" x14ac:dyDescent="0.25">
      <c r="A587" s="1"/>
      <c r="B587" s="1"/>
      <c r="C587" s="1"/>
      <c r="D587" s="1"/>
      <c r="E587" s="1"/>
      <c r="F587" s="1"/>
      <c r="G587" s="1"/>
      <c r="H587" s="1"/>
      <c r="I587" s="1"/>
      <c r="J587" s="1"/>
      <c r="K587" s="1"/>
      <c r="L587" s="1"/>
      <c r="M587" s="1"/>
      <c r="N587" s="1"/>
      <c r="O587" s="1"/>
      <c r="P587" s="1"/>
      <c r="Q587" s="1"/>
      <c r="R587" s="1"/>
      <c r="S587" s="1"/>
      <c r="T587" s="14"/>
      <c r="U587" s="14"/>
      <c r="V587" s="14"/>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row>
    <row r="588" spans="1:226" ht="14.25" customHeight="1" x14ac:dyDescent="0.25">
      <c r="A588" s="1"/>
      <c r="B588" s="1"/>
      <c r="C588" s="1"/>
      <c r="D588" s="1"/>
      <c r="E588" s="1"/>
      <c r="F588" s="1"/>
      <c r="G588" s="1"/>
      <c r="H588" s="1"/>
      <c r="I588" s="1"/>
      <c r="J588" s="1"/>
      <c r="K588" s="1"/>
      <c r="L588" s="1"/>
      <c r="M588" s="1"/>
      <c r="N588" s="1"/>
      <c r="O588" s="1"/>
      <c r="P588" s="1"/>
      <c r="Q588" s="1"/>
      <c r="R588" s="1"/>
      <c r="S588" s="1"/>
      <c r="T588" s="14"/>
      <c r="U588" s="14"/>
      <c r="V588" s="14"/>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row>
    <row r="589" spans="1:226" ht="14.25" customHeight="1" x14ac:dyDescent="0.25">
      <c r="A589" s="1"/>
      <c r="B589" s="1"/>
      <c r="C589" s="1"/>
      <c r="D589" s="1"/>
      <c r="E589" s="1"/>
      <c r="F589" s="1"/>
      <c r="G589" s="1"/>
      <c r="H589" s="1"/>
      <c r="I589" s="1"/>
      <c r="J589" s="1"/>
      <c r="K589" s="1"/>
      <c r="L589" s="1"/>
      <c r="M589" s="1"/>
      <c r="N589" s="1"/>
      <c r="O589" s="1"/>
      <c r="P589" s="1"/>
      <c r="Q589" s="1"/>
      <c r="R589" s="1"/>
      <c r="S589" s="1"/>
      <c r="T589" s="14"/>
      <c r="U589" s="14"/>
      <c r="V589" s="14"/>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row>
    <row r="590" spans="1:226" ht="14.25" customHeight="1" x14ac:dyDescent="0.25">
      <c r="A590" s="1"/>
      <c r="B590" s="1"/>
      <c r="C590" s="1"/>
      <c r="D590" s="1"/>
      <c r="E590" s="1"/>
      <c r="F590" s="1"/>
      <c r="G590" s="1"/>
      <c r="H590" s="1"/>
      <c r="I590" s="1"/>
      <c r="J590" s="1"/>
      <c r="K590" s="1"/>
      <c r="L590" s="1"/>
      <c r="M590" s="1"/>
      <c r="N590" s="1"/>
      <c r="O590" s="1"/>
      <c r="P590" s="1"/>
      <c r="Q590" s="1"/>
      <c r="R590" s="1"/>
      <c r="S590" s="1"/>
      <c r="T590" s="14"/>
      <c r="U590" s="14"/>
      <c r="V590" s="14"/>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row>
    <row r="591" spans="1:226" ht="14.25" customHeight="1" x14ac:dyDescent="0.25">
      <c r="A591" s="1"/>
      <c r="B591" s="1"/>
      <c r="C591" s="1"/>
      <c r="D591" s="1"/>
      <c r="E591" s="1"/>
      <c r="F591" s="1"/>
      <c r="G591" s="1"/>
      <c r="H591" s="1"/>
      <c r="I591" s="1"/>
      <c r="J591" s="1"/>
      <c r="K591" s="1"/>
      <c r="L591" s="1"/>
      <c r="M591" s="1"/>
      <c r="N591" s="1"/>
      <c r="O591" s="1"/>
      <c r="P591" s="1"/>
      <c r="Q591" s="1"/>
      <c r="R591" s="1"/>
      <c r="S591" s="1"/>
      <c r="T591" s="14"/>
      <c r="U591" s="14"/>
      <c r="V591" s="14"/>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row>
    <row r="592" spans="1:226" ht="14.25" customHeight="1" x14ac:dyDescent="0.25">
      <c r="A592" s="1"/>
      <c r="B592" s="1"/>
      <c r="C592" s="1"/>
      <c r="D592" s="1"/>
      <c r="E592" s="1"/>
      <c r="F592" s="1"/>
      <c r="G592" s="1"/>
      <c r="H592" s="1"/>
      <c r="I592" s="1"/>
      <c r="J592" s="1"/>
      <c r="K592" s="1"/>
      <c r="L592" s="1"/>
      <c r="M592" s="1"/>
      <c r="N592" s="1"/>
      <c r="O592" s="1"/>
      <c r="P592" s="1"/>
      <c r="Q592" s="1"/>
      <c r="R592" s="1"/>
      <c r="S592" s="1"/>
      <c r="T592" s="14"/>
      <c r="U592" s="14"/>
      <c r="V592" s="14"/>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row>
    <row r="593" spans="1:226" ht="14.25" customHeight="1" x14ac:dyDescent="0.25">
      <c r="A593" s="1"/>
      <c r="B593" s="1"/>
      <c r="C593" s="1"/>
      <c r="D593" s="1"/>
      <c r="E593" s="1"/>
      <c r="F593" s="1"/>
      <c r="G593" s="1"/>
      <c r="H593" s="1"/>
      <c r="I593" s="1"/>
      <c r="J593" s="1"/>
      <c r="K593" s="1"/>
      <c r="L593" s="1"/>
      <c r="M593" s="1"/>
      <c r="N593" s="1"/>
      <c r="O593" s="1"/>
      <c r="P593" s="1"/>
      <c r="Q593" s="1"/>
      <c r="R593" s="1"/>
      <c r="S593" s="1"/>
      <c r="T593" s="14"/>
      <c r="U593" s="14"/>
      <c r="V593" s="14"/>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row>
    <row r="594" spans="1:226" ht="14.25" customHeight="1" x14ac:dyDescent="0.25">
      <c r="A594" s="1"/>
      <c r="B594" s="1"/>
      <c r="C594" s="1"/>
      <c r="D594" s="1"/>
      <c r="E594" s="1"/>
      <c r="F594" s="1"/>
      <c r="G594" s="1"/>
      <c r="H594" s="1"/>
      <c r="I594" s="1"/>
      <c r="J594" s="1"/>
      <c r="K594" s="1"/>
      <c r="L594" s="1"/>
      <c r="M594" s="1"/>
      <c r="N594" s="1"/>
      <c r="O594" s="1"/>
      <c r="P594" s="1"/>
      <c r="Q594" s="1"/>
      <c r="R594" s="1"/>
      <c r="S594" s="1"/>
      <c r="T594" s="14"/>
      <c r="U594" s="14"/>
      <c r="V594" s="14"/>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row>
    <row r="595" spans="1:226" ht="14.25" customHeight="1" x14ac:dyDescent="0.25">
      <c r="A595" s="1"/>
      <c r="B595" s="1"/>
      <c r="C595" s="1"/>
      <c r="D595" s="1"/>
      <c r="E595" s="1"/>
      <c r="F595" s="1"/>
      <c r="G595" s="1"/>
      <c r="H595" s="1"/>
      <c r="I595" s="1"/>
      <c r="J595" s="1"/>
      <c r="K595" s="1"/>
      <c r="L595" s="1"/>
      <c r="M595" s="1"/>
      <c r="N595" s="1"/>
      <c r="O595" s="1"/>
      <c r="P595" s="1"/>
      <c r="Q595" s="1"/>
      <c r="R595" s="1"/>
      <c r="S595" s="1"/>
      <c r="T595" s="14"/>
      <c r="U595" s="14"/>
      <c r="V595" s="14"/>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row>
    <row r="596" spans="1:226" ht="14.25" customHeight="1" x14ac:dyDescent="0.25">
      <c r="A596" s="1"/>
      <c r="B596" s="1"/>
      <c r="C596" s="1"/>
      <c r="D596" s="1"/>
      <c r="E596" s="1"/>
      <c r="F596" s="1"/>
      <c r="G596" s="1"/>
      <c r="H596" s="1"/>
      <c r="I596" s="1"/>
      <c r="J596" s="1"/>
      <c r="K596" s="1"/>
      <c r="L596" s="1"/>
      <c r="M596" s="1"/>
      <c r="N596" s="1"/>
      <c r="O596" s="1"/>
      <c r="P596" s="1"/>
      <c r="Q596" s="1"/>
      <c r="R596" s="1"/>
      <c r="S596" s="1"/>
      <c r="T596" s="14"/>
      <c r="U596" s="14"/>
      <c r="V596" s="14"/>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row>
    <row r="597" spans="1:226" ht="14.25" customHeight="1" x14ac:dyDescent="0.25">
      <c r="A597" s="1"/>
      <c r="B597" s="1"/>
      <c r="C597" s="1"/>
      <c r="D597" s="1"/>
      <c r="E597" s="1"/>
      <c r="F597" s="1"/>
      <c r="G597" s="1"/>
      <c r="H597" s="1"/>
      <c r="I597" s="1"/>
      <c r="J597" s="1"/>
      <c r="K597" s="1"/>
      <c r="L597" s="1"/>
      <c r="M597" s="1"/>
      <c r="N597" s="1"/>
      <c r="O597" s="1"/>
      <c r="P597" s="1"/>
      <c r="Q597" s="1"/>
      <c r="R597" s="1"/>
      <c r="S597" s="1"/>
      <c r="T597" s="14"/>
      <c r="U597" s="14"/>
      <c r="V597" s="14"/>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row>
    <row r="598" spans="1:226" ht="14.25" customHeight="1" x14ac:dyDescent="0.25">
      <c r="A598" s="1"/>
      <c r="B598" s="1"/>
      <c r="C598" s="1"/>
      <c r="D598" s="1"/>
      <c r="E598" s="1"/>
      <c r="F598" s="1"/>
      <c r="G598" s="1"/>
      <c r="H598" s="1"/>
      <c r="I598" s="1"/>
      <c r="J598" s="1"/>
      <c r="K598" s="1"/>
      <c r="L598" s="1"/>
      <c r="M598" s="1"/>
      <c r="N598" s="1"/>
      <c r="O598" s="1"/>
      <c r="P598" s="1"/>
      <c r="Q598" s="1"/>
      <c r="R598" s="1"/>
      <c r="S598" s="1"/>
      <c r="T598" s="14"/>
      <c r="U598" s="14"/>
      <c r="V598" s="14"/>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row>
    <row r="599" spans="1:226" ht="14.25" customHeight="1" x14ac:dyDescent="0.25">
      <c r="A599" s="1"/>
      <c r="B599" s="1"/>
      <c r="C599" s="1"/>
      <c r="D599" s="1"/>
      <c r="E599" s="1"/>
      <c r="F599" s="1"/>
      <c r="G599" s="1"/>
      <c r="H599" s="1"/>
      <c r="I599" s="1"/>
      <c r="J599" s="1"/>
      <c r="K599" s="1"/>
      <c r="L599" s="1"/>
      <c r="M599" s="1"/>
      <c r="N599" s="1"/>
      <c r="O599" s="1"/>
      <c r="P599" s="1"/>
      <c r="Q599" s="1"/>
      <c r="R599" s="1"/>
      <c r="S599" s="1"/>
      <c r="T599" s="14"/>
      <c r="U599" s="14"/>
      <c r="V599" s="14"/>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row>
    <row r="600" spans="1:226" ht="14.25" customHeight="1" x14ac:dyDescent="0.25">
      <c r="A600" s="1"/>
      <c r="B600" s="1"/>
      <c r="C600" s="1"/>
      <c r="D600" s="1"/>
      <c r="E600" s="1"/>
      <c r="F600" s="1"/>
      <c r="G600" s="1"/>
      <c r="H600" s="1"/>
      <c r="I600" s="1"/>
      <c r="J600" s="1"/>
      <c r="K600" s="1"/>
      <c r="L600" s="1"/>
      <c r="M600" s="1"/>
      <c r="N600" s="1"/>
      <c r="O600" s="1"/>
      <c r="P600" s="1"/>
      <c r="Q600" s="1"/>
      <c r="R600" s="1"/>
      <c r="S600" s="1"/>
      <c r="T600" s="14"/>
      <c r="U600" s="14"/>
      <c r="V600" s="14"/>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row>
    <row r="601" spans="1:226" ht="14.25" customHeight="1" x14ac:dyDescent="0.25">
      <c r="A601" s="1"/>
      <c r="B601" s="1"/>
      <c r="C601" s="1"/>
      <c r="D601" s="1"/>
      <c r="E601" s="1"/>
      <c r="F601" s="1"/>
      <c r="G601" s="1"/>
      <c r="H601" s="1"/>
      <c r="I601" s="1"/>
      <c r="J601" s="1"/>
      <c r="K601" s="1"/>
      <c r="L601" s="1"/>
      <c r="M601" s="1"/>
      <c r="N601" s="1"/>
      <c r="O601" s="1"/>
      <c r="P601" s="1"/>
      <c r="Q601" s="1"/>
      <c r="R601" s="1"/>
      <c r="S601" s="1"/>
      <c r="T601" s="14"/>
      <c r="U601" s="14"/>
      <c r="V601" s="14"/>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row>
    <row r="602" spans="1:226" ht="14.25" customHeight="1" x14ac:dyDescent="0.25">
      <c r="A602" s="1"/>
      <c r="B602" s="1"/>
      <c r="C602" s="1"/>
      <c r="D602" s="1"/>
      <c r="E602" s="1"/>
      <c r="F602" s="1"/>
      <c r="G602" s="1"/>
      <c r="H602" s="1"/>
      <c r="I602" s="1"/>
      <c r="J602" s="1"/>
      <c r="K602" s="1"/>
      <c r="L602" s="1"/>
      <c r="M602" s="1"/>
      <c r="N602" s="1"/>
      <c r="O602" s="1"/>
      <c r="P602" s="1"/>
      <c r="Q602" s="1"/>
      <c r="R602" s="1"/>
      <c r="S602" s="1"/>
      <c r="T602" s="14"/>
      <c r="U602" s="14"/>
      <c r="V602" s="14"/>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row>
    <row r="603" spans="1:226" ht="14.25" customHeight="1" x14ac:dyDescent="0.25">
      <c r="A603" s="1"/>
      <c r="B603" s="1"/>
      <c r="C603" s="1"/>
      <c r="D603" s="1"/>
      <c r="E603" s="1"/>
      <c r="F603" s="1"/>
      <c r="G603" s="1"/>
      <c r="H603" s="1"/>
      <c r="I603" s="1"/>
      <c r="J603" s="1"/>
      <c r="K603" s="1"/>
      <c r="L603" s="1"/>
      <c r="M603" s="1"/>
      <c r="N603" s="1"/>
      <c r="O603" s="1"/>
      <c r="P603" s="1"/>
      <c r="Q603" s="1"/>
      <c r="R603" s="1"/>
      <c r="S603" s="1"/>
      <c r="T603" s="14"/>
      <c r="U603" s="14"/>
      <c r="V603" s="14"/>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row>
    <row r="604" spans="1:226" ht="14.25" customHeight="1" x14ac:dyDescent="0.25">
      <c r="A604" s="1"/>
      <c r="B604" s="1"/>
      <c r="C604" s="1"/>
      <c r="D604" s="1"/>
      <c r="E604" s="1"/>
      <c r="F604" s="1"/>
      <c r="G604" s="1"/>
      <c r="H604" s="1"/>
      <c r="I604" s="1"/>
      <c r="J604" s="1"/>
      <c r="K604" s="1"/>
      <c r="L604" s="1"/>
      <c r="M604" s="1"/>
      <c r="N604" s="1"/>
      <c r="O604" s="1"/>
      <c r="P604" s="1"/>
      <c r="Q604" s="1"/>
      <c r="R604" s="1"/>
      <c r="S604" s="1"/>
      <c r="T604" s="14"/>
      <c r="U604" s="14"/>
      <c r="V604" s="14"/>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row>
    <row r="605" spans="1:226" ht="14.25" customHeight="1" x14ac:dyDescent="0.25">
      <c r="A605" s="1"/>
      <c r="B605" s="1"/>
      <c r="C605" s="1"/>
      <c r="D605" s="1"/>
      <c r="E605" s="1"/>
      <c r="F605" s="1"/>
      <c r="G605" s="1"/>
      <c r="H605" s="1"/>
      <c r="I605" s="1"/>
      <c r="J605" s="1"/>
      <c r="K605" s="1"/>
      <c r="L605" s="1"/>
      <c r="M605" s="1"/>
      <c r="N605" s="1"/>
      <c r="O605" s="1"/>
      <c r="P605" s="1"/>
      <c r="Q605" s="1"/>
      <c r="R605" s="1"/>
      <c r="S605" s="1"/>
      <c r="T605" s="14"/>
      <c r="U605" s="14"/>
      <c r="V605" s="14"/>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row>
    <row r="606" spans="1:226" ht="14.25" customHeight="1" x14ac:dyDescent="0.25">
      <c r="A606" s="1"/>
      <c r="B606" s="1"/>
      <c r="C606" s="1"/>
      <c r="D606" s="1"/>
      <c r="E606" s="1"/>
      <c r="F606" s="1"/>
      <c r="G606" s="1"/>
      <c r="H606" s="1"/>
      <c r="I606" s="1"/>
      <c r="J606" s="1"/>
      <c r="K606" s="1"/>
      <c r="L606" s="1"/>
      <c r="M606" s="1"/>
      <c r="N606" s="1"/>
      <c r="O606" s="1"/>
      <c r="P606" s="1"/>
      <c r="Q606" s="1"/>
      <c r="R606" s="1"/>
      <c r="S606" s="1"/>
      <c r="T606" s="14"/>
      <c r="U606" s="14"/>
      <c r="V606" s="14"/>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row>
    <row r="607" spans="1:226" ht="14.25" customHeight="1" x14ac:dyDescent="0.25">
      <c r="A607" s="1"/>
      <c r="B607" s="1"/>
      <c r="C607" s="1"/>
      <c r="D607" s="1"/>
      <c r="E607" s="1"/>
      <c r="F607" s="1"/>
      <c r="G607" s="1"/>
      <c r="H607" s="1"/>
      <c r="I607" s="1"/>
      <c r="J607" s="1"/>
      <c r="K607" s="1"/>
      <c r="L607" s="1"/>
      <c r="M607" s="1"/>
      <c r="N607" s="1"/>
      <c r="O607" s="1"/>
      <c r="P607" s="1"/>
      <c r="Q607" s="1"/>
      <c r="R607" s="1"/>
      <c r="S607" s="1"/>
      <c r="T607" s="14"/>
      <c r="U607" s="14"/>
      <c r="V607" s="14"/>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row>
    <row r="608" spans="1:226" ht="14.25" customHeight="1" x14ac:dyDescent="0.25">
      <c r="A608" s="1"/>
      <c r="B608" s="1"/>
      <c r="C608" s="1"/>
      <c r="D608" s="1"/>
      <c r="E608" s="1"/>
      <c r="F608" s="1"/>
      <c r="G608" s="1"/>
      <c r="H608" s="1"/>
      <c r="I608" s="1"/>
      <c r="J608" s="1"/>
      <c r="K608" s="1"/>
      <c r="L608" s="1"/>
      <c r="M608" s="1"/>
      <c r="N608" s="1"/>
      <c r="O608" s="1"/>
      <c r="P608" s="1"/>
      <c r="Q608" s="1"/>
      <c r="R608" s="1"/>
      <c r="S608" s="1"/>
      <c r="T608" s="14"/>
      <c r="U608" s="14"/>
      <c r="V608" s="14"/>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row>
    <row r="609" spans="1:226" ht="14.25" customHeight="1" x14ac:dyDescent="0.25">
      <c r="A609" s="1"/>
      <c r="B609" s="1"/>
      <c r="C609" s="1"/>
      <c r="D609" s="1"/>
      <c r="E609" s="1"/>
      <c r="F609" s="1"/>
      <c r="G609" s="1"/>
      <c r="H609" s="1"/>
      <c r="I609" s="1"/>
      <c r="J609" s="1"/>
      <c r="K609" s="1"/>
      <c r="L609" s="1"/>
      <c r="M609" s="1"/>
      <c r="N609" s="1"/>
      <c r="O609" s="1"/>
      <c r="P609" s="1"/>
      <c r="Q609" s="1"/>
      <c r="R609" s="1"/>
      <c r="S609" s="1"/>
      <c r="T609" s="14"/>
      <c r="U609" s="14"/>
      <c r="V609" s="14"/>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row>
    <row r="610" spans="1:226" ht="14.25" customHeight="1" x14ac:dyDescent="0.25">
      <c r="A610" s="1"/>
      <c r="B610" s="1"/>
      <c r="C610" s="1"/>
      <c r="D610" s="1"/>
      <c r="E610" s="1"/>
      <c r="F610" s="1"/>
      <c r="G610" s="1"/>
      <c r="H610" s="1"/>
      <c r="I610" s="1"/>
      <c r="J610" s="1"/>
      <c r="K610" s="1"/>
      <c r="L610" s="1"/>
      <c r="M610" s="1"/>
      <c r="N610" s="1"/>
      <c r="O610" s="1"/>
      <c r="P610" s="1"/>
      <c r="Q610" s="1"/>
      <c r="R610" s="1"/>
      <c r="S610" s="1"/>
      <c r="T610" s="14"/>
      <c r="U610" s="14"/>
      <c r="V610" s="14"/>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row>
    <row r="611" spans="1:226" ht="14.25" customHeight="1" x14ac:dyDescent="0.25">
      <c r="A611" s="1"/>
      <c r="B611" s="1"/>
      <c r="C611" s="1"/>
      <c r="D611" s="1"/>
      <c r="E611" s="1"/>
      <c r="F611" s="1"/>
      <c r="G611" s="1"/>
      <c r="H611" s="1"/>
      <c r="I611" s="1"/>
      <c r="J611" s="1"/>
      <c r="K611" s="1"/>
      <c r="L611" s="1"/>
      <c r="M611" s="1"/>
      <c r="N611" s="1"/>
      <c r="O611" s="1"/>
      <c r="P611" s="1"/>
      <c r="Q611" s="1"/>
      <c r="R611" s="1"/>
      <c r="S611" s="1"/>
      <c r="T611" s="14"/>
      <c r="U611" s="14"/>
      <c r="V611" s="14"/>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row>
    <row r="612" spans="1:226" ht="14.25" customHeight="1" x14ac:dyDescent="0.25">
      <c r="A612" s="1"/>
      <c r="B612" s="1"/>
      <c r="C612" s="1"/>
      <c r="D612" s="1"/>
      <c r="E612" s="1"/>
      <c r="F612" s="1"/>
      <c r="G612" s="1"/>
      <c r="H612" s="1"/>
      <c r="I612" s="1"/>
      <c r="J612" s="1"/>
      <c r="K612" s="1"/>
      <c r="L612" s="1"/>
      <c r="M612" s="1"/>
      <c r="N612" s="1"/>
      <c r="O612" s="1"/>
      <c r="P612" s="1"/>
      <c r="Q612" s="1"/>
      <c r="R612" s="1"/>
      <c r="S612" s="1"/>
      <c r="T612" s="14"/>
      <c r="U612" s="14"/>
      <c r="V612" s="14"/>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row>
    <row r="613" spans="1:226" ht="14.25" customHeight="1" x14ac:dyDescent="0.25">
      <c r="A613" s="1"/>
      <c r="B613" s="1"/>
      <c r="C613" s="1"/>
      <c r="D613" s="1"/>
      <c r="E613" s="1"/>
      <c r="F613" s="1"/>
      <c r="G613" s="1"/>
      <c r="H613" s="1"/>
      <c r="I613" s="1"/>
      <c r="J613" s="1"/>
      <c r="K613" s="1"/>
      <c r="L613" s="1"/>
      <c r="M613" s="1"/>
      <c r="N613" s="1"/>
      <c r="O613" s="1"/>
      <c r="P613" s="1"/>
      <c r="Q613" s="1"/>
      <c r="R613" s="1"/>
      <c r="S613" s="1"/>
      <c r="T613" s="14"/>
      <c r="U613" s="14"/>
      <c r="V613" s="14"/>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row>
    <row r="614" spans="1:226" ht="14.25" customHeight="1" x14ac:dyDescent="0.25">
      <c r="A614" s="1"/>
      <c r="B614" s="1"/>
      <c r="C614" s="1"/>
      <c r="D614" s="1"/>
      <c r="E614" s="1"/>
      <c r="F614" s="1"/>
      <c r="G614" s="1"/>
      <c r="H614" s="1"/>
      <c r="I614" s="1"/>
      <c r="J614" s="1"/>
      <c r="K614" s="1"/>
      <c r="L614" s="1"/>
      <c r="M614" s="1"/>
      <c r="N614" s="1"/>
      <c r="O614" s="1"/>
      <c r="P614" s="1"/>
      <c r="Q614" s="1"/>
      <c r="R614" s="1"/>
      <c r="S614" s="1"/>
      <c r="T614" s="14"/>
      <c r="U614" s="14"/>
      <c r="V614" s="14"/>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row>
    <row r="615" spans="1:226" ht="14.25" customHeight="1" x14ac:dyDescent="0.25">
      <c r="A615" s="1"/>
      <c r="B615" s="1"/>
      <c r="C615" s="1"/>
      <c r="D615" s="1"/>
      <c r="E615" s="1"/>
      <c r="F615" s="1"/>
      <c r="G615" s="1"/>
      <c r="H615" s="1"/>
      <c r="I615" s="1"/>
      <c r="J615" s="1"/>
      <c r="K615" s="1"/>
      <c r="L615" s="1"/>
      <c r="M615" s="1"/>
      <c r="N615" s="1"/>
      <c r="O615" s="1"/>
      <c r="P615" s="1"/>
      <c r="Q615" s="1"/>
      <c r="R615" s="1"/>
      <c r="S615" s="1"/>
      <c r="T615" s="14"/>
      <c r="U615" s="14"/>
      <c r="V615" s="14"/>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row>
    <row r="616" spans="1:226" ht="14.25" customHeight="1" x14ac:dyDescent="0.25">
      <c r="A616" s="1"/>
      <c r="B616" s="1"/>
      <c r="C616" s="1"/>
      <c r="D616" s="1"/>
      <c r="E616" s="1"/>
      <c r="F616" s="1"/>
      <c r="G616" s="1"/>
      <c r="H616" s="1"/>
      <c r="I616" s="1"/>
      <c r="J616" s="1"/>
      <c r="K616" s="1"/>
      <c r="L616" s="1"/>
      <c r="M616" s="1"/>
      <c r="N616" s="1"/>
      <c r="O616" s="1"/>
      <c r="P616" s="1"/>
      <c r="Q616" s="1"/>
      <c r="R616" s="1"/>
      <c r="S616" s="1"/>
      <c r="T616" s="14"/>
      <c r="U616" s="14"/>
      <c r="V616" s="14"/>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row>
    <row r="617" spans="1:226" ht="14.25" customHeight="1" x14ac:dyDescent="0.25">
      <c r="A617" s="1"/>
      <c r="B617" s="1"/>
      <c r="C617" s="1"/>
      <c r="D617" s="1"/>
      <c r="E617" s="1"/>
      <c r="F617" s="1"/>
      <c r="G617" s="1"/>
      <c r="H617" s="1"/>
      <c r="I617" s="1"/>
      <c r="J617" s="1"/>
      <c r="K617" s="1"/>
      <c r="L617" s="1"/>
      <c r="M617" s="1"/>
      <c r="N617" s="1"/>
      <c r="O617" s="1"/>
      <c r="P617" s="1"/>
      <c r="Q617" s="1"/>
      <c r="R617" s="1"/>
      <c r="S617" s="1"/>
      <c r="T617" s="14"/>
      <c r="U617" s="14"/>
      <c r="V617" s="14"/>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row>
    <row r="618" spans="1:226" ht="14.25" customHeight="1" x14ac:dyDescent="0.25">
      <c r="A618" s="1"/>
      <c r="B618" s="1"/>
      <c r="C618" s="1"/>
      <c r="D618" s="1"/>
      <c r="E618" s="1"/>
      <c r="F618" s="1"/>
      <c r="G618" s="1"/>
      <c r="H618" s="1"/>
      <c r="I618" s="1"/>
      <c r="J618" s="1"/>
      <c r="K618" s="1"/>
      <c r="L618" s="1"/>
      <c r="M618" s="1"/>
      <c r="N618" s="1"/>
      <c r="O618" s="1"/>
      <c r="P618" s="1"/>
      <c r="Q618" s="1"/>
      <c r="R618" s="1"/>
      <c r="S618" s="1"/>
      <c r="T618" s="14"/>
      <c r="U618" s="14"/>
      <c r="V618" s="14"/>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row>
    <row r="619" spans="1:226" ht="14.25" customHeight="1" x14ac:dyDescent="0.25">
      <c r="A619" s="1"/>
      <c r="B619" s="1"/>
      <c r="C619" s="1"/>
      <c r="D619" s="1"/>
      <c r="E619" s="1"/>
      <c r="F619" s="1"/>
      <c r="G619" s="1"/>
      <c r="H619" s="1"/>
      <c r="I619" s="1"/>
      <c r="J619" s="1"/>
      <c r="K619" s="1"/>
      <c r="L619" s="1"/>
      <c r="M619" s="1"/>
      <c r="N619" s="1"/>
      <c r="O619" s="1"/>
      <c r="P619" s="1"/>
      <c r="Q619" s="1"/>
      <c r="R619" s="1"/>
      <c r="S619" s="1"/>
      <c r="T619" s="14"/>
      <c r="U619" s="14"/>
      <c r="V619" s="14"/>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row>
    <row r="620" spans="1:226" ht="14.25" customHeight="1" x14ac:dyDescent="0.25">
      <c r="A620" s="1"/>
      <c r="B620" s="1"/>
      <c r="C620" s="1"/>
      <c r="D620" s="1"/>
      <c r="E620" s="1"/>
      <c r="F620" s="1"/>
      <c r="G620" s="1"/>
      <c r="H620" s="1"/>
      <c r="I620" s="1"/>
      <c r="J620" s="1"/>
      <c r="K620" s="1"/>
      <c r="L620" s="1"/>
      <c r="M620" s="1"/>
      <c r="N620" s="1"/>
      <c r="O620" s="1"/>
      <c r="P620" s="1"/>
      <c r="Q620" s="1"/>
      <c r="R620" s="1"/>
      <c r="S620" s="1"/>
      <c r="T620" s="14"/>
      <c r="U620" s="14"/>
      <c r="V620" s="14"/>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row>
    <row r="621" spans="1:226" ht="14.25" customHeight="1" x14ac:dyDescent="0.25">
      <c r="A621" s="1"/>
      <c r="B621" s="1"/>
      <c r="C621" s="1"/>
      <c r="D621" s="1"/>
      <c r="E621" s="1"/>
      <c r="F621" s="1"/>
      <c r="G621" s="1"/>
      <c r="H621" s="1"/>
      <c r="I621" s="1"/>
      <c r="J621" s="1"/>
      <c r="K621" s="1"/>
      <c r="L621" s="1"/>
      <c r="M621" s="1"/>
      <c r="N621" s="1"/>
      <c r="O621" s="1"/>
      <c r="P621" s="1"/>
      <c r="Q621" s="1"/>
      <c r="R621" s="1"/>
      <c r="S621" s="1"/>
      <c r="T621" s="14"/>
      <c r="U621" s="14"/>
      <c r="V621" s="14"/>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row>
    <row r="622" spans="1:226" ht="14.25" customHeight="1" x14ac:dyDescent="0.25">
      <c r="A622" s="1"/>
      <c r="B622" s="1"/>
      <c r="C622" s="1"/>
      <c r="D622" s="1"/>
      <c r="E622" s="1"/>
      <c r="F622" s="1"/>
      <c r="G622" s="1"/>
      <c r="H622" s="1"/>
      <c r="I622" s="1"/>
      <c r="J622" s="1"/>
      <c r="K622" s="1"/>
      <c r="L622" s="1"/>
      <c r="M622" s="1"/>
      <c r="N622" s="1"/>
      <c r="O622" s="1"/>
      <c r="P622" s="1"/>
      <c r="Q622" s="1"/>
      <c r="R622" s="1"/>
      <c r="S622" s="1"/>
      <c r="T622" s="14"/>
      <c r="U622" s="14"/>
      <c r="V622" s="14"/>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row>
    <row r="623" spans="1:226" ht="14.25" customHeight="1" x14ac:dyDescent="0.25">
      <c r="A623" s="1"/>
      <c r="B623" s="1"/>
      <c r="C623" s="1"/>
      <c r="D623" s="1"/>
      <c r="E623" s="1"/>
      <c r="F623" s="1"/>
      <c r="G623" s="1"/>
      <c r="H623" s="1"/>
      <c r="I623" s="1"/>
      <c r="J623" s="1"/>
      <c r="K623" s="1"/>
      <c r="L623" s="1"/>
      <c r="M623" s="1"/>
      <c r="N623" s="1"/>
      <c r="O623" s="1"/>
      <c r="P623" s="1"/>
      <c r="Q623" s="1"/>
      <c r="R623" s="1"/>
      <c r="S623" s="1"/>
      <c r="T623" s="14"/>
      <c r="U623" s="14"/>
      <c r="V623" s="14"/>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row>
    <row r="624" spans="1:226" ht="14.25" customHeight="1" x14ac:dyDescent="0.25">
      <c r="A624" s="1"/>
      <c r="B624" s="1"/>
      <c r="C624" s="1"/>
      <c r="D624" s="1"/>
      <c r="E624" s="1"/>
      <c r="F624" s="1"/>
      <c r="G624" s="1"/>
      <c r="H624" s="1"/>
      <c r="I624" s="1"/>
      <c r="J624" s="1"/>
      <c r="K624" s="1"/>
      <c r="L624" s="1"/>
      <c r="M624" s="1"/>
      <c r="N624" s="1"/>
      <c r="O624" s="1"/>
      <c r="P624" s="1"/>
      <c r="Q624" s="1"/>
      <c r="R624" s="1"/>
      <c r="S624" s="1"/>
      <c r="T624" s="14"/>
      <c r="U624" s="14"/>
      <c r="V624" s="14"/>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row>
    <row r="625" spans="1:226" ht="14.25" customHeight="1" x14ac:dyDescent="0.25">
      <c r="A625" s="1"/>
      <c r="B625" s="1"/>
      <c r="C625" s="1"/>
      <c r="D625" s="1"/>
      <c r="E625" s="1"/>
      <c r="F625" s="1"/>
      <c r="G625" s="1"/>
      <c r="H625" s="1"/>
      <c r="I625" s="1"/>
      <c r="J625" s="1"/>
      <c r="K625" s="1"/>
      <c r="L625" s="1"/>
      <c r="M625" s="1"/>
      <c r="N625" s="1"/>
      <c r="O625" s="1"/>
      <c r="P625" s="1"/>
      <c r="Q625" s="1"/>
      <c r="R625" s="1"/>
      <c r="S625" s="1"/>
      <c r="T625" s="14"/>
      <c r="U625" s="14"/>
      <c r="V625" s="14"/>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row>
    <row r="626" spans="1:226" ht="14.25" customHeight="1" x14ac:dyDescent="0.25">
      <c r="A626" s="1"/>
      <c r="B626" s="1"/>
      <c r="C626" s="1"/>
      <c r="D626" s="1"/>
      <c r="E626" s="1"/>
      <c r="F626" s="1"/>
      <c r="G626" s="1"/>
      <c r="H626" s="1"/>
      <c r="I626" s="1"/>
      <c r="J626" s="1"/>
      <c r="K626" s="1"/>
      <c r="L626" s="1"/>
      <c r="M626" s="1"/>
      <c r="N626" s="1"/>
      <c r="O626" s="1"/>
      <c r="P626" s="1"/>
      <c r="Q626" s="1"/>
      <c r="R626" s="1"/>
      <c r="S626" s="1"/>
      <c r="T626" s="14"/>
      <c r="U626" s="14"/>
      <c r="V626" s="14"/>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row>
    <row r="627" spans="1:226" ht="14.25" customHeight="1" x14ac:dyDescent="0.25">
      <c r="A627" s="1"/>
      <c r="B627" s="1"/>
      <c r="C627" s="1"/>
      <c r="D627" s="1"/>
      <c r="E627" s="1"/>
      <c r="F627" s="1"/>
      <c r="G627" s="1"/>
      <c r="H627" s="1"/>
      <c r="I627" s="1"/>
      <c r="J627" s="1"/>
      <c r="K627" s="1"/>
      <c r="L627" s="1"/>
      <c r="M627" s="1"/>
      <c r="N627" s="1"/>
      <c r="O627" s="1"/>
      <c r="P627" s="1"/>
      <c r="Q627" s="1"/>
      <c r="R627" s="1"/>
      <c r="S627" s="1"/>
      <c r="T627" s="14"/>
      <c r="U627" s="14"/>
      <c r="V627" s="14"/>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row>
    <row r="628" spans="1:226" ht="14.25" customHeight="1" x14ac:dyDescent="0.25">
      <c r="A628" s="1"/>
      <c r="B628" s="1"/>
      <c r="C628" s="1"/>
      <c r="D628" s="1"/>
      <c r="E628" s="1"/>
      <c r="F628" s="1"/>
      <c r="G628" s="1"/>
      <c r="H628" s="1"/>
      <c r="I628" s="1"/>
      <c r="J628" s="1"/>
      <c r="K628" s="1"/>
      <c r="L628" s="1"/>
      <c r="M628" s="1"/>
      <c r="N628" s="1"/>
      <c r="O628" s="1"/>
      <c r="P628" s="1"/>
      <c r="Q628" s="1"/>
      <c r="R628" s="1"/>
      <c r="S628" s="1"/>
      <c r="T628" s="14"/>
      <c r="U628" s="14"/>
      <c r="V628" s="14"/>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row>
    <row r="629" spans="1:226" ht="14.25" customHeight="1" x14ac:dyDescent="0.25">
      <c r="A629" s="1"/>
      <c r="B629" s="1"/>
      <c r="C629" s="1"/>
      <c r="D629" s="1"/>
      <c r="E629" s="1"/>
      <c r="F629" s="1"/>
      <c r="G629" s="1"/>
      <c r="H629" s="1"/>
      <c r="I629" s="1"/>
      <c r="J629" s="1"/>
      <c r="K629" s="1"/>
      <c r="L629" s="1"/>
      <c r="M629" s="1"/>
      <c r="N629" s="1"/>
      <c r="O629" s="1"/>
      <c r="P629" s="1"/>
      <c r="Q629" s="1"/>
      <c r="R629" s="1"/>
      <c r="S629" s="1"/>
      <c r="T629" s="14"/>
      <c r="U629" s="14"/>
      <c r="V629" s="14"/>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row>
    <row r="630" spans="1:226" ht="14.25" customHeight="1" x14ac:dyDescent="0.25">
      <c r="A630" s="1"/>
      <c r="B630" s="1"/>
      <c r="C630" s="1"/>
      <c r="D630" s="1"/>
      <c r="E630" s="1"/>
      <c r="F630" s="1"/>
      <c r="G630" s="1"/>
      <c r="H630" s="1"/>
      <c r="I630" s="1"/>
      <c r="J630" s="1"/>
      <c r="K630" s="1"/>
      <c r="L630" s="1"/>
      <c r="M630" s="1"/>
      <c r="N630" s="1"/>
      <c r="O630" s="1"/>
      <c r="P630" s="1"/>
      <c r="Q630" s="1"/>
      <c r="R630" s="1"/>
      <c r="S630" s="1"/>
      <c r="T630" s="14"/>
      <c r="U630" s="14"/>
      <c r="V630" s="14"/>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row>
    <row r="631" spans="1:226" ht="14.25" customHeight="1" x14ac:dyDescent="0.25">
      <c r="A631" s="1"/>
      <c r="B631" s="1"/>
      <c r="C631" s="1"/>
      <c r="D631" s="1"/>
      <c r="E631" s="1"/>
      <c r="F631" s="1"/>
      <c r="G631" s="1"/>
      <c r="H631" s="1"/>
      <c r="I631" s="1"/>
      <c r="J631" s="1"/>
      <c r="K631" s="1"/>
      <c r="L631" s="1"/>
      <c r="M631" s="1"/>
      <c r="N631" s="1"/>
      <c r="O631" s="1"/>
      <c r="P631" s="1"/>
      <c r="Q631" s="1"/>
      <c r="R631" s="1"/>
      <c r="S631" s="1"/>
      <c r="T631" s="14"/>
      <c r="U631" s="14"/>
      <c r="V631" s="14"/>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row>
    <row r="632" spans="1:226" ht="14.25" customHeight="1" x14ac:dyDescent="0.25">
      <c r="A632" s="1"/>
      <c r="B632" s="1"/>
      <c r="C632" s="1"/>
      <c r="D632" s="1"/>
      <c r="E632" s="1"/>
      <c r="F632" s="1"/>
      <c r="G632" s="1"/>
      <c r="H632" s="1"/>
      <c r="I632" s="1"/>
      <c r="J632" s="1"/>
      <c r="K632" s="1"/>
      <c r="L632" s="1"/>
      <c r="M632" s="1"/>
      <c r="N632" s="1"/>
      <c r="O632" s="1"/>
      <c r="P632" s="1"/>
      <c r="Q632" s="1"/>
      <c r="R632" s="1"/>
      <c r="S632" s="1"/>
      <c r="T632" s="14"/>
      <c r="U632" s="14"/>
      <c r="V632" s="14"/>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row>
    <row r="633" spans="1:226" ht="14.25" customHeight="1" x14ac:dyDescent="0.25">
      <c r="A633" s="1"/>
      <c r="B633" s="1"/>
      <c r="C633" s="1"/>
      <c r="D633" s="1"/>
      <c r="E633" s="1"/>
      <c r="F633" s="1"/>
      <c r="G633" s="1"/>
      <c r="H633" s="1"/>
      <c r="I633" s="1"/>
      <c r="J633" s="1"/>
      <c r="K633" s="1"/>
      <c r="L633" s="1"/>
      <c r="M633" s="1"/>
      <c r="N633" s="1"/>
      <c r="O633" s="1"/>
      <c r="P633" s="1"/>
      <c r="Q633" s="1"/>
      <c r="R633" s="1"/>
      <c r="S633" s="1"/>
      <c r="T633" s="14"/>
      <c r="U633" s="14"/>
      <c r="V633" s="14"/>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row>
    <row r="634" spans="1:226" ht="14.25" customHeight="1" x14ac:dyDescent="0.25">
      <c r="A634" s="1"/>
      <c r="B634" s="1"/>
      <c r="C634" s="1"/>
      <c r="D634" s="1"/>
      <c r="E634" s="1"/>
      <c r="F634" s="1"/>
      <c r="G634" s="1"/>
      <c r="H634" s="1"/>
      <c r="I634" s="1"/>
      <c r="J634" s="1"/>
      <c r="K634" s="1"/>
      <c r="L634" s="1"/>
      <c r="M634" s="1"/>
      <c r="N634" s="1"/>
      <c r="O634" s="1"/>
      <c r="P634" s="1"/>
      <c r="Q634" s="1"/>
      <c r="R634" s="1"/>
      <c r="S634" s="1"/>
      <c r="T634" s="14"/>
      <c r="U634" s="14"/>
      <c r="V634" s="14"/>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row>
    <row r="635" spans="1:226" ht="14.25" customHeight="1" x14ac:dyDescent="0.25">
      <c r="A635" s="1"/>
      <c r="B635" s="1"/>
      <c r="C635" s="1"/>
      <c r="D635" s="1"/>
      <c r="E635" s="1"/>
      <c r="F635" s="1"/>
      <c r="G635" s="1"/>
      <c r="H635" s="1"/>
      <c r="I635" s="1"/>
      <c r="J635" s="1"/>
      <c r="K635" s="1"/>
      <c r="L635" s="1"/>
      <c r="M635" s="1"/>
      <c r="N635" s="1"/>
      <c r="O635" s="1"/>
      <c r="P635" s="1"/>
      <c r="Q635" s="1"/>
      <c r="R635" s="1"/>
      <c r="S635" s="1"/>
      <c r="T635" s="14"/>
      <c r="U635" s="14"/>
      <c r="V635" s="14"/>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row>
    <row r="636" spans="1:226" ht="14.25" customHeight="1" x14ac:dyDescent="0.25">
      <c r="A636" s="1"/>
      <c r="B636" s="1"/>
      <c r="C636" s="1"/>
      <c r="D636" s="1"/>
      <c r="E636" s="1"/>
      <c r="F636" s="1"/>
      <c r="G636" s="1"/>
      <c r="H636" s="1"/>
      <c r="I636" s="1"/>
      <c r="J636" s="1"/>
      <c r="K636" s="1"/>
      <c r="L636" s="1"/>
      <c r="M636" s="1"/>
      <c r="N636" s="1"/>
      <c r="O636" s="1"/>
      <c r="P636" s="1"/>
      <c r="Q636" s="1"/>
      <c r="R636" s="1"/>
      <c r="S636" s="1"/>
      <c r="T636" s="14"/>
      <c r="U636" s="14"/>
      <c r="V636" s="14"/>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row>
    <row r="637" spans="1:226" ht="14.25" customHeight="1" x14ac:dyDescent="0.25">
      <c r="A637" s="1"/>
      <c r="B637" s="1"/>
      <c r="C637" s="1"/>
      <c r="D637" s="1"/>
      <c r="E637" s="1"/>
      <c r="F637" s="1"/>
      <c r="G637" s="1"/>
      <c r="H637" s="1"/>
      <c r="I637" s="1"/>
      <c r="J637" s="1"/>
      <c r="K637" s="1"/>
      <c r="L637" s="1"/>
      <c r="M637" s="1"/>
      <c r="N637" s="1"/>
      <c r="O637" s="1"/>
      <c r="P637" s="1"/>
      <c r="Q637" s="1"/>
      <c r="R637" s="1"/>
      <c r="S637" s="1"/>
      <c r="T637" s="14"/>
      <c r="U637" s="14"/>
      <c r="V637" s="14"/>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row>
    <row r="638" spans="1:226" ht="14.25" customHeight="1" x14ac:dyDescent="0.25">
      <c r="A638" s="1"/>
      <c r="B638" s="1"/>
      <c r="C638" s="1"/>
      <c r="D638" s="1"/>
      <c r="E638" s="1"/>
      <c r="F638" s="1"/>
      <c r="G638" s="1"/>
      <c r="H638" s="1"/>
      <c r="I638" s="1"/>
      <c r="J638" s="1"/>
      <c r="K638" s="1"/>
      <c r="L638" s="1"/>
      <c r="M638" s="1"/>
      <c r="N638" s="1"/>
      <c r="O638" s="1"/>
      <c r="P638" s="1"/>
      <c r="Q638" s="1"/>
      <c r="R638" s="1"/>
      <c r="S638" s="1"/>
      <c r="T638" s="14"/>
      <c r="U638" s="14"/>
      <c r="V638" s="14"/>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row>
    <row r="639" spans="1:226" ht="14.25" customHeight="1" x14ac:dyDescent="0.25">
      <c r="A639" s="1"/>
      <c r="B639" s="1"/>
      <c r="C639" s="1"/>
      <c r="D639" s="1"/>
      <c r="E639" s="1"/>
      <c r="F639" s="1"/>
      <c r="G639" s="1"/>
      <c r="H639" s="1"/>
      <c r="I639" s="1"/>
      <c r="J639" s="1"/>
      <c r="K639" s="1"/>
      <c r="L639" s="1"/>
      <c r="M639" s="1"/>
      <c r="N639" s="1"/>
      <c r="O639" s="1"/>
      <c r="P639" s="1"/>
      <c r="Q639" s="1"/>
      <c r="R639" s="1"/>
      <c r="S639" s="1"/>
      <c r="T639" s="14"/>
      <c r="U639" s="14"/>
      <c r="V639" s="14"/>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row>
    <row r="640" spans="1:226" ht="14.25" customHeight="1" x14ac:dyDescent="0.25">
      <c r="A640" s="1"/>
      <c r="B640" s="1"/>
      <c r="C640" s="1"/>
      <c r="D640" s="1"/>
      <c r="E640" s="1"/>
      <c r="F640" s="1"/>
      <c r="G640" s="1"/>
      <c r="H640" s="1"/>
      <c r="I640" s="1"/>
      <c r="J640" s="1"/>
      <c r="K640" s="1"/>
      <c r="L640" s="1"/>
      <c r="M640" s="1"/>
      <c r="N640" s="1"/>
      <c r="O640" s="1"/>
      <c r="P640" s="1"/>
      <c r="Q640" s="1"/>
      <c r="R640" s="1"/>
      <c r="S640" s="1"/>
      <c r="T640" s="14"/>
      <c r="U640" s="14"/>
      <c r="V640" s="14"/>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row>
    <row r="641" spans="1:226" ht="14.25" customHeight="1" x14ac:dyDescent="0.25">
      <c r="A641" s="1"/>
      <c r="B641" s="1"/>
      <c r="C641" s="1"/>
      <c r="D641" s="1"/>
      <c r="E641" s="1"/>
      <c r="F641" s="1"/>
      <c r="G641" s="1"/>
      <c r="H641" s="1"/>
      <c r="I641" s="1"/>
      <c r="J641" s="1"/>
      <c r="K641" s="1"/>
      <c r="L641" s="1"/>
      <c r="M641" s="1"/>
      <c r="N641" s="1"/>
      <c r="O641" s="1"/>
      <c r="P641" s="1"/>
      <c r="Q641" s="1"/>
      <c r="R641" s="1"/>
      <c r="S641" s="1"/>
      <c r="T641" s="14"/>
      <c r="U641" s="14"/>
      <c r="V641" s="14"/>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row>
    <row r="642" spans="1:226" ht="14.25" customHeight="1" x14ac:dyDescent="0.25">
      <c r="A642" s="1"/>
      <c r="B642" s="1"/>
      <c r="C642" s="1"/>
      <c r="D642" s="1"/>
      <c r="E642" s="1"/>
      <c r="F642" s="1"/>
      <c r="G642" s="1"/>
      <c r="H642" s="1"/>
      <c r="I642" s="1"/>
      <c r="J642" s="1"/>
      <c r="K642" s="1"/>
      <c r="L642" s="1"/>
      <c r="M642" s="1"/>
      <c r="N642" s="1"/>
      <c r="O642" s="1"/>
      <c r="P642" s="1"/>
      <c r="Q642" s="1"/>
      <c r="R642" s="1"/>
      <c r="S642" s="1"/>
      <c r="T642" s="14"/>
      <c r="U642" s="14"/>
      <c r="V642" s="14"/>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row>
    <row r="643" spans="1:226" ht="14.25" customHeight="1" x14ac:dyDescent="0.25">
      <c r="A643" s="1"/>
      <c r="B643" s="1"/>
      <c r="C643" s="1"/>
      <c r="D643" s="1"/>
      <c r="E643" s="1"/>
      <c r="F643" s="1"/>
      <c r="G643" s="1"/>
      <c r="H643" s="1"/>
      <c r="I643" s="1"/>
      <c r="J643" s="1"/>
      <c r="K643" s="1"/>
      <c r="L643" s="1"/>
      <c r="M643" s="1"/>
      <c r="N643" s="1"/>
      <c r="O643" s="1"/>
      <c r="P643" s="1"/>
      <c r="Q643" s="1"/>
      <c r="R643" s="1"/>
      <c r="S643" s="1"/>
      <c r="T643" s="14"/>
      <c r="U643" s="14"/>
      <c r="V643" s="14"/>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row>
    <row r="644" spans="1:226" ht="14.25" customHeight="1" x14ac:dyDescent="0.25">
      <c r="A644" s="1"/>
      <c r="B644" s="1"/>
      <c r="C644" s="1"/>
      <c r="D644" s="1"/>
      <c r="E644" s="1"/>
      <c r="F644" s="1"/>
      <c r="G644" s="1"/>
      <c r="H644" s="1"/>
      <c r="I644" s="1"/>
      <c r="J644" s="1"/>
      <c r="K644" s="1"/>
      <c r="L644" s="1"/>
      <c r="M644" s="1"/>
      <c r="N644" s="1"/>
      <c r="O644" s="1"/>
      <c r="P644" s="1"/>
      <c r="Q644" s="1"/>
      <c r="R644" s="1"/>
      <c r="S644" s="1"/>
      <c r="T644" s="14"/>
      <c r="U644" s="14"/>
      <c r="V644" s="14"/>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row>
    <row r="645" spans="1:226" ht="14.25" customHeight="1" x14ac:dyDescent="0.25">
      <c r="A645" s="1"/>
      <c r="B645" s="1"/>
      <c r="C645" s="1"/>
      <c r="D645" s="1"/>
      <c r="E645" s="1"/>
      <c r="F645" s="1"/>
      <c r="G645" s="1"/>
      <c r="H645" s="1"/>
      <c r="I645" s="1"/>
      <c r="J645" s="1"/>
      <c r="K645" s="1"/>
      <c r="L645" s="1"/>
      <c r="M645" s="1"/>
      <c r="N645" s="1"/>
      <c r="O645" s="1"/>
      <c r="P645" s="1"/>
      <c r="Q645" s="1"/>
      <c r="R645" s="1"/>
      <c r="S645" s="1"/>
      <c r="T645" s="14"/>
      <c r="U645" s="14"/>
      <c r="V645" s="14"/>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row>
    <row r="646" spans="1:226" ht="14.25" customHeight="1" x14ac:dyDescent="0.25">
      <c r="A646" s="1"/>
      <c r="B646" s="1"/>
      <c r="C646" s="1"/>
      <c r="D646" s="1"/>
      <c r="E646" s="1"/>
      <c r="F646" s="1"/>
      <c r="G646" s="1"/>
      <c r="H646" s="1"/>
      <c r="I646" s="1"/>
      <c r="J646" s="1"/>
      <c r="K646" s="1"/>
      <c r="L646" s="1"/>
      <c r="M646" s="1"/>
      <c r="N646" s="1"/>
      <c r="O646" s="1"/>
      <c r="P646" s="1"/>
      <c r="Q646" s="1"/>
      <c r="R646" s="1"/>
      <c r="S646" s="1"/>
      <c r="T646" s="14"/>
      <c r="U646" s="14"/>
      <c r="V646" s="14"/>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row>
    <row r="647" spans="1:226" ht="14.25" customHeight="1" x14ac:dyDescent="0.25">
      <c r="A647" s="1"/>
      <c r="B647" s="1"/>
      <c r="C647" s="1"/>
      <c r="D647" s="1"/>
      <c r="E647" s="1"/>
      <c r="F647" s="1"/>
      <c r="G647" s="1"/>
      <c r="H647" s="1"/>
      <c r="I647" s="1"/>
      <c r="J647" s="1"/>
      <c r="K647" s="1"/>
      <c r="L647" s="1"/>
      <c r="M647" s="1"/>
      <c r="N647" s="1"/>
      <c r="O647" s="1"/>
      <c r="P647" s="1"/>
      <c r="Q647" s="1"/>
      <c r="R647" s="1"/>
      <c r="S647" s="1"/>
      <c r="T647" s="14"/>
      <c r="U647" s="14"/>
      <c r="V647" s="14"/>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row>
    <row r="648" spans="1:226" ht="14.25" customHeight="1" x14ac:dyDescent="0.25">
      <c r="A648" s="1"/>
      <c r="B648" s="1"/>
      <c r="C648" s="1"/>
      <c r="D648" s="1"/>
      <c r="E648" s="1"/>
      <c r="F648" s="1"/>
      <c r="G648" s="1"/>
      <c r="H648" s="1"/>
      <c r="I648" s="1"/>
      <c r="J648" s="1"/>
      <c r="K648" s="1"/>
      <c r="L648" s="1"/>
      <c r="M648" s="1"/>
      <c r="N648" s="1"/>
      <c r="O648" s="1"/>
      <c r="P648" s="1"/>
      <c r="Q648" s="1"/>
      <c r="R648" s="1"/>
      <c r="S648" s="1"/>
      <c r="T648" s="14"/>
      <c r="U648" s="14"/>
      <c r="V648" s="14"/>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row>
    <row r="649" spans="1:226" ht="14.25" customHeight="1" x14ac:dyDescent="0.25">
      <c r="A649" s="1"/>
      <c r="B649" s="1"/>
      <c r="C649" s="1"/>
      <c r="D649" s="1"/>
      <c r="E649" s="1"/>
      <c r="F649" s="1"/>
      <c r="G649" s="1"/>
      <c r="H649" s="1"/>
      <c r="I649" s="1"/>
      <c r="J649" s="1"/>
      <c r="K649" s="1"/>
      <c r="L649" s="1"/>
      <c r="M649" s="1"/>
      <c r="N649" s="1"/>
      <c r="O649" s="1"/>
      <c r="P649" s="1"/>
      <c r="Q649" s="1"/>
      <c r="R649" s="1"/>
      <c r="S649" s="1"/>
      <c r="T649" s="14"/>
      <c r="U649" s="14"/>
      <c r="V649" s="14"/>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row>
    <row r="650" spans="1:226" ht="14.25" customHeight="1" x14ac:dyDescent="0.25">
      <c r="A650" s="1"/>
      <c r="B650" s="1"/>
      <c r="C650" s="1"/>
      <c r="D650" s="1"/>
      <c r="E650" s="1"/>
      <c r="F650" s="1"/>
      <c r="G650" s="1"/>
      <c r="H650" s="1"/>
      <c r="I650" s="1"/>
      <c r="J650" s="1"/>
      <c r="K650" s="1"/>
      <c r="L650" s="1"/>
      <c r="M650" s="1"/>
      <c r="N650" s="1"/>
      <c r="O650" s="1"/>
      <c r="P650" s="1"/>
      <c r="Q650" s="1"/>
      <c r="R650" s="1"/>
      <c r="S650" s="1"/>
      <c r="T650" s="14"/>
      <c r="U650" s="14"/>
      <c r="V650" s="14"/>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row>
    <row r="651" spans="1:226" ht="14.25" customHeight="1" x14ac:dyDescent="0.25">
      <c r="A651" s="1"/>
      <c r="B651" s="1"/>
      <c r="C651" s="1"/>
      <c r="D651" s="1"/>
      <c r="E651" s="1"/>
      <c r="F651" s="1"/>
      <c r="G651" s="1"/>
      <c r="H651" s="1"/>
      <c r="I651" s="1"/>
      <c r="J651" s="1"/>
      <c r="K651" s="1"/>
      <c r="L651" s="1"/>
      <c r="M651" s="1"/>
      <c r="N651" s="1"/>
      <c r="O651" s="1"/>
      <c r="P651" s="1"/>
      <c r="Q651" s="1"/>
      <c r="R651" s="1"/>
      <c r="S651" s="1"/>
      <c r="T651" s="14"/>
      <c r="U651" s="14"/>
      <c r="V651" s="14"/>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row>
    <row r="652" spans="1:226" ht="14.25" customHeight="1" x14ac:dyDescent="0.25">
      <c r="A652" s="1"/>
      <c r="B652" s="1"/>
      <c r="C652" s="1"/>
      <c r="D652" s="1"/>
      <c r="E652" s="1"/>
      <c r="F652" s="1"/>
      <c r="G652" s="1"/>
      <c r="H652" s="1"/>
      <c r="I652" s="1"/>
      <c r="J652" s="1"/>
      <c r="K652" s="1"/>
      <c r="L652" s="1"/>
      <c r="M652" s="1"/>
      <c r="N652" s="1"/>
      <c r="O652" s="1"/>
      <c r="P652" s="1"/>
      <c r="Q652" s="1"/>
      <c r="R652" s="1"/>
      <c r="S652" s="1"/>
      <c r="T652" s="14"/>
      <c r="U652" s="14"/>
      <c r="V652" s="14"/>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row>
    <row r="653" spans="1:226" ht="14.25" customHeight="1" x14ac:dyDescent="0.25">
      <c r="A653" s="1"/>
      <c r="B653" s="1"/>
      <c r="C653" s="1"/>
      <c r="D653" s="1"/>
      <c r="E653" s="1"/>
      <c r="F653" s="1"/>
      <c r="G653" s="1"/>
      <c r="H653" s="1"/>
      <c r="I653" s="1"/>
      <c r="J653" s="1"/>
      <c r="K653" s="1"/>
      <c r="L653" s="1"/>
      <c r="M653" s="1"/>
      <c r="N653" s="1"/>
      <c r="O653" s="1"/>
      <c r="P653" s="1"/>
      <c r="Q653" s="1"/>
      <c r="R653" s="1"/>
      <c r="S653" s="1"/>
      <c r="T653" s="14"/>
      <c r="U653" s="14"/>
      <c r="V653" s="14"/>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row>
    <row r="654" spans="1:226" ht="14.25" customHeight="1" x14ac:dyDescent="0.25">
      <c r="A654" s="1"/>
      <c r="B654" s="1"/>
      <c r="C654" s="1"/>
      <c r="D654" s="1"/>
      <c r="E654" s="1"/>
      <c r="F654" s="1"/>
      <c r="G654" s="1"/>
      <c r="H654" s="1"/>
      <c r="I654" s="1"/>
      <c r="J654" s="1"/>
      <c r="K654" s="1"/>
      <c r="L654" s="1"/>
      <c r="M654" s="1"/>
      <c r="N654" s="1"/>
      <c r="O654" s="1"/>
      <c r="P654" s="1"/>
      <c r="Q654" s="1"/>
      <c r="R654" s="1"/>
      <c r="S654" s="1"/>
      <c r="T654" s="14"/>
      <c r="U654" s="14"/>
      <c r="V654" s="14"/>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row>
    <row r="655" spans="1:226" ht="14.25" customHeight="1" x14ac:dyDescent="0.25">
      <c r="A655" s="1"/>
      <c r="B655" s="1"/>
      <c r="C655" s="1"/>
      <c r="D655" s="1"/>
      <c r="E655" s="1"/>
      <c r="F655" s="1"/>
      <c r="G655" s="1"/>
      <c r="H655" s="1"/>
      <c r="I655" s="1"/>
      <c r="J655" s="1"/>
      <c r="K655" s="1"/>
      <c r="L655" s="1"/>
      <c r="M655" s="1"/>
      <c r="N655" s="1"/>
      <c r="O655" s="1"/>
      <c r="P655" s="1"/>
      <c r="Q655" s="1"/>
      <c r="R655" s="1"/>
      <c r="S655" s="1"/>
      <c r="T655" s="14"/>
      <c r="U655" s="14"/>
      <c r="V655" s="14"/>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row>
    <row r="656" spans="1:226" ht="14.25" customHeight="1" x14ac:dyDescent="0.25">
      <c r="A656" s="1"/>
      <c r="B656" s="1"/>
      <c r="C656" s="1"/>
      <c r="D656" s="1"/>
      <c r="E656" s="1"/>
      <c r="F656" s="1"/>
      <c r="G656" s="1"/>
      <c r="H656" s="1"/>
      <c r="I656" s="1"/>
      <c r="J656" s="1"/>
      <c r="K656" s="1"/>
      <c r="L656" s="1"/>
      <c r="M656" s="1"/>
      <c r="N656" s="1"/>
      <c r="O656" s="1"/>
      <c r="P656" s="1"/>
      <c r="Q656" s="1"/>
      <c r="R656" s="1"/>
      <c r="S656" s="1"/>
      <c r="T656" s="14"/>
      <c r="U656" s="14"/>
      <c r="V656" s="14"/>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row>
    <row r="657" spans="1:226" ht="14.25" customHeight="1" x14ac:dyDescent="0.25">
      <c r="A657" s="1"/>
      <c r="B657" s="1"/>
      <c r="C657" s="1"/>
      <c r="D657" s="1"/>
      <c r="E657" s="1"/>
      <c r="F657" s="1"/>
      <c r="G657" s="1"/>
      <c r="H657" s="1"/>
      <c r="I657" s="1"/>
      <c r="J657" s="1"/>
      <c r="K657" s="1"/>
      <c r="L657" s="1"/>
      <c r="M657" s="1"/>
      <c r="N657" s="1"/>
      <c r="O657" s="1"/>
      <c r="P657" s="1"/>
      <c r="Q657" s="1"/>
      <c r="R657" s="1"/>
      <c r="S657" s="1"/>
      <c r="T657" s="14"/>
      <c r="U657" s="14"/>
      <c r="V657" s="14"/>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row>
    <row r="658" spans="1:226" ht="14.25" customHeight="1" x14ac:dyDescent="0.25">
      <c r="A658" s="1"/>
      <c r="B658" s="1"/>
      <c r="C658" s="1"/>
      <c r="D658" s="1"/>
      <c r="E658" s="1"/>
      <c r="F658" s="1"/>
      <c r="G658" s="1"/>
      <c r="H658" s="1"/>
      <c r="I658" s="1"/>
      <c r="J658" s="1"/>
      <c r="K658" s="1"/>
      <c r="L658" s="1"/>
      <c r="M658" s="1"/>
      <c r="N658" s="1"/>
      <c r="O658" s="1"/>
      <c r="P658" s="1"/>
      <c r="Q658" s="1"/>
      <c r="R658" s="1"/>
      <c r="S658" s="1"/>
      <c r="T658" s="14"/>
      <c r="U658" s="14"/>
      <c r="V658" s="14"/>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row>
    <row r="659" spans="1:226" ht="14.25" customHeight="1" x14ac:dyDescent="0.25">
      <c r="A659" s="1"/>
      <c r="B659" s="1"/>
      <c r="C659" s="1"/>
      <c r="D659" s="1"/>
      <c r="E659" s="1"/>
      <c r="F659" s="1"/>
      <c r="G659" s="1"/>
      <c r="H659" s="1"/>
      <c r="I659" s="1"/>
      <c r="J659" s="1"/>
      <c r="K659" s="1"/>
      <c r="L659" s="1"/>
      <c r="M659" s="1"/>
      <c r="N659" s="1"/>
      <c r="O659" s="1"/>
      <c r="P659" s="1"/>
      <c r="Q659" s="1"/>
      <c r="R659" s="1"/>
      <c r="S659" s="1"/>
      <c r="T659" s="14"/>
      <c r="U659" s="14"/>
      <c r="V659" s="14"/>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row>
    <row r="660" spans="1:226" ht="14.25" customHeight="1" x14ac:dyDescent="0.25">
      <c r="A660" s="1"/>
      <c r="B660" s="1"/>
      <c r="C660" s="1"/>
      <c r="D660" s="1"/>
      <c r="E660" s="1"/>
      <c r="F660" s="1"/>
      <c r="G660" s="1"/>
      <c r="H660" s="1"/>
      <c r="I660" s="1"/>
      <c r="J660" s="1"/>
      <c r="K660" s="1"/>
      <c r="L660" s="1"/>
      <c r="M660" s="1"/>
      <c r="N660" s="1"/>
      <c r="O660" s="1"/>
      <c r="P660" s="1"/>
      <c r="Q660" s="1"/>
      <c r="R660" s="1"/>
      <c r="S660" s="1"/>
      <c r="T660" s="14"/>
      <c r="U660" s="14"/>
      <c r="V660" s="14"/>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row>
    <row r="661" spans="1:226" ht="14.25" customHeight="1" x14ac:dyDescent="0.25">
      <c r="A661" s="1"/>
      <c r="B661" s="1"/>
      <c r="C661" s="1"/>
      <c r="D661" s="1"/>
      <c r="E661" s="1"/>
      <c r="F661" s="1"/>
      <c r="G661" s="1"/>
      <c r="H661" s="1"/>
      <c r="I661" s="1"/>
      <c r="J661" s="1"/>
      <c r="K661" s="1"/>
      <c r="L661" s="1"/>
      <c r="M661" s="1"/>
      <c r="N661" s="1"/>
      <c r="O661" s="1"/>
      <c r="P661" s="1"/>
      <c r="Q661" s="1"/>
      <c r="R661" s="1"/>
      <c r="S661" s="1"/>
      <c r="T661" s="14"/>
      <c r="U661" s="14"/>
      <c r="V661" s="14"/>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row>
    <row r="662" spans="1:226" ht="14.25" customHeight="1" x14ac:dyDescent="0.25">
      <c r="A662" s="1"/>
      <c r="B662" s="1"/>
      <c r="C662" s="1"/>
      <c r="D662" s="1"/>
      <c r="E662" s="1"/>
      <c r="F662" s="1"/>
      <c r="G662" s="1"/>
      <c r="H662" s="1"/>
      <c r="I662" s="1"/>
      <c r="J662" s="1"/>
      <c r="K662" s="1"/>
      <c r="L662" s="1"/>
      <c r="M662" s="1"/>
      <c r="N662" s="1"/>
      <c r="O662" s="1"/>
      <c r="P662" s="1"/>
      <c r="Q662" s="1"/>
      <c r="R662" s="1"/>
      <c r="S662" s="1"/>
      <c r="T662" s="14"/>
      <c r="U662" s="14"/>
      <c r="V662" s="14"/>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row>
    <row r="663" spans="1:226" ht="14.25" customHeight="1" x14ac:dyDescent="0.25">
      <c r="A663" s="1"/>
      <c r="B663" s="1"/>
      <c r="C663" s="1"/>
      <c r="D663" s="1"/>
      <c r="E663" s="1"/>
      <c r="F663" s="1"/>
      <c r="G663" s="1"/>
      <c r="H663" s="1"/>
      <c r="I663" s="1"/>
      <c r="J663" s="1"/>
      <c r="K663" s="1"/>
      <c r="L663" s="1"/>
      <c r="M663" s="1"/>
      <c r="N663" s="1"/>
      <c r="O663" s="1"/>
      <c r="P663" s="1"/>
      <c r="Q663" s="1"/>
      <c r="R663" s="1"/>
      <c r="S663" s="1"/>
      <c r="T663" s="14"/>
      <c r="U663" s="14"/>
      <c r="V663" s="14"/>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row>
    <row r="664" spans="1:226" ht="14.25" customHeight="1" x14ac:dyDescent="0.25">
      <c r="A664" s="1"/>
      <c r="B664" s="1"/>
      <c r="C664" s="1"/>
      <c r="D664" s="1"/>
      <c r="E664" s="1"/>
      <c r="F664" s="1"/>
      <c r="G664" s="1"/>
      <c r="H664" s="1"/>
      <c r="I664" s="1"/>
      <c r="J664" s="1"/>
      <c r="K664" s="1"/>
      <c r="L664" s="1"/>
      <c r="M664" s="1"/>
      <c r="N664" s="1"/>
      <c r="O664" s="1"/>
      <c r="P664" s="1"/>
      <c r="Q664" s="1"/>
      <c r="R664" s="1"/>
      <c r="S664" s="1"/>
      <c r="T664" s="14"/>
      <c r="U664" s="14"/>
      <c r="V664" s="14"/>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row>
    <row r="665" spans="1:226" ht="14.25" customHeight="1" x14ac:dyDescent="0.25">
      <c r="A665" s="1"/>
      <c r="B665" s="1"/>
      <c r="C665" s="1"/>
      <c r="D665" s="1"/>
      <c r="E665" s="1"/>
      <c r="F665" s="1"/>
      <c r="G665" s="1"/>
      <c r="H665" s="1"/>
      <c r="I665" s="1"/>
      <c r="J665" s="1"/>
      <c r="K665" s="1"/>
      <c r="L665" s="1"/>
      <c r="M665" s="1"/>
      <c r="N665" s="1"/>
      <c r="O665" s="1"/>
      <c r="P665" s="1"/>
      <c r="Q665" s="1"/>
      <c r="R665" s="1"/>
      <c r="S665" s="1"/>
      <c r="T665" s="14"/>
      <c r="U665" s="14"/>
      <c r="V665" s="14"/>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row>
    <row r="666" spans="1:226" ht="14.25" customHeight="1" x14ac:dyDescent="0.25">
      <c r="A666" s="1"/>
      <c r="B666" s="1"/>
      <c r="C666" s="1"/>
      <c r="D666" s="1"/>
      <c r="E666" s="1"/>
      <c r="F666" s="1"/>
      <c r="G666" s="1"/>
      <c r="H666" s="1"/>
      <c r="I666" s="1"/>
      <c r="J666" s="1"/>
      <c r="K666" s="1"/>
      <c r="L666" s="1"/>
      <c r="M666" s="1"/>
      <c r="N666" s="1"/>
      <c r="O666" s="1"/>
      <c r="P666" s="1"/>
      <c r="Q666" s="1"/>
      <c r="R666" s="1"/>
      <c r="S666" s="1"/>
      <c r="T666" s="14"/>
      <c r="U666" s="14"/>
      <c r="V666" s="14"/>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row>
    <row r="667" spans="1:226" ht="14.25" customHeight="1" x14ac:dyDescent="0.25">
      <c r="A667" s="1"/>
      <c r="B667" s="1"/>
      <c r="C667" s="1"/>
      <c r="D667" s="1"/>
      <c r="E667" s="1"/>
      <c r="F667" s="1"/>
      <c r="G667" s="1"/>
      <c r="H667" s="1"/>
      <c r="I667" s="1"/>
      <c r="J667" s="1"/>
      <c r="K667" s="1"/>
      <c r="L667" s="1"/>
      <c r="M667" s="1"/>
      <c r="N667" s="1"/>
      <c r="O667" s="1"/>
      <c r="P667" s="1"/>
      <c r="Q667" s="1"/>
      <c r="R667" s="1"/>
      <c r="S667" s="1"/>
      <c r="T667" s="14"/>
      <c r="U667" s="14"/>
      <c r="V667" s="14"/>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row>
    <row r="668" spans="1:226" ht="14.25" customHeight="1" x14ac:dyDescent="0.25">
      <c r="A668" s="1"/>
      <c r="B668" s="1"/>
      <c r="C668" s="1"/>
      <c r="D668" s="1"/>
      <c r="E668" s="1"/>
      <c r="F668" s="1"/>
      <c r="G668" s="1"/>
      <c r="H668" s="1"/>
      <c r="I668" s="1"/>
      <c r="J668" s="1"/>
      <c r="K668" s="1"/>
      <c r="L668" s="1"/>
      <c r="M668" s="1"/>
      <c r="N668" s="1"/>
      <c r="O668" s="1"/>
      <c r="P668" s="1"/>
      <c r="Q668" s="1"/>
      <c r="R668" s="1"/>
      <c r="S668" s="1"/>
      <c r="T668" s="14"/>
      <c r="U668" s="14"/>
      <c r="V668" s="14"/>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row>
    <row r="669" spans="1:226" ht="14.25" customHeight="1" x14ac:dyDescent="0.25">
      <c r="A669" s="1"/>
      <c r="B669" s="1"/>
      <c r="C669" s="1"/>
      <c r="D669" s="1"/>
      <c r="E669" s="1"/>
      <c r="F669" s="1"/>
      <c r="G669" s="1"/>
      <c r="H669" s="1"/>
      <c r="I669" s="1"/>
      <c r="J669" s="1"/>
      <c r="K669" s="1"/>
      <c r="L669" s="1"/>
      <c r="M669" s="1"/>
      <c r="N669" s="1"/>
      <c r="O669" s="1"/>
      <c r="P669" s="1"/>
      <c r="Q669" s="1"/>
      <c r="R669" s="1"/>
      <c r="S669" s="1"/>
      <c r="T669" s="14"/>
      <c r="U669" s="14"/>
      <c r="V669" s="14"/>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row>
    <row r="670" spans="1:226" ht="14.25" customHeight="1" x14ac:dyDescent="0.25">
      <c r="A670" s="1"/>
      <c r="B670" s="1"/>
      <c r="C670" s="1"/>
      <c r="D670" s="1"/>
      <c r="E670" s="1"/>
      <c r="F670" s="1"/>
      <c r="G670" s="1"/>
      <c r="H670" s="1"/>
      <c r="I670" s="1"/>
      <c r="J670" s="1"/>
      <c r="K670" s="1"/>
      <c r="L670" s="1"/>
      <c r="M670" s="1"/>
      <c r="N670" s="1"/>
      <c r="O670" s="1"/>
      <c r="P670" s="1"/>
      <c r="Q670" s="1"/>
      <c r="R670" s="1"/>
      <c r="S670" s="1"/>
      <c r="T670" s="14"/>
      <c r="U670" s="14"/>
      <c r="V670" s="14"/>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row>
    <row r="671" spans="1:226" ht="14.25" customHeight="1" x14ac:dyDescent="0.25">
      <c r="A671" s="1"/>
      <c r="B671" s="1"/>
      <c r="C671" s="1"/>
      <c r="D671" s="1"/>
      <c r="E671" s="1"/>
      <c r="F671" s="1"/>
      <c r="G671" s="1"/>
      <c r="H671" s="1"/>
      <c r="I671" s="1"/>
      <c r="J671" s="1"/>
      <c r="K671" s="1"/>
      <c r="L671" s="1"/>
      <c r="M671" s="1"/>
      <c r="N671" s="1"/>
      <c r="O671" s="1"/>
      <c r="P671" s="1"/>
      <c r="Q671" s="1"/>
      <c r="R671" s="1"/>
      <c r="S671" s="1"/>
      <c r="T671" s="14"/>
      <c r="U671" s="14"/>
      <c r="V671" s="14"/>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row>
    <row r="672" spans="1:226" ht="14.25" customHeight="1" x14ac:dyDescent="0.25">
      <c r="A672" s="1"/>
      <c r="B672" s="1"/>
      <c r="C672" s="1"/>
      <c r="D672" s="1"/>
      <c r="E672" s="1"/>
      <c r="F672" s="1"/>
      <c r="G672" s="1"/>
      <c r="H672" s="1"/>
      <c r="I672" s="1"/>
      <c r="J672" s="1"/>
      <c r="K672" s="1"/>
      <c r="L672" s="1"/>
      <c r="M672" s="1"/>
      <c r="N672" s="1"/>
      <c r="O672" s="1"/>
      <c r="P672" s="1"/>
      <c r="Q672" s="1"/>
      <c r="R672" s="1"/>
      <c r="S672" s="1"/>
      <c r="T672" s="14"/>
      <c r="U672" s="14"/>
      <c r="V672" s="14"/>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row>
    <row r="673" spans="1:226" ht="14.25" customHeight="1" x14ac:dyDescent="0.25">
      <c r="A673" s="1"/>
      <c r="B673" s="1"/>
      <c r="C673" s="1"/>
      <c r="D673" s="1"/>
      <c r="E673" s="1"/>
      <c r="F673" s="1"/>
      <c r="G673" s="1"/>
      <c r="H673" s="1"/>
      <c r="I673" s="1"/>
      <c r="J673" s="1"/>
      <c r="K673" s="1"/>
      <c r="L673" s="1"/>
      <c r="M673" s="1"/>
      <c r="N673" s="1"/>
      <c r="O673" s="1"/>
      <c r="P673" s="1"/>
      <c r="Q673" s="1"/>
      <c r="R673" s="1"/>
      <c r="S673" s="1"/>
      <c r="T673" s="14"/>
      <c r="U673" s="14"/>
      <c r="V673" s="14"/>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row>
    <row r="674" spans="1:226" ht="14.25" customHeight="1" x14ac:dyDescent="0.25">
      <c r="A674" s="1"/>
      <c r="B674" s="1"/>
      <c r="C674" s="1"/>
      <c r="D674" s="1"/>
      <c r="E674" s="1"/>
      <c r="F674" s="1"/>
      <c r="G674" s="1"/>
      <c r="H674" s="1"/>
      <c r="I674" s="1"/>
      <c r="J674" s="1"/>
      <c r="K674" s="1"/>
      <c r="L674" s="1"/>
      <c r="M674" s="1"/>
      <c r="N674" s="1"/>
      <c r="O674" s="1"/>
      <c r="P674" s="1"/>
      <c r="Q674" s="1"/>
      <c r="R674" s="1"/>
      <c r="S674" s="1"/>
      <c r="T674" s="14"/>
      <c r="U674" s="14"/>
      <c r="V674" s="14"/>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row>
    <row r="675" spans="1:226" ht="14.25" customHeight="1" x14ac:dyDescent="0.25">
      <c r="A675" s="1"/>
      <c r="B675" s="1"/>
      <c r="C675" s="1"/>
      <c r="D675" s="1"/>
      <c r="E675" s="1"/>
      <c r="F675" s="1"/>
      <c r="G675" s="1"/>
      <c r="H675" s="1"/>
      <c r="I675" s="1"/>
      <c r="J675" s="1"/>
      <c r="K675" s="1"/>
      <c r="L675" s="1"/>
      <c r="M675" s="1"/>
      <c r="N675" s="1"/>
      <c r="O675" s="1"/>
      <c r="P675" s="1"/>
      <c r="Q675" s="1"/>
      <c r="R675" s="1"/>
      <c r="S675" s="1"/>
      <c r="T675" s="14"/>
      <c r="U675" s="14"/>
      <c r="V675" s="14"/>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row>
    <row r="676" spans="1:226" ht="14.25" customHeight="1" x14ac:dyDescent="0.25">
      <c r="A676" s="1"/>
      <c r="B676" s="1"/>
      <c r="C676" s="1"/>
      <c r="D676" s="1"/>
      <c r="E676" s="1"/>
      <c r="F676" s="1"/>
      <c r="G676" s="1"/>
      <c r="H676" s="1"/>
      <c r="I676" s="1"/>
      <c r="J676" s="1"/>
      <c r="K676" s="1"/>
      <c r="L676" s="1"/>
      <c r="M676" s="1"/>
      <c r="N676" s="1"/>
      <c r="O676" s="1"/>
      <c r="P676" s="1"/>
      <c r="Q676" s="1"/>
      <c r="R676" s="1"/>
      <c r="S676" s="1"/>
      <c r="T676" s="14"/>
      <c r="U676" s="14"/>
      <c r="V676" s="14"/>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row>
    <row r="677" spans="1:226" ht="14.25" customHeight="1" x14ac:dyDescent="0.25">
      <c r="A677" s="1"/>
      <c r="B677" s="1"/>
      <c r="C677" s="1"/>
      <c r="D677" s="1"/>
      <c r="E677" s="1"/>
      <c r="F677" s="1"/>
      <c r="G677" s="1"/>
      <c r="H677" s="1"/>
      <c r="I677" s="1"/>
      <c r="J677" s="1"/>
      <c r="K677" s="1"/>
      <c r="L677" s="1"/>
      <c r="M677" s="1"/>
      <c r="N677" s="1"/>
      <c r="O677" s="1"/>
      <c r="P677" s="1"/>
      <c r="Q677" s="1"/>
      <c r="R677" s="1"/>
      <c r="S677" s="1"/>
      <c r="T677" s="14"/>
      <c r="U677" s="14"/>
      <c r="V677" s="14"/>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row>
    <row r="678" spans="1:226" ht="14.25" customHeight="1" x14ac:dyDescent="0.25">
      <c r="A678" s="1"/>
      <c r="B678" s="1"/>
      <c r="C678" s="1"/>
      <c r="D678" s="1"/>
      <c r="E678" s="1"/>
      <c r="F678" s="1"/>
      <c r="G678" s="1"/>
      <c r="H678" s="1"/>
      <c r="I678" s="1"/>
      <c r="J678" s="1"/>
      <c r="K678" s="1"/>
      <c r="L678" s="1"/>
      <c r="M678" s="1"/>
      <c r="N678" s="1"/>
      <c r="O678" s="1"/>
      <c r="P678" s="1"/>
      <c r="Q678" s="1"/>
      <c r="R678" s="1"/>
      <c r="S678" s="1"/>
      <c r="T678" s="14"/>
      <c r="U678" s="14"/>
      <c r="V678" s="14"/>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row>
    <row r="679" spans="1:226" ht="14.25" customHeight="1" x14ac:dyDescent="0.25">
      <c r="A679" s="1"/>
      <c r="B679" s="1"/>
      <c r="C679" s="1"/>
      <c r="D679" s="1"/>
      <c r="E679" s="1"/>
      <c r="F679" s="1"/>
      <c r="G679" s="1"/>
      <c r="H679" s="1"/>
      <c r="I679" s="1"/>
      <c r="J679" s="1"/>
      <c r="K679" s="1"/>
      <c r="L679" s="1"/>
      <c r="M679" s="1"/>
      <c r="N679" s="1"/>
      <c r="O679" s="1"/>
      <c r="P679" s="1"/>
      <c r="Q679" s="1"/>
      <c r="R679" s="1"/>
      <c r="S679" s="1"/>
      <c r="T679" s="14"/>
      <c r="U679" s="14"/>
      <c r="V679" s="14"/>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row>
    <row r="680" spans="1:226" ht="14.25" customHeight="1" x14ac:dyDescent="0.25">
      <c r="A680" s="1"/>
      <c r="B680" s="1"/>
      <c r="C680" s="1"/>
      <c r="D680" s="1"/>
      <c r="E680" s="1"/>
      <c r="F680" s="1"/>
      <c r="G680" s="1"/>
      <c r="H680" s="1"/>
      <c r="I680" s="1"/>
      <c r="J680" s="1"/>
      <c r="K680" s="1"/>
      <c r="L680" s="1"/>
      <c r="M680" s="1"/>
      <c r="N680" s="1"/>
      <c r="O680" s="1"/>
      <c r="P680" s="1"/>
      <c r="Q680" s="1"/>
      <c r="R680" s="1"/>
      <c r="S680" s="1"/>
      <c r="T680" s="14"/>
      <c r="U680" s="14"/>
      <c r="V680" s="14"/>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row>
    <row r="681" spans="1:226" ht="14.25" customHeight="1" x14ac:dyDescent="0.25">
      <c r="A681" s="1"/>
      <c r="B681" s="1"/>
      <c r="C681" s="1"/>
      <c r="D681" s="1"/>
      <c r="E681" s="1"/>
      <c r="F681" s="1"/>
      <c r="G681" s="1"/>
      <c r="H681" s="1"/>
      <c r="I681" s="1"/>
      <c r="J681" s="1"/>
      <c r="K681" s="1"/>
      <c r="L681" s="1"/>
      <c r="M681" s="1"/>
      <c r="N681" s="1"/>
      <c r="O681" s="1"/>
      <c r="P681" s="1"/>
      <c r="Q681" s="1"/>
      <c r="R681" s="1"/>
      <c r="S681" s="1"/>
      <c r="T681" s="14"/>
      <c r="U681" s="14"/>
      <c r="V681" s="14"/>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row>
    <row r="682" spans="1:226" ht="14.25" customHeight="1" x14ac:dyDescent="0.25">
      <c r="A682" s="1"/>
      <c r="B682" s="1"/>
      <c r="C682" s="1"/>
      <c r="D682" s="1"/>
      <c r="E682" s="1"/>
      <c r="F682" s="1"/>
      <c r="G682" s="1"/>
      <c r="H682" s="1"/>
      <c r="I682" s="1"/>
      <c r="J682" s="1"/>
      <c r="K682" s="1"/>
      <c r="L682" s="1"/>
      <c r="M682" s="1"/>
      <c r="N682" s="1"/>
      <c r="O682" s="1"/>
      <c r="P682" s="1"/>
      <c r="Q682" s="1"/>
      <c r="R682" s="1"/>
      <c r="S682" s="1"/>
      <c r="T682" s="14"/>
      <c r="U682" s="14"/>
      <c r="V682" s="14"/>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row>
    <row r="683" spans="1:226" ht="14.25" customHeight="1" x14ac:dyDescent="0.25">
      <c r="A683" s="1"/>
      <c r="B683" s="1"/>
      <c r="C683" s="1"/>
      <c r="D683" s="1"/>
      <c r="E683" s="1"/>
      <c r="F683" s="1"/>
      <c r="G683" s="1"/>
      <c r="H683" s="1"/>
      <c r="I683" s="1"/>
      <c r="J683" s="1"/>
      <c r="K683" s="1"/>
      <c r="L683" s="1"/>
      <c r="M683" s="1"/>
      <c r="N683" s="1"/>
      <c r="O683" s="1"/>
      <c r="P683" s="1"/>
      <c r="Q683" s="1"/>
      <c r="R683" s="1"/>
      <c r="S683" s="1"/>
      <c r="T683" s="14"/>
      <c r="U683" s="14"/>
      <c r="V683" s="14"/>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row>
    <row r="684" spans="1:226" ht="14.25" customHeight="1" x14ac:dyDescent="0.25">
      <c r="A684" s="1"/>
      <c r="B684" s="1"/>
      <c r="C684" s="1"/>
      <c r="D684" s="1"/>
      <c r="E684" s="1"/>
      <c r="F684" s="1"/>
      <c r="G684" s="1"/>
      <c r="H684" s="1"/>
      <c r="I684" s="1"/>
      <c r="J684" s="1"/>
      <c r="K684" s="1"/>
      <c r="L684" s="1"/>
      <c r="M684" s="1"/>
      <c r="N684" s="1"/>
      <c r="O684" s="1"/>
      <c r="P684" s="1"/>
      <c r="Q684" s="1"/>
      <c r="R684" s="1"/>
      <c r="S684" s="1"/>
      <c r="T684" s="14"/>
      <c r="U684" s="14"/>
      <c r="V684" s="14"/>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row>
    <row r="685" spans="1:226" ht="14.25" customHeight="1" x14ac:dyDescent="0.25">
      <c r="A685" s="1"/>
      <c r="B685" s="1"/>
      <c r="C685" s="1"/>
      <c r="D685" s="1"/>
      <c r="E685" s="1"/>
      <c r="F685" s="1"/>
      <c r="G685" s="1"/>
      <c r="H685" s="1"/>
      <c r="I685" s="1"/>
      <c r="J685" s="1"/>
      <c r="K685" s="1"/>
      <c r="L685" s="1"/>
      <c r="M685" s="1"/>
      <c r="N685" s="1"/>
      <c r="O685" s="1"/>
      <c r="P685" s="1"/>
      <c r="Q685" s="1"/>
      <c r="R685" s="1"/>
      <c r="S685" s="1"/>
      <c r="T685" s="14"/>
      <c r="U685" s="14"/>
      <c r="V685" s="14"/>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row>
    <row r="686" spans="1:226" ht="14.25" customHeight="1" x14ac:dyDescent="0.25">
      <c r="A686" s="1"/>
      <c r="B686" s="1"/>
      <c r="C686" s="1"/>
      <c r="D686" s="1"/>
      <c r="E686" s="1"/>
      <c r="F686" s="1"/>
      <c r="G686" s="1"/>
      <c r="H686" s="1"/>
      <c r="I686" s="1"/>
      <c r="J686" s="1"/>
      <c r="K686" s="1"/>
      <c r="L686" s="1"/>
      <c r="M686" s="1"/>
      <c r="N686" s="1"/>
      <c r="O686" s="1"/>
      <c r="P686" s="1"/>
      <c r="Q686" s="1"/>
      <c r="R686" s="1"/>
      <c r="S686" s="1"/>
      <c r="T686" s="14"/>
      <c r="U686" s="14"/>
      <c r="V686" s="14"/>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row>
    <row r="687" spans="1:226" ht="14.25" customHeight="1" x14ac:dyDescent="0.25">
      <c r="A687" s="1"/>
      <c r="B687" s="1"/>
      <c r="C687" s="1"/>
      <c r="D687" s="1"/>
      <c r="E687" s="1"/>
      <c r="F687" s="1"/>
      <c r="G687" s="1"/>
      <c r="H687" s="1"/>
      <c r="I687" s="1"/>
      <c r="J687" s="1"/>
      <c r="K687" s="1"/>
      <c r="L687" s="1"/>
      <c r="M687" s="1"/>
      <c r="N687" s="1"/>
      <c r="O687" s="1"/>
      <c r="P687" s="1"/>
      <c r="Q687" s="1"/>
      <c r="R687" s="1"/>
      <c r="S687" s="1"/>
      <c r="T687" s="14"/>
      <c r="U687" s="14"/>
      <c r="V687" s="14"/>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row>
    <row r="688" spans="1:226" ht="14.25" customHeight="1" x14ac:dyDescent="0.25">
      <c r="A688" s="1"/>
      <c r="B688" s="1"/>
      <c r="C688" s="1"/>
      <c r="D688" s="1"/>
      <c r="E688" s="1"/>
      <c r="F688" s="1"/>
      <c r="G688" s="1"/>
      <c r="H688" s="1"/>
      <c r="I688" s="1"/>
      <c r="J688" s="1"/>
      <c r="K688" s="1"/>
      <c r="L688" s="1"/>
      <c r="M688" s="1"/>
      <c r="N688" s="1"/>
      <c r="O688" s="1"/>
      <c r="P688" s="1"/>
      <c r="Q688" s="1"/>
      <c r="R688" s="1"/>
      <c r="S688" s="1"/>
      <c r="T688" s="14"/>
      <c r="U688" s="14"/>
      <c r="V688" s="14"/>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row>
    <row r="689" spans="1:226" ht="14.25" customHeight="1" x14ac:dyDescent="0.25">
      <c r="A689" s="1"/>
      <c r="B689" s="1"/>
      <c r="C689" s="1"/>
      <c r="D689" s="1"/>
      <c r="E689" s="1"/>
      <c r="F689" s="1"/>
      <c r="G689" s="1"/>
      <c r="H689" s="1"/>
      <c r="I689" s="1"/>
      <c r="J689" s="1"/>
      <c r="K689" s="1"/>
      <c r="L689" s="1"/>
      <c r="M689" s="1"/>
      <c r="N689" s="1"/>
      <c r="O689" s="1"/>
      <c r="P689" s="1"/>
      <c r="Q689" s="1"/>
      <c r="R689" s="1"/>
      <c r="S689" s="1"/>
      <c r="T689" s="14"/>
      <c r="U689" s="14"/>
      <c r="V689" s="14"/>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row>
    <row r="690" spans="1:226" ht="14.25" customHeight="1" x14ac:dyDescent="0.25">
      <c r="A690" s="1"/>
      <c r="B690" s="1"/>
      <c r="C690" s="1"/>
      <c r="D690" s="1"/>
      <c r="E690" s="1"/>
      <c r="F690" s="1"/>
      <c r="G690" s="1"/>
      <c r="H690" s="1"/>
      <c r="I690" s="1"/>
      <c r="J690" s="1"/>
      <c r="K690" s="1"/>
      <c r="L690" s="1"/>
      <c r="M690" s="1"/>
      <c r="N690" s="1"/>
      <c r="O690" s="1"/>
      <c r="P690" s="1"/>
      <c r="Q690" s="1"/>
      <c r="R690" s="1"/>
      <c r="S690" s="1"/>
      <c r="T690" s="14"/>
      <c r="U690" s="14"/>
      <c r="V690" s="14"/>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row>
    <row r="691" spans="1:226" ht="14.25" customHeight="1" x14ac:dyDescent="0.25">
      <c r="A691" s="1"/>
      <c r="B691" s="1"/>
      <c r="C691" s="1"/>
      <c r="D691" s="1"/>
      <c r="E691" s="1"/>
      <c r="F691" s="1"/>
      <c r="G691" s="1"/>
      <c r="H691" s="1"/>
      <c r="I691" s="1"/>
      <c r="J691" s="1"/>
      <c r="K691" s="1"/>
      <c r="L691" s="1"/>
      <c r="M691" s="1"/>
      <c r="N691" s="1"/>
      <c r="O691" s="1"/>
      <c r="P691" s="1"/>
      <c r="Q691" s="1"/>
      <c r="R691" s="1"/>
      <c r="S691" s="1"/>
      <c r="T691" s="14"/>
      <c r="U691" s="14"/>
      <c r="V691" s="14"/>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row>
    <row r="692" spans="1:226" ht="14.25" customHeight="1" x14ac:dyDescent="0.25">
      <c r="A692" s="1"/>
      <c r="B692" s="1"/>
      <c r="C692" s="1"/>
      <c r="D692" s="1"/>
      <c r="E692" s="1"/>
      <c r="F692" s="1"/>
      <c r="G692" s="1"/>
      <c r="H692" s="1"/>
      <c r="I692" s="1"/>
      <c r="J692" s="1"/>
      <c r="K692" s="1"/>
      <c r="L692" s="1"/>
      <c r="M692" s="1"/>
      <c r="N692" s="1"/>
      <c r="O692" s="1"/>
      <c r="P692" s="1"/>
      <c r="Q692" s="1"/>
      <c r="R692" s="1"/>
      <c r="S692" s="1"/>
      <c r="T692" s="14"/>
      <c r="U692" s="14"/>
      <c r="V692" s="14"/>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row>
    <row r="693" spans="1:226" ht="14.25" customHeight="1" x14ac:dyDescent="0.25">
      <c r="A693" s="1"/>
      <c r="B693" s="1"/>
      <c r="C693" s="1"/>
      <c r="D693" s="1"/>
      <c r="E693" s="1"/>
      <c r="F693" s="1"/>
      <c r="G693" s="1"/>
      <c r="H693" s="1"/>
      <c r="I693" s="1"/>
      <c r="J693" s="1"/>
      <c r="K693" s="1"/>
      <c r="L693" s="1"/>
      <c r="M693" s="1"/>
      <c r="N693" s="1"/>
      <c r="O693" s="1"/>
      <c r="P693" s="1"/>
      <c r="Q693" s="1"/>
      <c r="R693" s="1"/>
      <c r="S693" s="1"/>
      <c r="T693" s="14"/>
      <c r="U693" s="14"/>
      <c r="V693" s="14"/>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row>
    <row r="694" spans="1:226" ht="14.25" customHeight="1" x14ac:dyDescent="0.25">
      <c r="A694" s="1"/>
      <c r="B694" s="1"/>
      <c r="C694" s="1"/>
      <c r="D694" s="1"/>
      <c r="E694" s="1"/>
      <c r="F694" s="1"/>
      <c r="G694" s="1"/>
      <c r="H694" s="1"/>
      <c r="I694" s="1"/>
      <c r="J694" s="1"/>
      <c r="K694" s="1"/>
      <c r="L694" s="1"/>
      <c r="M694" s="1"/>
      <c r="N694" s="1"/>
      <c r="O694" s="1"/>
      <c r="P694" s="1"/>
      <c r="Q694" s="1"/>
      <c r="R694" s="1"/>
      <c r="S694" s="1"/>
      <c r="T694" s="14"/>
      <c r="U694" s="14"/>
      <c r="V694" s="14"/>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row>
    <row r="695" spans="1:226" ht="14.25" customHeight="1" x14ac:dyDescent="0.25">
      <c r="A695" s="1"/>
      <c r="B695" s="1"/>
      <c r="C695" s="1"/>
      <c r="D695" s="1"/>
      <c r="E695" s="1"/>
      <c r="F695" s="1"/>
      <c r="G695" s="1"/>
      <c r="H695" s="1"/>
      <c r="I695" s="1"/>
      <c r="J695" s="1"/>
      <c r="K695" s="1"/>
      <c r="L695" s="1"/>
      <c r="M695" s="1"/>
      <c r="N695" s="1"/>
      <c r="O695" s="1"/>
      <c r="P695" s="1"/>
      <c r="Q695" s="1"/>
      <c r="R695" s="1"/>
      <c r="S695" s="1"/>
      <c r="T695" s="14"/>
      <c r="U695" s="14"/>
      <c r="V695" s="14"/>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row>
    <row r="696" spans="1:226" ht="14.25" customHeight="1" x14ac:dyDescent="0.25">
      <c r="A696" s="1"/>
      <c r="B696" s="1"/>
      <c r="C696" s="1"/>
      <c r="D696" s="1"/>
      <c r="E696" s="1"/>
      <c r="F696" s="1"/>
      <c r="G696" s="1"/>
      <c r="H696" s="1"/>
      <c r="I696" s="1"/>
      <c r="J696" s="1"/>
      <c r="K696" s="1"/>
      <c r="L696" s="1"/>
      <c r="M696" s="1"/>
      <c r="N696" s="1"/>
      <c r="O696" s="1"/>
      <c r="P696" s="1"/>
      <c r="Q696" s="1"/>
      <c r="R696" s="1"/>
      <c r="S696" s="1"/>
      <c r="T696" s="14"/>
      <c r="U696" s="14"/>
      <c r="V696" s="14"/>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row>
    <row r="697" spans="1:226" ht="14.25" customHeight="1" x14ac:dyDescent="0.25">
      <c r="A697" s="1"/>
      <c r="B697" s="1"/>
      <c r="C697" s="1"/>
      <c r="D697" s="1"/>
      <c r="E697" s="1"/>
      <c r="F697" s="1"/>
      <c r="G697" s="1"/>
      <c r="H697" s="1"/>
      <c r="I697" s="1"/>
      <c r="J697" s="1"/>
      <c r="K697" s="1"/>
      <c r="L697" s="1"/>
      <c r="M697" s="1"/>
      <c r="N697" s="1"/>
      <c r="O697" s="1"/>
      <c r="P697" s="1"/>
      <c r="Q697" s="1"/>
      <c r="R697" s="1"/>
      <c r="S697" s="1"/>
      <c r="T697" s="14"/>
      <c r="U697" s="14"/>
      <c r="V697" s="14"/>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row>
    <row r="698" spans="1:226" ht="14.25" customHeight="1" x14ac:dyDescent="0.25">
      <c r="A698" s="1"/>
      <c r="B698" s="1"/>
      <c r="C698" s="1"/>
      <c r="D698" s="1"/>
      <c r="E698" s="1"/>
      <c r="F698" s="1"/>
      <c r="G698" s="1"/>
      <c r="H698" s="1"/>
      <c r="I698" s="1"/>
      <c r="J698" s="1"/>
      <c r="K698" s="1"/>
      <c r="L698" s="1"/>
      <c r="M698" s="1"/>
      <c r="N698" s="1"/>
      <c r="O698" s="1"/>
      <c r="P698" s="1"/>
      <c r="Q698" s="1"/>
      <c r="R698" s="1"/>
      <c r="S698" s="1"/>
      <c r="T698" s="14"/>
      <c r="U698" s="14"/>
      <c r="V698" s="14"/>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row>
    <row r="699" spans="1:226" ht="14.25" customHeight="1" x14ac:dyDescent="0.25">
      <c r="A699" s="1"/>
      <c r="B699" s="1"/>
      <c r="C699" s="1"/>
      <c r="D699" s="1"/>
      <c r="E699" s="1"/>
      <c r="F699" s="1"/>
      <c r="G699" s="1"/>
      <c r="H699" s="1"/>
      <c r="I699" s="1"/>
      <c r="J699" s="1"/>
      <c r="K699" s="1"/>
      <c r="L699" s="1"/>
      <c r="M699" s="1"/>
      <c r="N699" s="1"/>
      <c r="O699" s="1"/>
      <c r="P699" s="1"/>
      <c r="Q699" s="1"/>
      <c r="R699" s="1"/>
      <c r="S699" s="1"/>
      <c r="T699" s="14"/>
      <c r="U699" s="14"/>
      <c r="V699" s="14"/>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row>
    <row r="700" spans="1:226" ht="14.25" customHeight="1" x14ac:dyDescent="0.25">
      <c r="A700" s="1"/>
      <c r="B700" s="1"/>
      <c r="C700" s="1"/>
      <c r="D700" s="1"/>
      <c r="E700" s="1"/>
      <c r="F700" s="1"/>
      <c r="G700" s="1"/>
      <c r="H700" s="1"/>
      <c r="I700" s="1"/>
      <c r="J700" s="1"/>
      <c r="K700" s="1"/>
      <c r="L700" s="1"/>
      <c r="M700" s="1"/>
      <c r="N700" s="1"/>
      <c r="O700" s="1"/>
      <c r="P700" s="1"/>
      <c r="Q700" s="1"/>
      <c r="R700" s="1"/>
      <c r="S700" s="1"/>
      <c r="T700" s="14"/>
      <c r="U700" s="14"/>
      <c r="V700" s="14"/>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row>
    <row r="701" spans="1:226" ht="14.25" customHeight="1" x14ac:dyDescent="0.25">
      <c r="A701" s="1"/>
      <c r="B701" s="1"/>
      <c r="C701" s="1"/>
      <c r="D701" s="1"/>
      <c r="E701" s="1"/>
      <c r="F701" s="1"/>
      <c r="G701" s="1"/>
      <c r="H701" s="1"/>
      <c r="I701" s="1"/>
      <c r="J701" s="1"/>
      <c r="K701" s="1"/>
      <c r="L701" s="1"/>
      <c r="M701" s="1"/>
      <c r="N701" s="1"/>
      <c r="O701" s="1"/>
      <c r="P701" s="1"/>
      <c r="Q701" s="1"/>
      <c r="R701" s="1"/>
      <c r="S701" s="1"/>
      <c r="T701" s="14"/>
      <c r="U701" s="14"/>
      <c r="V701" s="14"/>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row>
    <row r="702" spans="1:226" ht="14.25" customHeight="1" x14ac:dyDescent="0.25">
      <c r="A702" s="1"/>
      <c r="B702" s="1"/>
      <c r="C702" s="1"/>
      <c r="D702" s="1"/>
      <c r="E702" s="1"/>
      <c r="F702" s="1"/>
      <c r="G702" s="1"/>
      <c r="H702" s="1"/>
      <c r="I702" s="1"/>
      <c r="J702" s="1"/>
      <c r="K702" s="1"/>
      <c r="L702" s="1"/>
      <c r="M702" s="1"/>
      <c r="N702" s="1"/>
      <c r="O702" s="1"/>
      <c r="P702" s="1"/>
      <c r="Q702" s="1"/>
      <c r="R702" s="1"/>
      <c r="S702" s="1"/>
      <c r="T702" s="14"/>
      <c r="U702" s="14"/>
      <c r="V702" s="14"/>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row>
    <row r="703" spans="1:226" ht="14.25" customHeight="1" x14ac:dyDescent="0.25">
      <c r="A703" s="1"/>
      <c r="B703" s="1"/>
      <c r="C703" s="1"/>
      <c r="D703" s="1"/>
      <c r="E703" s="1"/>
      <c r="F703" s="1"/>
      <c r="G703" s="1"/>
      <c r="H703" s="1"/>
      <c r="I703" s="1"/>
      <c r="J703" s="1"/>
      <c r="K703" s="1"/>
      <c r="L703" s="1"/>
      <c r="M703" s="1"/>
      <c r="N703" s="1"/>
      <c r="O703" s="1"/>
      <c r="P703" s="1"/>
      <c r="Q703" s="1"/>
      <c r="R703" s="1"/>
      <c r="S703" s="1"/>
      <c r="T703" s="14"/>
      <c r="U703" s="14"/>
      <c r="V703" s="14"/>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row>
    <row r="704" spans="1:226" ht="14.25" customHeight="1" x14ac:dyDescent="0.25">
      <c r="A704" s="1"/>
      <c r="B704" s="1"/>
      <c r="C704" s="1"/>
      <c r="D704" s="1"/>
      <c r="E704" s="1"/>
      <c r="F704" s="1"/>
      <c r="G704" s="1"/>
      <c r="H704" s="1"/>
      <c r="I704" s="1"/>
      <c r="J704" s="1"/>
      <c r="K704" s="1"/>
      <c r="L704" s="1"/>
      <c r="M704" s="1"/>
      <c r="N704" s="1"/>
      <c r="O704" s="1"/>
      <c r="P704" s="1"/>
      <c r="Q704" s="1"/>
      <c r="R704" s="1"/>
      <c r="S704" s="1"/>
      <c r="T704" s="14"/>
      <c r="U704" s="14"/>
      <c r="V704" s="14"/>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row>
    <row r="705" spans="1:226" ht="14.25" customHeight="1" x14ac:dyDescent="0.25">
      <c r="A705" s="1"/>
      <c r="B705" s="1"/>
      <c r="C705" s="1"/>
      <c r="D705" s="1"/>
      <c r="E705" s="1"/>
      <c r="F705" s="1"/>
      <c r="G705" s="1"/>
      <c r="H705" s="1"/>
      <c r="I705" s="1"/>
      <c r="J705" s="1"/>
      <c r="K705" s="1"/>
      <c r="L705" s="1"/>
      <c r="M705" s="1"/>
      <c r="N705" s="1"/>
      <c r="O705" s="1"/>
      <c r="P705" s="1"/>
      <c r="Q705" s="1"/>
      <c r="R705" s="1"/>
      <c r="S705" s="1"/>
      <c r="T705" s="14"/>
      <c r="U705" s="14"/>
      <c r="V705" s="14"/>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row>
    <row r="706" spans="1:226" ht="14.25" customHeight="1" x14ac:dyDescent="0.25">
      <c r="A706" s="1"/>
      <c r="B706" s="1"/>
      <c r="C706" s="1"/>
      <c r="D706" s="1"/>
      <c r="E706" s="1"/>
      <c r="F706" s="1"/>
      <c r="G706" s="1"/>
      <c r="H706" s="1"/>
      <c r="I706" s="1"/>
      <c r="J706" s="1"/>
      <c r="K706" s="1"/>
      <c r="L706" s="1"/>
      <c r="M706" s="1"/>
      <c r="N706" s="1"/>
      <c r="O706" s="1"/>
      <c r="P706" s="1"/>
      <c r="Q706" s="1"/>
      <c r="R706" s="1"/>
      <c r="S706" s="1"/>
      <c r="T706" s="14"/>
      <c r="U706" s="14"/>
      <c r="V706" s="14"/>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row>
    <row r="707" spans="1:226" ht="14.25" customHeight="1" x14ac:dyDescent="0.25">
      <c r="A707" s="1"/>
      <c r="B707" s="1"/>
      <c r="C707" s="1"/>
      <c r="D707" s="1"/>
      <c r="E707" s="1"/>
      <c r="F707" s="1"/>
      <c r="G707" s="1"/>
      <c r="H707" s="1"/>
      <c r="I707" s="1"/>
      <c r="J707" s="1"/>
      <c r="K707" s="1"/>
      <c r="L707" s="1"/>
      <c r="M707" s="1"/>
      <c r="N707" s="1"/>
      <c r="O707" s="1"/>
      <c r="P707" s="1"/>
      <c r="Q707" s="1"/>
      <c r="R707" s="1"/>
      <c r="S707" s="1"/>
      <c r="T707" s="14"/>
      <c r="U707" s="14"/>
      <c r="V707" s="14"/>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row>
    <row r="708" spans="1:226" ht="14.25" customHeight="1" x14ac:dyDescent="0.25">
      <c r="A708" s="1"/>
      <c r="B708" s="1"/>
      <c r="C708" s="1"/>
      <c r="D708" s="1"/>
      <c r="E708" s="1"/>
      <c r="F708" s="1"/>
      <c r="G708" s="1"/>
      <c r="H708" s="1"/>
      <c r="I708" s="1"/>
      <c r="J708" s="1"/>
      <c r="K708" s="1"/>
      <c r="L708" s="1"/>
      <c r="M708" s="1"/>
      <c r="N708" s="1"/>
      <c r="O708" s="1"/>
      <c r="P708" s="1"/>
      <c r="Q708" s="1"/>
      <c r="R708" s="1"/>
      <c r="S708" s="1"/>
      <c r="T708" s="14"/>
      <c r="U708" s="14"/>
      <c r="V708" s="14"/>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row>
    <row r="709" spans="1:226" ht="14.25" customHeight="1" x14ac:dyDescent="0.25">
      <c r="A709" s="1"/>
      <c r="B709" s="1"/>
      <c r="C709" s="1"/>
      <c r="D709" s="1"/>
      <c r="E709" s="1"/>
      <c r="F709" s="1"/>
      <c r="G709" s="1"/>
      <c r="H709" s="1"/>
      <c r="I709" s="1"/>
      <c r="J709" s="1"/>
      <c r="K709" s="1"/>
      <c r="L709" s="1"/>
      <c r="M709" s="1"/>
      <c r="N709" s="1"/>
      <c r="O709" s="1"/>
      <c r="P709" s="1"/>
      <c r="Q709" s="1"/>
      <c r="R709" s="1"/>
      <c r="S709" s="1"/>
      <c r="T709" s="14"/>
      <c r="U709" s="14"/>
      <c r="V709" s="14"/>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row>
    <row r="710" spans="1:226" ht="14.25" customHeight="1" x14ac:dyDescent="0.25">
      <c r="A710" s="1"/>
      <c r="B710" s="1"/>
      <c r="C710" s="1"/>
      <c r="D710" s="1"/>
      <c r="E710" s="1"/>
      <c r="F710" s="1"/>
      <c r="G710" s="1"/>
      <c r="H710" s="1"/>
      <c r="I710" s="1"/>
      <c r="J710" s="1"/>
      <c r="K710" s="1"/>
      <c r="L710" s="1"/>
      <c r="M710" s="1"/>
      <c r="N710" s="1"/>
      <c r="O710" s="1"/>
      <c r="P710" s="1"/>
      <c r="Q710" s="1"/>
      <c r="R710" s="1"/>
      <c r="S710" s="1"/>
      <c r="T710" s="14"/>
      <c r="U710" s="14"/>
      <c r="V710" s="14"/>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row>
    <row r="711" spans="1:226" ht="14.25" customHeight="1" x14ac:dyDescent="0.25">
      <c r="A711" s="1"/>
      <c r="B711" s="1"/>
      <c r="C711" s="1"/>
      <c r="D711" s="1"/>
      <c r="E711" s="1"/>
      <c r="F711" s="1"/>
      <c r="G711" s="1"/>
      <c r="H711" s="1"/>
      <c r="I711" s="1"/>
      <c r="J711" s="1"/>
      <c r="K711" s="1"/>
      <c r="L711" s="1"/>
      <c r="M711" s="1"/>
      <c r="N711" s="1"/>
      <c r="O711" s="1"/>
      <c r="P711" s="1"/>
      <c r="Q711" s="1"/>
      <c r="R711" s="1"/>
      <c r="S711" s="1"/>
      <c r="T711" s="14"/>
      <c r="U711" s="14"/>
      <c r="V711" s="14"/>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row>
    <row r="712" spans="1:226" ht="14.25" customHeight="1" x14ac:dyDescent="0.25">
      <c r="A712" s="1"/>
      <c r="B712" s="1"/>
      <c r="C712" s="1"/>
      <c r="D712" s="1"/>
      <c r="E712" s="1"/>
      <c r="F712" s="1"/>
      <c r="G712" s="1"/>
      <c r="H712" s="1"/>
      <c r="I712" s="1"/>
      <c r="J712" s="1"/>
      <c r="K712" s="1"/>
      <c r="L712" s="1"/>
      <c r="M712" s="1"/>
      <c r="N712" s="1"/>
      <c r="O712" s="1"/>
      <c r="P712" s="1"/>
      <c r="Q712" s="1"/>
      <c r="R712" s="1"/>
      <c r="S712" s="1"/>
      <c r="T712" s="14"/>
      <c r="U712" s="14"/>
      <c r="V712" s="14"/>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row>
    <row r="713" spans="1:226" ht="14.25" customHeight="1" x14ac:dyDescent="0.25">
      <c r="A713" s="1"/>
      <c r="B713" s="1"/>
      <c r="C713" s="1"/>
      <c r="D713" s="1"/>
      <c r="E713" s="1"/>
      <c r="F713" s="1"/>
      <c r="G713" s="1"/>
      <c r="H713" s="1"/>
      <c r="I713" s="1"/>
      <c r="J713" s="1"/>
      <c r="K713" s="1"/>
      <c r="L713" s="1"/>
      <c r="M713" s="1"/>
      <c r="N713" s="1"/>
      <c r="O713" s="1"/>
      <c r="P713" s="1"/>
      <c r="Q713" s="1"/>
      <c r="R713" s="1"/>
      <c r="S713" s="1"/>
      <c r="T713" s="14"/>
      <c r="U713" s="14"/>
      <c r="V713" s="14"/>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row>
    <row r="714" spans="1:226" ht="14.25" customHeight="1" x14ac:dyDescent="0.25">
      <c r="A714" s="1"/>
      <c r="B714" s="1"/>
      <c r="C714" s="1"/>
      <c r="D714" s="1"/>
      <c r="E714" s="1"/>
      <c r="F714" s="1"/>
      <c r="G714" s="1"/>
      <c r="H714" s="1"/>
      <c r="I714" s="1"/>
      <c r="J714" s="1"/>
      <c r="K714" s="1"/>
      <c r="L714" s="1"/>
      <c r="M714" s="1"/>
      <c r="N714" s="1"/>
      <c r="O714" s="1"/>
      <c r="P714" s="1"/>
      <c r="Q714" s="1"/>
      <c r="R714" s="1"/>
      <c r="S714" s="1"/>
      <c r="T714" s="14"/>
      <c r="U714" s="14"/>
      <c r="V714" s="14"/>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row>
    <row r="715" spans="1:226" ht="14.25" customHeight="1" x14ac:dyDescent="0.25">
      <c r="A715" s="1"/>
      <c r="B715" s="1"/>
      <c r="C715" s="1"/>
      <c r="D715" s="1"/>
      <c r="E715" s="1"/>
      <c r="F715" s="1"/>
      <c r="G715" s="1"/>
      <c r="H715" s="1"/>
      <c r="I715" s="1"/>
      <c r="J715" s="1"/>
      <c r="K715" s="1"/>
      <c r="L715" s="1"/>
      <c r="M715" s="1"/>
      <c r="N715" s="1"/>
      <c r="O715" s="1"/>
      <c r="P715" s="1"/>
      <c r="Q715" s="1"/>
      <c r="R715" s="1"/>
      <c r="S715" s="1"/>
      <c r="T715" s="14"/>
      <c r="U715" s="14"/>
      <c r="V715" s="14"/>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row>
    <row r="716" spans="1:226" ht="14.25" customHeight="1" x14ac:dyDescent="0.25">
      <c r="A716" s="1"/>
      <c r="B716" s="1"/>
      <c r="C716" s="1"/>
      <c r="D716" s="1"/>
      <c r="E716" s="1"/>
      <c r="F716" s="1"/>
      <c r="G716" s="1"/>
      <c r="H716" s="1"/>
      <c r="I716" s="1"/>
      <c r="J716" s="1"/>
      <c r="K716" s="1"/>
      <c r="L716" s="1"/>
      <c r="M716" s="1"/>
      <c r="N716" s="1"/>
      <c r="O716" s="1"/>
      <c r="P716" s="1"/>
      <c r="Q716" s="1"/>
      <c r="R716" s="1"/>
      <c r="S716" s="1"/>
      <c r="T716" s="14"/>
      <c r="U716" s="14"/>
      <c r="V716" s="14"/>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row>
    <row r="717" spans="1:226" ht="14.25" customHeight="1" x14ac:dyDescent="0.25">
      <c r="A717" s="1"/>
      <c r="B717" s="1"/>
      <c r="C717" s="1"/>
      <c r="D717" s="1"/>
      <c r="E717" s="1"/>
      <c r="F717" s="1"/>
      <c r="G717" s="1"/>
      <c r="H717" s="1"/>
      <c r="I717" s="1"/>
      <c r="J717" s="1"/>
      <c r="K717" s="1"/>
      <c r="L717" s="1"/>
      <c r="M717" s="1"/>
      <c r="N717" s="1"/>
      <c r="O717" s="1"/>
      <c r="P717" s="1"/>
      <c r="Q717" s="1"/>
      <c r="R717" s="1"/>
      <c r="S717" s="1"/>
      <c r="T717" s="14"/>
      <c r="U717" s="14"/>
      <c r="V717" s="14"/>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row>
    <row r="718" spans="1:226" ht="14.25" customHeight="1" x14ac:dyDescent="0.25">
      <c r="A718" s="1"/>
      <c r="B718" s="1"/>
      <c r="C718" s="1"/>
      <c r="D718" s="1"/>
      <c r="E718" s="1"/>
      <c r="F718" s="1"/>
      <c r="G718" s="1"/>
      <c r="H718" s="1"/>
      <c r="I718" s="1"/>
      <c r="J718" s="1"/>
      <c r="K718" s="1"/>
      <c r="L718" s="1"/>
      <c r="M718" s="1"/>
      <c r="N718" s="1"/>
      <c r="O718" s="1"/>
      <c r="P718" s="1"/>
      <c r="Q718" s="1"/>
      <c r="R718" s="1"/>
      <c r="S718" s="1"/>
      <c r="T718" s="14"/>
      <c r="U718" s="14"/>
      <c r="V718" s="14"/>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row>
    <row r="719" spans="1:226" ht="14.25" customHeight="1" x14ac:dyDescent="0.25">
      <c r="A719" s="1"/>
      <c r="B719" s="1"/>
      <c r="C719" s="1"/>
      <c r="D719" s="1"/>
      <c r="E719" s="1"/>
      <c r="F719" s="1"/>
      <c r="G719" s="1"/>
      <c r="H719" s="1"/>
      <c r="I719" s="1"/>
      <c r="J719" s="1"/>
      <c r="K719" s="1"/>
      <c r="L719" s="1"/>
      <c r="M719" s="1"/>
      <c r="N719" s="1"/>
      <c r="O719" s="1"/>
      <c r="P719" s="1"/>
      <c r="Q719" s="1"/>
      <c r="R719" s="1"/>
      <c r="S719" s="1"/>
      <c r="T719" s="14"/>
      <c r="U719" s="14"/>
      <c r="V719" s="14"/>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row>
    <row r="720" spans="1:226" ht="14.25" customHeight="1" x14ac:dyDescent="0.25">
      <c r="A720" s="1"/>
      <c r="B720" s="1"/>
      <c r="C720" s="1"/>
      <c r="D720" s="1"/>
      <c r="E720" s="1"/>
      <c r="F720" s="1"/>
      <c r="G720" s="1"/>
      <c r="H720" s="1"/>
      <c r="I720" s="1"/>
      <c r="J720" s="1"/>
      <c r="K720" s="1"/>
      <c r="L720" s="1"/>
      <c r="M720" s="1"/>
      <c r="N720" s="1"/>
      <c r="O720" s="1"/>
      <c r="P720" s="1"/>
      <c r="Q720" s="1"/>
      <c r="R720" s="1"/>
      <c r="S720" s="1"/>
      <c r="T720" s="14"/>
      <c r="U720" s="14"/>
      <c r="V720" s="14"/>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row>
    <row r="721" spans="1:226" ht="14.25" customHeight="1" x14ac:dyDescent="0.25">
      <c r="A721" s="1"/>
      <c r="B721" s="1"/>
      <c r="C721" s="1"/>
      <c r="D721" s="1"/>
      <c r="E721" s="1"/>
      <c r="F721" s="1"/>
      <c r="G721" s="1"/>
      <c r="H721" s="1"/>
      <c r="I721" s="1"/>
      <c r="J721" s="1"/>
      <c r="K721" s="1"/>
      <c r="L721" s="1"/>
      <c r="M721" s="1"/>
      <c r="N721" s="1"/>
      <c r="O721" s="1"/>
      <c r="P721" s="1"/>
      <c r="Q721" s="1"/>
      <c r="R721" s="1"/>
      <c r="S721" s="1"/>
      <c r="T721" s="14"/>
      <c r="U721" s="14"/>
      <c r="V721" s="14"/>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row>
    <row r="722" spans="1:226" ht="14.25" customHeight="1" x14ac:dyDescent="0.25">
      <c r="A722" s="1"/>
      <c r="B722" s="1"/>
      <c r="C722" s="1"/>
      <c r="D722" s="1"/>
      <c r="E722" s="1"/>
      <c r="F722" s="1"/>
      <c r="G722" s="1"/>
      <c r="H722" s="1"/>
      <c r="I722" s="1"/>
      <c r="J722" s="1"/>
      <c r="K722" s="1"/>
      <c r="L722" s="1"/>
      <c r="M722" s="1"/>
      <c r="N722" s="1"/>
      <c r="O722" s="1"/>
      <c r="P722" s="1"/>
      <c r="Q722" s="1"/>
      <c r="R722" s="1"/>
      <c r="S722" s="1"/>
      <c r="T722" s="14"/>
      <c r="U722" s="14"/>
      <c r="V722" s="14"/>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row>
    <row r="723" spans="1:226" ht="14.25" customHeight="1" x14ac:dyDescent="0.25">
      <c r="A723" s="1"/>
      <c r="B723" s="1"/>
      <c r="C723" s="1"/>
      <c r="D723" s="1"/>
      <c r="E723" s="1"/>
      <c r="F723" s="1"/>
      <c r="G723" s="1"/>
      <c r="H723" s="1"/>
      <c r="I723" s="1"/>
      <c r="J723" s="1"/>
      <c r="K723" s="1"/>
      <c r="L723" s="1"/>
      <c r="M723" s="1"/>
      <c r="N723" s="1"/>
      <c r="O723" s="1"/>
      <c r="P723" s="1"/>
      <c r="Q723" s="1"/>
      <c r="R723" s="1"/>
      <c r="S723" s="1"/>
      <c r="T723" s="14"/>
      <c r="U723" s="14"/>
      <c r="V723" s="14"/>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row>
    <row r="724" spans="1:226" ht="14.25" customHeight="1" x14ac:dyDescent="0.25">
      <c r="A724" s="1"/>
      <c r="B724" s="1"/>
      <c r="C724" s="1"/>
      <c r="D724" s="1"/>
      <c r="E724" s="1"/>
      <c r="F724" s="1"/>
      <c r="G724" s="1"/>
      <c r="H724" s="1"/>
      <c r="I724" s="1"/>
      <c r="J724" s="1"/>
      <c r="K724" s="1"/>
      <c r="L724" s="1"/>
      <c r="M724" s="1"/>
      <c r="N724" s="1"/>
      <c r="O724" s="1"/>
      <c r="P724" s="1"/>
      <c r="Q724" s="1"/>
      <c r="R724" s="1"/>
      <c r="S724" s="1"/>
      <c r="T724" s="14"/>
      <c r="U724" s="14"/>
      <c r="V724" s="14"/>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row>
    <row r="725" spans="1:226" ht="14.25" customHeight="1" x14ac:dyDescent="0.25">
      <c r="A725" s="1"/>
      <c r="B725" s="1"/>
      <c r="C725" s="1"/>
      <c r="D725" s="1"/>
      <c r="E725" s="1"/>
      <c r="F725" s="1"/>
      <c r="G725" s="1"/>
      <c r="H725" s="1"/>
      <c r="I725" s="1"/>
      <c r="J725" s="1"/>
      <c r="K725" s="1"/>
      <c r="L725" s="1"/>
      <c r="M725" s="1"/>
      <c r="N725" s="1"/>
      <c r="O725" s="1"/>
      <c r="P725" s="1"/>
      <c r="Q725" s="1"/>
      <c r="R725" s="1"/>
      <c r="S725" s="1"/>
      <c r="T725" s="14"/>
      <c r="U725" s="14"/>
      <c r="V725" s="14"/>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row>
    <row r="726" spans="1:226" ht="14.25" customHeight="1" x14ac:dyDescent="0.25">
      <c r="A726" s="1"/>
      <c r="B726" s="1"/>
      <c r="C726" s="1"/>
      <c r="D726" s="1"/>
      <c r="E726" s="1"/>
      <c r="F726" s="1"/>
      <c r="G726" s="1"/>
      <c r="H726" s="1"/>
      <c r="I726" s="1"/>
      <c r="J726" s="1"/>
      <c r="K726" s="1"/>
      <c r="L726" s="1"/>
      <c r="M726" s="1"/>
      <c r="N726" s="1"/>
      <c r="O726" s="1"/>
      <c r="P726" s="1"/>
      <c r="Q726" s="1"/>
      <c r="R726" s="1"/>
      <c r="S726" s="1"/>
      <c r="T726" s="14"/>
      <c r="U726" s="14"/>
      <c r="V726" s="14"/>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row>
    <row r="727" spans="1:226" ht="14.25" customHeight="1" x14ac:dyDescent="0.25">
      <c r="A727" s="1"/>
      <c r="B727" s="1"/>
      <c r="C727" s="1"/>
      <c r="D727" s="1"/>
      <c r="E727" s="1"/>
      <c r="F727" s="1"/>
      <c r="G727" s="1"/>
      <c r="H727" s="1"/>
      <c r="I727" s="1"/>
      <c r="J727" s="1"/>
      <c r="K727" s="1"/>
      <c r="L727" s="1"/>
      <c r="M727" s="1"/>
      <c r="N727" s="1"/>
      <c r="O727" s="1"/>
      <c r="P727" s="1"/>
      <c r="Q727" s="1"/>
      <c r="R727" s="1"/>
      <c r="S727" s="1"/>
      <c r="T727" s="14"/>
      <c r="U727" s="14"/>
      <c r="V727" s="14"/>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row>
    <row r="728" spans="1:226" ht="14.25" customHeight="1" x14ac:dyDescent="0.25">
      <c r="A728" s="1"/>
      <c r="B728" s="1"/>
      <c r="C728" s="1"/>
      <c r="D728" s="1"/>
      <c r="E728" s="1"/>
      <c r="F728" s="1"/>
      <c r="G728" s="1"/>
      <c r="H728" s="1"/>
      <c r="I728" s="1"/>
      <c r="J728" s="1"/>
      <c r="K728" s="1"/>
      <c r="L728" s="1"/>
      <c r="M728" s="1"/>
      <c r="N728" s="1"/>
      <c r="O728" s="1"/>
      <c r="P728" s="1"/>
      <c r="Q728" s="1"/>
      <c r="R728" s="1"/>
      <c r="S728" s="1"/>
      <c r="T728" s="14"/>
      <c r="U728" s="14"/>
      <c r="V728" s="14"/>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row>
    <row r="729" spans="1:226" ht="14.25" customHeight="1" x14ac:dyDescent="0.25">
      <c r="A729" s="1"/>
      <c r="B729" s="1"/>
      <c r="C729" s="1"/>
      <c r="D729" s="1"/>
      <c r="E729" s="1"/>
      <c r="F729" s="1"/>
      <c r="G729" s="1"/>
      <c r="H729" s="1"/>
      <c r="I729" s="1"/>
      <c r="J729" s="1"/>
      <c r="K729" s="1"/>
      <c r="L729" s="1"/>
      <c r="M729" s="1"/>
      <c r="N729" s="1"/>
      <c r="O729" s="1"/>
      <c r="P729" s="1"/>
      <c r="Q729" s="1"/>
      <c r="R729" s="1"/>
      <c r="S729" s="1"/>
      <c r="T729" s="14"/>
      <c r="U729" s="14"/>
      <c r="V729" s="14"/>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row>
    <row r="730" spans="1:226" ht="14.25" customHeight="1" x14ac:dyDescent="0.25">
      <c r="A730" s="1"/>
      <c r="B730" s="1"/>
      <c r="C730" s="1"/>
      <c r="D730" s="1"/>
      <c r="E730" s="1"/>
      <c r="F730" s="1"/>
      <c r="G730" s="1"/>
      <c r="H730" s="1"/>
      <c r="I730" s="1"/>
      <c r="J730" s="1"/>
      <c r="K730" s="1"/>
      <c r="L730" s="1"/>
      <c r="M730" s="1"/>
      <c r="N730" s="1"/>
      <c r="O730" s="1"/>
      <c r="P730" s="1"/>
      <c r="Q730" s="1"/>
      <c r="R730" s="1"/>
      <c r="S730" s="1"/>
      <c r="T730" s="14"/>
      <c r="U730" s="14"/>
      <c r="V730" s="14"/>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row>
    <row r="731" spans="1:226" ht="14.25" customHeight="1" x14ac:dyDescent="0.25">
      <c r="A731" s="1"/>
      <c r="B731" s="1"/>
      <c r="C731" s="1"/>
      <c r="D731" s="1"/>
      <c r="E731" s="1"/>
      <c r="F731" s="1"/>
      <c r="G731" s="1"/>
      <c r="H731" s="1"/>
      <c r="I731" s="1"/>
      <c r="J731" s="1"/>
      <c r="K731" s="1"/>
      <c r="L731" s="1"/>
      <c r="M731" s="1"/>
      <c r="N731" s="1"/>
      <c r="O731" s="1"/>
      <c r="P731" s="1"/>
      <c r="Q731" s="1"/>
      <c r="R731" s="1"/>
      <c r="S731" s="1"/>
      <c r="T731" s="14"/>
      <c r="U731" s="14"/>
      <c r="V731" s="14"/>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row>
    <row r="732" spans="1:226" ht="14.25" customHeight="1" x14ac:dyDescent="0.25">
      <c r="A732" s="1"/>
      <c r="B732" s="1"/>
      <c r="C732" s="1"/>
      <c r="D732" s="1"/>
      <c r="E732" s="1"/>
      <c r="F732" s="1"/>
      <c r="G732" s="1"/>
      <c r="H732" s="1"/>
      <c r="I732" s="1"/>
      <c r="J732" s="1"/>
      <c r="K732" s="1"/>
      <c r="L732" s="1"/>
      <c r="M732" s="1"/>
      <c r="N732" s="1"/>
      <c r="O732" s="1"/>
      <c r="P732" s="1"/>
      <c r="Q732" s="1"/>
      <c r="R732" s="1"/>
      <c r="S732" s="1"/>
      <c r="T732" s="14"/>
      <c r="U732" s="14"/>
      <c r="V732" s="14"/>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row>
    <row r="733" spans="1:226" ht="14.25" customHeight="1" x14ac:dyDescent="0.25">
      <c r="A733" s="1"/>
      <c r="B733" s="1"/>
      <c r="C733" s="1"/>
      <c r="D733" s="1"/>
      <c r="E733" s="1"/>
      <c r="F733" s="1"/>
      <c r="G733" s="1"/>
      <c r="H733" s="1"/>
      <c r="I733" s="1"/>
      <c r="J733" s="1"/>
      <c r="K733" s="1"/>
      <c r="L733" s="1"/>
      <c r="M733" s="1"/>
      <c r="N733" s="1"/>
      <c r="O733" s="1"/>
      <c r="P733" s="1"/>
      <c r="Q733" s="1"/>
      <c r="R733" s="1"/>
      <c r="S733" s="1"/>
      <c r="T733" s="14"/>
      <c r="U733" s="14"/>
      <c r="V733" s="14"/>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row>
    <row r="734" spans="1:226" ht="14.25" customHeight="1" x14ac:dyDescent="0.25">
      <c r="A734" s="1"/>
      <c r="B734" s="1"/>
      <c r="C734" s="1"/>
      <c r="D734" s="1"/>
      <c r="E734" s="1"/>
      <c r="F734" s="1"/>
      <c r="G734" s="1"/>
      <c r="H734" s="1"/>
      <c r="I734" s="1"/>
      <c r="J734" s="1"/>
      <c r="K734" s="1"/>
      <c r="L734" s="1"/>
      <c r="M734" s="1"/>
      <c r="N734" s="1"/>
      <c r="O734" s="1"/>
      <c r="P734" s="1"/>
      <c r="Q734" s="1"/>
      <c r="R734" s="1"/>
      <c r="S734" s="1"/>
      <c r="T734" s="14"/>
      <c r="U734" s="14"/>
      <c r="V734" s="14"/>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row>
    <row r="735" spans="1:226" ht="14.25" customHeight="1" x14ac:dyDescent="0.25">
      <c r="A735" s="1"/>
      <c r="B735" s="1"/>
      <c r="C735" s="1"/>
      <c r="D735" s="1"/>
      <c r="E735" s="1"/>
      <c r="F735" s="1"/>
      <c r="G735" s="1"/>
      <c r="H735" s="1"/>
      <c r="I735" s="1"/>
      <c r="J735" s="1"/>
      <c r="K735" s="1"/>
      <c r="L735" s="1"/>
      <c r="M735" s="1"/>
      <c r="N735" s="1"/>
      <c r="O735" s="1"/>
      <c r="P735" s="1"/>
      <c r="Q735" s="1"/>
      <c r="R735" s="1"/>
      <c r="S735" s="1"/>
      <c r="T735" s="14"/>
      <c r="U735" s="14"/>
      <c r="V735" s="14"/>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row>
    <row r="736" spans="1:226" ht="14.25" customHeight="1" x14ac:dyDescent="0.25">
      <c r="A736" s="1"/>
      <c r="B736" s="1"/>
      <c r="C736" s="1"/>
      <c r="D736" s="1"/>
      <c r="E736" s="1"/>
      <c r="F736" s="1"/>
      <c r="G736" s="1"/>
      <c r="H736" s="1"/>
      <c r="I736" s="1"/>
      <c r="J736" s="1"/>
      <c r="K736" s="1"/>
      <c r="L736" s="1"/>
      <c r="M736" s="1"/>
      <c r="N736" s="1"/>
      <c r="O736" s="1"/>
      <c r="P736" s="1"/>
      <c r="Q736" s="1"/>
      <c r="R736" s="1"/>
      <c r="S736" s="1"/>
      <c r="T736" s="14"/>
      <c r="U736" s="14"/>
      <c r="V736" s="14"/>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row>
    <row r="737" spans="1:226" ht="14.25" customHeight="1" x14ac:dyDescent="0.25">
      <c r="A737" s="1"/>
      <c r="B737" s="1"/>
      <c r="C737" s="1"/>
      <c r="D737" s="1"/>
      <c r="E737" s="1"/>
      <c r="F737" s="1"/>
      <c r="G737" s="1"/>
      <c r="H737" s="1"/>
      <c r="I737" s="1"/>
      <c r="J737" s="1"/>
      <c r="K737" s="1"/>
      <c r="L737" s="1"/>
      <c r="M737" s="1"/>
      <c r="N737" s="1"/>
      <c r="O737" s="1"/>
      <c r="P737" s="1"/>
      <c r="Q737" s="1"/>
      <c r="R737" s="1"/>
      <c r="S737" s="1"/>
      <c r="T737" s="14"/>
      <c r="U737" s="14"/>
      <c r="V737" s="14"/>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row>
    <row r="738" spans="1:226" ht="14.25" customHeight="1" x14ac:dyDescent="0.25">
      <c r="A738" s="1"/>
      <c r="B738" s="1"/>
      <c r="C738" s="1"/>
      <c r="D738" s="1"/>
      <c r="E738" s="1"/>
      <c r="F738" s="1"/>
      <c r="G738" s="1"/>
      <c r="H738" s="1"/>
      <c r="I738" s="1"/>
      <c r="J738" s="1"/>
      <c r="K738" s="1"/>
      <c r="L738" s="1"/>
      <c r="M738" s="1"/>
      <c r="N738" s="1"/>
      <c r="O738" s="1"/>
      <c r="P738" s="1"/>
      <c r="Q738" s="1"/>
      <c r="R738" s="1"/>
      <c r="S738" s="1"/>
      <c r="T738" s="14"/>
      <c r="U738" s="14"/>
      <c r="V738" s="14"/>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row>
    <row r="739" spans="1:226" ht="14.25" customHeight="1" x14ac:dyDescent="0.25">
      <c r="A739" s="1"/>
      <c r="B739" s="1"/>
      <c r="C739" s="1"/>
      <c r="D739" s="1"/>
      <c r="E739" s="1"/>
      <c r="F739" s="1"/>
      <c r="G739" s="1"/>
      <c r="H739" s="1"/>
      <c r="I739" s="1"/>
      <c r="J739" s="1"/>
      <c r="K739" s="1"/>
      <c r="L739" s="1"/>
      <c r="M739" s="1"/>
      <c r="N739" s="1"/>
      <c r="O739" s="1"/>
      <c r="P739" s="1"/>
      <c r="Q739" s="1"/>
      <c r="R739" s="1"/>
      <c r="S739" s="1"/>
      <c r="T739" s="14"/>
      <c r="U739" s="14"/>
      <c r="V739" s="14"/>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row>
    <row r="740" spans="1:226" ht="14.25" customHeight="1" x14ac:dyDescent="0.25">
      <c r="A740" s="1"/>
      <c r="B740" s="1"/>
      <c r="C740" s="1"/>
      <c r="D740" s="1"/>
      <c r="E740" s="1"/>
      <c r="F740" s="1"/>
      <c r="G740" s="1"/>
      <c r="H740" s="1"/>
      <c r="I740" s="1"/>
      <c r="J740" s="1"/>
      <c r="K740" s="1"/>
      <c r="L740" s="1"/>
      <c r="M740" s="1"/>
      <c r="N740" s="1"/>
      <c r="O740" s="1"/>
      <c r="P740" s="1"/>
      <c r="Q740" s="1"/>
      <c r="R740" s="1"/>
      <c r="S740" s="1"/>
      <c r="T740" s="14"/>
      <c r="U740" s="14"/>
      <c r="V740" s="14"/>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row>
    <row r="741" spans="1:226" ht="14.25" customHeight="1" x14ac:dyDescent="0.25">
      <c r="A741" s="1"/>
      <c r="B741" s="1"/>
      <c r="C741" s="1"/>
      <c r="D741" s="1"/>
      <c r="E741" s="1"/>
      <c r="F741" s="1"/>
      <c r="G741" s="1"/>
      <c r="H741" s="1"/>
      <c r="I741" s="1"/>
      <c r="J741" s="1"/>
      <c r="K741" s="1"/>
      <c r="L741" s="1"/>
      <c r="M741" s="1"/>
      <c r="N741" s="1"/>
      <c r="O741" s="1"/>
      <c r="P741" s="1"/>
      <c r="Q741" s="1"/>
      <c r="R741" s="1"/>
      <c r="S741" s="1"/>
      <c r="T741" s="14"/>
      <c r="U741" s="14"/>
      <c r="V741" s="14"/>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row>
    <row r="742" spans="1:226" ht="14.25" customHeight="1" x14ac:dyDescent="0.25">
      <c r="A742" s="1"/>
      <c r="B742" s="1"/>
      <c r="C742" s="1"/>
      <c r="D742" s="1"/>
      <c r="E742" s="1"/>
      <c r="F742" s="1"/>
      <c r="G742" s="1"/>
      <c r="H742" s="1"/>
      <c r="I742" s="1"/>
      <c r="J742" s="1"/>
      <c r="K742" s="1"/>
      <c r="L742" s="1"/>
      <c r="M742" s="1"/>
      <c r="N742" s="1"/>
      <c r="O742" s="1"/>
      <c r="P742" s="1"/>
      <c r="Q742" s="1"/>
      <c r="R742" s="1"/>
      <c r="S742" s="1"/>
      <c r="T742" s="14"/>
      <c r="U742" s="14"/>
      <c r="V742" s="14"/>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row>
    <row r="743" spans="1:226" ht="14.25" customHeight="1" x14ac:dyDescent="0.25">
      <c r="A743" s="1"/>
      <c r="B743" s="1"/>
      <c r="C743" s="1"/>
      <c r="D743" s="1"/>
      <c r="E743" s="1"/>
      <c r="F743" s="1"/>
      <c r="G743" s="1"/>
      <c r="H743" s="1"/>
      <c r="I743" s="1"/>
      <c r="J743" s="1"/>
      <c r="K743" s="1"/>
      <c r="L743" s="1"/>
      <c r="M743" s="1"/>
      <c r="N743" s="1"/>
      <c r="O743" s="1"/>
      <c r="P743" s="1"/>
      <c r="Q743" s="1"/>
      <c r="R743" s="1"/>
      <c r="S743" s="1"/>
      <c r="T743" s="14"/>
      <c r="U743" s="14"/>
      <c r="V743" s="14"/>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row>
    <row r="744" spans="1:226" ht="14.25" customHeight="1" x14ac:dyDescent="0.25">
      <c r="A744" s="1"/>
      <c r="B744" s="1"/>
      <c r="C744" s="1"/>
      <c r="D744" s="1"/>
      <c r="E744" s="1"/>
      <c r="F744" s="1"/>
      <c r="G744" s="1"/>
      <c r="H744" s="1"/>
      <c r="I744" s="1"/>
      <c r="J744" s="1"/>
      <c r="K744" s="1"/>
      <c r="L744" s="1"/>
      <c r="M744" s="1"/>
      <c r="N744" s="1"/>
      <c r="O744" s="1"/>
      <c r="P744" s="1"/>
      <c r="Q744" s="1"/>
      <c r="R744" s="1"/>
      <c r="S744" s="1"/>
      <c r="T744" s="14"/>
      <c r="U744" s="14"/>
      <c r="V744" s="14"/>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row>
    <row r="745" spans="1:226" ht="14.25" customHeight="1" x14ac:dyDescent="0.25">
      <c r="A745" s="1"/>
      <c r="B745" s="1"/>
      <c r="C745" s="1"/>
      <c r="D745" s="1"/>
      <c r="E745" s="1"/>
      <c r="F745" s="1"/>
      <c r="G745" s="1"/>
      <c r="H745" s="1"/>
      <c r="I745" s="1"/>
      <c r="J745" s="1"/>
      <c r="K745" s="1"/>
      <c r="L745" s="1"/>
      <c r="M745" s="1"/>
      <c r="N745" s="1"/>
      <c r="O745" s="1"/>
      <c r="P745" s="1"/>
      <c r="Q745" s="1"/>
      <c r="R745" s="1"/>
      <c r="S745" s="1"/>
      <c r="T745" s="14"/>
      <c r="U745" s="14"/>
      <c r="V745" s="14"/>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row>
    <row r="746" spans="1:226" ht="14.25" customHeight="1" x14ac:dyDescent="0.25">
      <c r="A746" s="1"/>
      <c r="B746" s="1"/>
      <c r="C746" s="1"/>
      <c r="D746" s="1"/>
      <c r="E746" s="1"/>
      <c r="F746" s="1"/>
      <c r="G746" s="1"/>
      <c r="H746" s="1"/>
      <c r="I746" s="1"/>
      <c r="J746" s="1"/>
      <c r="K746" s="1"/>
      <c r="L746" s="1"/>
      <c r="M746" s="1"/>
      <c r="N746" s="1"/>
      <c r="O746" s="1"/>
      <c r="P746" s="1"/>
      <c r="Q746" s="1"/>
      <c r="R746" s="1"/>
      <c r="S746" s="1"/>
      <c r="T746" s="14"/>
      <c r="U746" s="14"/>
      <c r="V746" s="14"/>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row>
    <row r="747" spans="1:226" ht="14.25" customHeight="1" x14ac:dyDescent="0.25">
      <c r="A747" s="1"/>
      <c r="B747" s="1"/>
      <c r="C747" s="1"/>
      <c r="D747" s="1"/>
      <c r="E747" s="1"/>
      <c r="F747" s="1"/>
      <c r="G747" s="1"/>
      <c r="H747" s="1"/>
      <c r="I747" s="1"/>
      <c r="J747" s="1"/>
      <c r="K747" s="1"/>
      <c r="L747" s="1"/>
      <c r="M747" s="1"/>
      <c r="N747" s="1"/>
      <c r="O747" s="1"/>
      <c r="P747" s="1"/>
      <c r="Q747" s="1"/>
      <c r="R747" s="1"/>
      <c r="S747" s="1"/>
      <c r="T747" s="14"/>
      <c r="U747" s="14"/>
      <c r="V747" s="14"/>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row>
    <row r="748" spans="1:226" ht="14.25" customHeight="1" x14ac:dyDescent="0.25">
      <c r="A748" s="1"/>
      <c r="B748" s="1"/>
      <c r="C748" s="1"/>
      <c r="D748" s="1"/>
      <c r="E748" s="1"/>
      <c r="F748" s="1"/>
      <c r="G748" s="1"/>
      <c r="H748" s="1"/>
      <c r="I748" s="1"/>
      <c r="J748" s="1"/>
      <c r="K748" s="1"/>
      <c r="L748" s="1"/>
      <c r="M748" s="1"/>
      <c r="N748" s="1"/>
      <c r="O748" s="1"/>
      <c r="P748" s="1"/>
      <c r="Q748" s="1"/>
      <c r="R748" s="1"/>
      <c r="S748" s="1"/>
      <c r="T748" s="14"/>
      <c r="U748" s="14"/>
      <c r="V748" s="14"/>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row>
    <row r="749" spans="1:226" ht="14.25" customHeight="1" x14ac:dyDescent="0.25">
      <c r="A749" s="1"/>
      <c r="B749" s="1"/>
      <c r="C749" s="1"/>
      <c r="D749" s="1"/>
      <c r="E749" s="1"/>
      <c r="F749" s="1"/>
      <c r="G749" s="1"/>
      <c r="H749" s="1"/>
      <c r="I749" s="1"/>
      <c r="J749" s="1"/>
      <c r="K749" s="1"/>
      <c r="L749" s="1"/>
      <c r="M749" s="1"/>
      <c r="N749" s="1"/>
      <c r="O749" s="1"/>
      <c r="P749" s="1"/>
      <c r="Q749" s="1"/>
      <c r="R749" s="1"/>
      <c r="S749" s="1"/>
      <c r="T749" s="14"/>
      <c r="U749" s="14"/>
      <c r="V749" s="14"/>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row>
    <row r="750" spans="1:226" ht="14.25" customHeight="1" x14ac:dyDescent="0.25">
      <c r="A750" s="1"/>
      <c r="B750" s="1"/>
      <c r="C750" s="1"/>
      <c r="D750" s="1"/>
      <c r="E750" s="1"/>
      <c r="F750" s="1"/>
      <c r="G750" s="1"/>
      <c r="H750" s="1"/>
      <c r="I750" s="1"/>
      <c r="J750" s="1"/>
      <c r="K750" s="1"/>
      <c r="L750" s="1"/>
      <c r="M750" s="1"/>
      <c r="N750" s="1"/>
      <c r="O750" s="1"/>
      <c r="P750" s="1"/>
      <c r="Q750" s="1"/>
      <c r="R750" s="1"/>
      <c r="S750" s="1"/>
      <c r="T750" s="14"/>
      <c r="U750" s="14"/>
      <c r="V750" s="14"/>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row>
    <row r="751" spans="1:226" ht="14.25" customHeight="1" x14ac:dyDescent="0.25">
      <c r="A751" s="1"/>
      <c r="B751" s="1"/>
      <c r="C751" s="1"/>
      <c r="D751" s="1"/>
      <c r="E751" s="1"/>
      <c r="F751" s="1"/>
      <c r="G751" s="1"/>
      <c r="H751" s="1"/>
      <c r="I751" s="1"/>
      <c r="J751" s="1"/>
      <c r="K751" s="1"/>
      <c r="L751" s="1"/>
      <c r="M751" s="1"/>
      <c r="N751" s="1"/>
      <c r="O751" s="1"/>
      <c r="P751" s="1"/>
      <c r="Q751" s="1"/>
      <c r="R751" s="1"/>
      <c r="S751" s="1"/>
      <c r="T751" s="14"/>
      <c r="U751" s="14"/>
      <c r="V751" s="14"/>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row>
    <row r="752" spans="1:226" ht="14.25" customHeight="1" x14ac:dyDescent="0.25">
      <c r="A752" s="1"/>
      <c r="B752" s="1"/>
      <c r="C752" s="1"/>
      <c r="D752" s="1"/>
      <c r="E752" s="1"/>
      <c r="F752" s="1"/>
      <c r="G752" s="1"/>
      <c r="H752" s="1"/>
      <c r="I752" s="1"/>
      <c r="J752" s="1"/>
      <c r="K752" s="1"/>
      <c r="L752" s="1"/>
      <c r="M752" s="1"/>
      <c r="N752" s="1"/>
      <c r="O752" s="1"/>
      <c r="P752" s="1"/>
      <c r="Q752" s="1"/>
      <c r="R752" s="1"/>
      <c r="S752" s="1"/>
      <c r="T752" s="14"/>
      <c r="U752" s="14"/>
      <c r="V752" s="14"/>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row>
    <row r="753" spans="1:226" ht="14.25" customHeight="1" x14ac:dyDescent="0.25">
      <c r="A753" s="1"/>
      <c r="B753" s="1"/>
      <c r="C753" s="1"/>
      <c r="D753" s="1"/>
      <c r="E753" s="1"/>
      <c r="F753" s="1"/>
      <c r="G753" s="1"/>
      <c r="H753" s="1"/>
      <c r="I753" s="1"/>
      <c r="J753" s="1"/>
      <c r="K753" s="1"/>
      <c r="L753" s="1"/>
      <c r="M753" s="1"/>
      <c r="N753" s="1"/>
      <c r="O753" s="1"/>
      <c r="P753" s="1"/>
      <c r="Q753" s="1"/>
      <c r="R753" s="1"/>
      <c r="S753" s="1"/>
      <c r="T753" s="14"/>
      <c r="U753" s="14"/>
      <c r="V753" s="14"/>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row>
    <row r="754" spans="1:226" ht="14.25" customHeight="1" x14ac:dyDescent="0.25">
      <c r="A754" s="1"/>
      <c r="B754" s="1"/>
      <c r="C754" s="1"/>
      <c r="D754" s="1"/>
      <c r="E754" s="1"/>
      <c r="F754" s="1"/>
      <c r="G754" s="1"/>
      <c r="H754" s="1"/>
      <c r="I754" s="1"/>
      <c r="J754" s="1"/>
      <c r="K754" s="1"/>
      <c r="L754" s="1"/>
      <c r="M754" s="1"/>
      <c r="N754" s="1"/>
      <c r="O754" s="1"/>
      <c r="P754" s="1"/>
      <c r="Q754" s="1"/>
      <c r="R754" s="1"/>
      <c r="S754" s="1"/>
      <c r="T754" s="14"/>
      <c r="U754" s="14"/>
      <c r="V754" s="14"/>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row>
    <row r="755" spans="1:226" ht="14.25" customHeight="1" x14ac:dyDescent="0.25">
      <c r="A755" s="1"/>
      <c r="B755" s="1"/>
      <c r="C755" s="1"/>
      <c r="D755" s="1"/>
      <c r="E755" s="1"/>
      <c r="F755" s="1"/>
      <c r="G755" s="1"/>
      <c r="H755" s="1"/>
      <c r="I755" s="1"/>
      <c r="J755" s="1"/>
      <c r="K755" s="1"/>
      <c r="L755" s="1"/>
      <c r="M755" s="1"/>
      <c r="N755" s="1"/>
      <c r="O755" s="1"/>
      <c r="P755" s="1"/>
      <c r="Q755" s="1"/>
      <c r="R755" s="1"/>
      <c r="S755" s="1"/>
      <c r="T755" s="14"/>
      <c r="U755" s="14"/>
      <c r="V755" s="14"/>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row>
    <row r="756" spans="1:226" ht="14.25" customHeight="1" x14ac:dyDescent="0.25">
      <c r="A756" s="1"/>
      <c r="B756" s="1"/>
      <c r="C756" s="1"/>
      <c r="D756" s="1"/>
      <c r="E756" s="1"/>
      <c r="F756" s="1"/>
      <c r="G756" s="1"/>
      <c r="H756" s="1"/>
      <c r="I756" s="1"/>
      <c r="J756" s="1"/>
      <c r="K756" s="1"/>
      <c r="L756" s="1"/>
      <c r="M756" s="1"/>
      <c r="N756" s="1"/>
      <c r="O756" s="1"/>
      <c r="P756" s="1"/>
      <c r="Q756" s="1"/>
      <c r="R756" s="1"/>
      <c r="S756" s="1"/>
      <c r="T756" s="14"/>
      <c r="U756" s="14"/>
      <c r="V756" s="14"/>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row>
    <row r="757" spans="1:226" ht="14.25" customHeight="1" x14ac:dyDescent="0.25">
      <c r="A757" s="1"/>
      <c r="B757" s="1"/>
      <c r="C757" s="1"/>
      <c r="D757" s="1"/>
      <c r="E757" s="1"/>
      <c r="F757" s="1"/>
      <c r="G757" s="1"/>
      <c r="H757" s="1"/>
      <c r="I757" s="1"/>
      <c r="J757" s="1"/>
      <c r="K757" s="1"/>
      <c r="L757" s="1"/>
      <c r="M757" s="1"/>
      <c r="N757" s="1"/>
      <c r="O757" s="1"/>
      <c r="P757" s="1"/>
      <c r="Q757" s="1"/>
      <c r="R757" s="1"/>
      <c r="S757" s="1"/>
      <c r="T757" s="14"/>
      <c r="U757" s="14"/>
      <c r="V757" s="14"/>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row>
    <row r="758" spans="1:226" ht="14.25" customHeight="1" x14ac:dyDescent="0.25">
      <c r="A758" s="1"/>
      <c r="B758" s="1"/>
      <c r="C758" s="1"/>
      <c r="D758" s="1"/>
      <c r="E758" s="1"/>
      <c r="F758" s="1"/>
      <c r="G758" s="1"/>
      <c r="H758" s="1"/>
      <c r="I758" s="1"/>
      <c r="J758" s="1"/>
      <c r="K758" s="1"/>
      <c r="L758" s="1"/>
      <c r="M758" s="1"/>
      <c r="N758" s="1"/>
      <c r="O758" s="1"/>
      <c r="P758" s="1"/>
      <c r="Q758" s="1"/>
      <c r="R758" s="1"/>
      <c r="S758" s="1"/>
      <c r="T758" s="14"/>
      <c r="U758" s="14"/>
      <c r="V758" s="14"/>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row>
    <row r="759" spans="1:226" ht="14.25" customHeight="1" x14ac:dyDescent="0.25">
      <c r="A759" s="1"/>
      <c r="B759" s="1"/>
      <c r="C759" s="1"/>
      <c r="D759" s="1"/>
      <c r="E759" s="1"/>
      <c r="F759" s="1"/>
      <c r="G759" s="1"/>
      <c r="H759" s="1"/>
      <c r="I759" s="1"/>
      <c r="J759" s="1"/>
      <c r="K759" s="1"/>
      <c r="L759" s="1"/>
      <c r="M759" s="1"/>
      <c r="N759" s="1"/>
      <c r="O759" s="1"/>
      <c r="P759" s="1"/>
      <c r="Q759" s="1"/>
      <c r="R759" s="1"/>
      <c r="S759" s="1"/>
      <c r="T759" s="14"/>
      <c r="U759" s="14"/>
      <c r="V759" s="14"/>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row>
    <row r="760" spans="1:226" ht="14.25" customHeight="1" x14ac:dyDescent="0.25">
      <c r="A760" s="1"/>
      <c r="B760" s="1"/>
      <c r="C760" s="1"/>
      <c r="D760" s="1"/>
      <c r="E760" s="1"/>
      <c r="F760" s="1"/>
      <c r="G760" s="1"/>
      <c r="H760" s="1"/>
      <c r="I760" s="1"/>
      <c r="J760" s="1"/>
      <c r="K760" s="1"/>
      <c r="L760" s="1"/>
      <c r="M760" s="1"/>
      <c r="N760" s="1"/>
      <c r="O760" s="1"/>
      <c r="P760" s="1"/>
      <c r="Q760" s="1"/>
      <c r="R760" s="1"/>
      <c r="S760" s="1"/>
      <c r="T760" s="14"/>
      <c r="U760" s="14"/>
      <c r="V760" s="14"/>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row>
    <row r="761" spans="1:226" ht="14.25" customHeight="1" x14ac:dyDescent="0.25">
      <c r="A761" s="1"/>
      <c r="B761" s="1"/>
      <c r="C761" s="1"/>
      <c r="D761" s="1"/>
      <c r="E761" s="1"/>
      <c r="F761" s="1"/>
      <c r="G761" s="1"/>
      <c r="H761" s="1"/>
      <c r="I761" s="1"/>
      <c r="J761" s="1"/>
      <c r="K761" s="1"/>
      <c r="L761" s="1"/>
      <c r="M761" s="1"/>
      <c r="N761" s="1"/>
      <c r="O761" s="1"/>
      <c r="P761" s="1"/>
      <c r="Q761" s="1"/>
      <c r="R761" s="1"/>
      <c r="S761" s="1"/>
      <c r="T761" s="14"/>
      <c r="U761" s="14"/>
      <c r="V761" s="14"/>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row>
    <row r="762" spans="1:226" ht="14.25" customHeight="1" x14ac:dyDescent="0.25">
      <c r="A762" s="1"/>
      <c r="B762" s="1"/>
      <c r="C762" s="1"/>
      <c r="D762" s="1"/>
      <c r="E762" s="1"/>
      <c r="F762" s="1"/>
      <c r="G762" s="1"/>
      <c r="H762" s="1"/>
      <c r="I762" s="1"/>
      <c r="J762" s="1"/>
      <c r="K762" s="1"/>
      <c r="L762" s="1"/>
      <c r="M762" s="1"/>
      <c r="N762" s="1"/>
      <c r="O762" s="1"/>
      <c r="P762" s="1"/>
      <c r="Q762" s="1"/>
      <c r="R762" s="1"/>
      <c r="S762" s="1"/>
      <c r="T762" s="14"/>
      <c r="U762" s="14"/>
      <c r="V762" s="14"/>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row>
    <row r="763" spans="1:226" ht="14.25" customHeight="1" x14ac:dyDescent="0.25">
      <c r="A763" s="1"/>
      <c r="B763" s="1"/>
      <c r="C763" s="1"/>
      <c r="D763" s="1"/>
      <c r="E763" s="1"/>
      <c r="F763" s="1"/>
      <c r="G763" s="1"/>
      <c r="H763" s="1"/>
      <c r="I763" s="1"/>
      <c r="J763" s="1"/>
      <c r="K763" s="1"/>
      <c r="L763" s="1"/>
      <c r="M763" s="1"/>
      <c r="N763" s="1"/>
      <c r="O763" s="1"/>
      <c r="P763" s="1"/>
      <c r="Q763" s="1"/>
      <c r="R763" s="1"/>
      <c r="S763" s="1"/>
      <c r="T763" s="14"/>
      <c r="U763" s="14"/>
      <c r="V763" s="14"/>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row>
    <row r="764" spans="1:226" ht="14.25" customHeight="1" x14ac:dyDescent="0.25">
      <c r="A764" s="1"/>
      <c r="B764" s="1"/>
      <c r="C764" s="1"/>
      <c r="D764" s="1"/>
      <c r="E764" s="1"/>
      <c r="F764" s="1"/>
      <c r="G764" s="1"/>
      <c r="H764" s="1"/>
      <c r="I764" s="1"/>
      <c r="J764" s="1"/>
      <c r="K764" s="1"/>
      <c r="L764" s="1"/>
      <c r="M764" s="1"/>
      <c r="N764" s="1"/>
      <c r="O764" s="1"/>
      <c r="P764" s="1"/>
      <c r="Q764" s="1"/>
      <c r="R764" s="1"/>
      <c r="S764" s="1"/>
      <c r="T764" s="14"/>
      <c r="U764" s="14"/>
      <c r="V764" s="14"/>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row>
    <row r="765" spans="1:226" ht="14.25" customHeight="1" x14ac:dyDescent="0.25">
      <c r="A765" s="1"/>
      <c r="B765" s="1"/>
      <c r="C765" s="1"/>
      <c r="D765" s="1"/>
      <c r="E765" s="1"/>
      <c r="F765" s="1"/>
      <c r="G765" s="1"/>
      <c r="H765" s="1"/>
      <c r="I765" s="1"/>
      <c r="J765" s="1"/>
      <c r="K765" s="1"/>
      <c r="L765" s="1"/>
      <c r="M765" s="1"/>
      <c r="N765" s="1"/>
      <c r="O765" s="1"/>
      <c r="P765" s="1"/>
      <c r="Q765" s="1"/>
      <c r="R765" s="1"/>
      <c r="S765" s="1"/>
      <c r="T765" s="14"/>
      <c r="U765" s="14"/>
      <c r="V765" s="14"/>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row>
    <row r="766" spans="1:226" ht="14.25" customHeight="1" x14ac:dyDescent="0.25">
      <c r="A766" s="1"/>
      <c r="B766" s="1"/>
      <c r="C766" s="1"/>
      <c r="D766" s="1"/>
      <c r="E766" s="1"/>
      <c r="F766" s="1"/>
      <c r="G766" s="1"/>
      <c r="H766" s="1"/>
      <c r="I766" s="1"/>
      <c r="J766" s="1"/>
      <c r="K766" s="1"/>
      <c r="L766" s="1"/>
      <c r="M766" s="1"/>
      <c r="N766" s="1"/>
      <c r="O766" s="1"/>
      <c r="P766" s="1"/>
      <c r="Q766" s="1"/>
      <c r="R766" s="1"/>
      <c r="S766" s="1"/>
      <c r="T766" s="14"/>
      <c r="U766" s="14"/>
      <c r="V766" s="14"/>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row>
    <row r="767" spans="1:226" ht="14.25" customHeight="1" x14ac:dyDescent="0.25">
      <c r="A767" s="1"/>
      <c r="B767" s="1"/>
      <c r="C767" s="1"/>
      <c r="D767" s="1"/>
      <c r="E767" s="1"/>
      <c r="F767" s="1"/>
      <c r="G767" s="1"/>
      <c r="H767" s="1"/>
      <c r="I767" s="1"/>
      <c r="J767" s="1"/>
      <c r="K767" s="1"/>
      <c r="L767" s="1"/>
      <c r="M767" s="1"/>
      <c r="N767" s="1"/>
      <c r="O767" s="1"/>
      <c r="P767" s="1"/>
      <c r="Q767" s="1"/>
      <c r="R767" s="1"/>
      <c r="S767" s="1"/>
      <c r="T767" s="14"/>
      <c r="U767" s="14"/>
      <c r="V767" s="14"/>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row>
    <row r="768" spans="1:226" ht="14.25" customHeight="1" x14ac:dyDescent="0.25">
      <c r="A768" s="1"/>
      <c r="B768" s="1"/>
      <c r="C768" s="1"/>
      <c r="D768" s="1"/>
      <c r="E768" s="1"/>
      <c r="F768" s="1"/>
      <c r="G768" s="1"/>
      <c r="H768" s="1"/>
      <c r="I768" s="1"/>
      <c r="J768" s="1"/>
      <c r="K768" s="1"/>
      <c r="L768" s="1"/>
      <c r="M768" s="1"/>
      <c r="N768" s="1"/>
      <c r="O768" s="1"/>
      <c r="P768" s="1"/>
      <c r="Q768" s="1"/>
      <c r="R768" s="1"/>
      <c r="S768" s="1"/>
      <c r="T768" s="14"/>
      <c r="U768" s="14"/>
      <c r="V768" s="14"/>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row>
    <row r="769" spans="1:226" ht="14.25" customHeight="1" x14ac:dyDescent="0.25">
      <c r="A769" s="1"/>
      <c r="B769" s="1"/>
      <c r="C769" s="1"/>
      <c r="D769" s="1"/>
      <c r="E769" s="1"/>
      <c r="F769" s="1"/>
      <c r="G769" s="1"/>
      <c r="H769" s="1"/>
      <c r="I769" s="1"/>
      <c r="J769" s="1"/>
      <c r="K769" s="1"/>
      <c r="L769" s="1"/>
      <c r="M769" s="1"/>
      <c r="N769" s="1"/>
      <c r="O769" s="1"/>
      <c r="P769" s="1"/>
      <c r="Q769" s="1"/>
      <c r="R769" s="1"/>
      <c r="S769" s="1"/>
      <c r="T769" s="14"/>
      <c r="U769" s="14"/>
      <c r="V769" s="14"/>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row>
    <row r="770" spans="1:226" ht="14.25" customHeight="1" x14ac:dyDescent="0.25">
      <c r="A770" s="1"/>
      <c r="B770" s="1"/>
      <c r="C770" s="1"/>
      <c r="D770" s="1"/>
      <c r="E770" s="1"/>
      <c r="F770" s="1"/>
      <c r="G770" s="1"/>
      <c r="H770" s="1"/>
      <c r="I770" s="1"/>
      <c r="J770" s="1"/>
      <c r="K770" s="1"/>
      <c r="L770" s="1"/>
      <c r="M770" s="1"/>
      <c r="N770" s="1"/>
      <c r="O770" s="1"/>
      <c r="P770" s="1"/>
      <c r="Q770" s="1"/>
      <c r="R770" s="1"/>
      <c r="S770" s="1"/>
      <c r="T770" s="14"/>
      <c r="U770" s="14"/>
      <c r="V770" s="14"/>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row>
    <row r="771" spans="1:226" ht="14.25" customHeight="1" x14ac:dyDescent="0.25">
      <c r="A771" s="1"/>
      <c r="B771" s="1"/>
      <c r="C771" s="1"/>
      <c r="D771" s="1"/>
      <c r="E771" s="1"/>
      <c r="F771" s="1"/>
      <c r="G771" s="1"/>
      <c r="H771" s="1"/>
      <c r="I771" s="1"/>
      <c r="J771" s="1"/>
      <c r="K771" s="1"/>
      <c r="L771" s="1"/>
      <c r="M771" s="1"/>
      <c r="N771" s="1"/>
      <c r="O771" s="1"/>
      <c r="P771" s="1"/>
      <c r="Q771" s="1"/>
      <c r="R771" s="1"/>
      <c r="S771" s="1"/>
      <c r="T771" s="14"/>
      <c r="U771" s="14"/>
      <c r="V771" s="14"/>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row>
    <row r="772" spans="1:226" ht="14.25" customHeight="1" x14ac:dyDescent="0.25">
      <c r="A772" s="1"/>
      <c r="B772" s="1"/>
      <c r="C772" s="1"/>
      <c r="D772" s="1"/>
      <c r="E772" s="1"/>
      <c r="F772" s="1"/>
      <c r="G772" s="1"/>
      <c r="H772" s="1"/>
      <c r="I772" s="1"/>
      <c r="J772" s="1"/>
      <c r="K772" s="1"/>
      <c r="L772" s="1"/>
      <c r="M772" s="1"/>
      <c r="N772" s="1"/>
      <c r="O772" s="1"/>
      <c r="P772" s="1"/>
      <c r="Q772" s="1"/>
      <c r="R772" s="1"/>
      <c r="S772" s="1"/>
      <c r="T772" s="14"/>
      <c r="U772" s="14"/>
      <c r="V772" s="14"/>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row>
    <row r="773" spans="1:226" ht="14.25" customHeight="1" x14ac:dyDescent="0.25">
      <c r="A773" s="1"/>
      <c r="B773" s="1"/>
      <c r="C773" s="1"/>
      <c r="D773" s="1"/>
      <c r="E773" s="1"/>
      <c r="F773" s="1"/>
      <c r="G773" s="1"/>
      <c r="H773" s="1"/>
      <c r="I773" s="1"/>
      <c r="J773" s="1"/>
      <c r="K773" s="1"/>
      <c r="L773" s="1"/>
      <c r="M773" s="1"/>
      <c r="N773" s="1"/>
      <c r="O773" s="1"/>
      <c r="P773" s="1"/>
      <c r="Q773" s="1"/>
      <c r="R773" s="1"/>
      <c r="S773" s="1"/>
      <c r="T773" s="14"/>
      <c r="U773" s="14"/>
      <c r="V773" s="14"/>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row>
    <row r="774" spans="1:226" ht="14.25" customHeight="1" x14ac:dyDescent="0.25">
      <c r="A774" s="1"/>
      <c r="B774" s="1"/>
      <c r="C774" s="1"/>
      <c r="D774" s="1"/>
      <c r="E774" s="1"/>
      <c r="F774" s="1"/>
      <c r="G774" s="1"/>
      <c r="H774" s="1"/>
      <c r="I774" s="1"/>
      <c r="J774" s="1"/>
      <c r="K774" s="1"/>
      <c r="L774" s="1"/>
      <c r="M774" s="1"/>
      <c r="N774" s="1"/>
      <c r="O774" s="1"/>
      <c r="P774" s="1"/>
      <c r="Q774" s="1"/>
      <c r="R774" s="1"/>
      <c r="S774" s="1"/>
      <c r="T774" s="14"/>
      <c r="U774" s="14"/>
      <c r="V774" s="14"/>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row>
    <row r="775" spans="1:226" ht="14.25" customHeight="1" x14ac:dyDescent="0.25">
      <c r="A775" s="1"/>
      <c r="B775" s="1"/>
      <c r="C775" s="1"/>
      <c r="D775" s="1"/>
      <c r="E775" s="1"/>
      <c r="F775" s="1"/>
      <c r="G775" s="1"/>
      <c r="H775" s="1"/>
      <c r="I775" s="1"/>
      <c r="J775" s="1"/>
      <c r="K775" s="1"/>
      <c r="L775" s="1"/>
      <c r="M775" s="1"/>
      <c r="N775" s="1"/>
      <c r="O775" s="1"/>
      <c r="P775" s="1"/>
      <c r="Q775" s="1"/>
      <c r="R775" s="1"/>
      <c r="S775" s="1"/>
      <c r="T775" s="14"/>
      <c r="U775" s="14"/>
      <c r="V775" s="14"/>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row>
    <row r="776" spans="1:226" ht="14.25" customHeight="1" x14ac:dyDescent="0.25">
      <c r="A776" s="1"/>
      <c r="B776" s="1"/>
      <c r="C776" s="1"/>
      <c r="D776" s="1"/>
      <c r="E776" s="1"/>
      <c r="F776" s="1"/>
      <c r="G776" s="1"/>
      <c r="H776" s="1"/>
      <c r="I776" s="1"/>
      <c r="J776" s="1"/>
      <c r="K776" s="1"/>
      <c r="L776" s="1"/>
      <c r="M776" s="1"/>
      <c r="N776" s="1"/>
      <c r="O776" s="1"/>
      <c r="P776" s="1"/>
      <c r="Q776" s="1"/>
      <c r="R776" s="1"/>
      <c r="S776" s="1"/>
      <c r="T776" s="14"/>
      <c r="U776" s="14"/>
      <c r="V776" s="14"/>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row>
    <row r="777" spans="1:226" ht="14.25" customHeight="1" x14ac:dyDescent="0.25">
      <c r="A777" s="1"/>
      <c r="B777" s="1"/>
      <c r="C777" s="1"/>
      <c r="D777" s="1"/>
      <c r="E777" s="1"/>
      <c r="F777" s="1"/>
      <c r="G777" s="1"/>
      <c r="H777" s="1"/>
      <c r="I777" s="1"/>
      <c r="J777" s="1"/>
      <c r="K777" s="1"/>
      <c r="L777" s="1"/>
      <c r="M777" s="1"/>
      <c r="N777" s="1"/>
      <c r="O777" s="1"/>
      <c r="P777" s="1"/>
      <c r="Q777" s="1"/>
      <c r="R777" s="1"/>
      <c r="S777" s="1"/>
      <c r="T777" s="14"/>
      <c r="U777" s="14"/>
      <c r="V777" s="14"/>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row>
    <row r="778" spans="1:226" ht="14.25" customHeight="1" x14ac:dyDescent="0.25">
      <c r="A778" s="1"/>
      <c r="B778" s="1"/>
      <c r="C778" s="1"/>
      <c r="D778" s="1"/>
      <c r="E778" s="1"/>
      <c r="F778" s="1"/>
      <c r="G778" s="1"/>
      <c r="H778" s="1"/>
      <c r="I778" s="1"/>
      <c r="J778" s="1"/>
      <c r="K778" s="1"/>
      <c r="L778" s="1"/>
      <c r="M778" s="1"/>
      <c r="N778" s="1"/>
      <c r="O778" s="1"/>
      <c r="P778" s="1"/>
      <c r="Q778" s="1"/>
      <c r="R778" s="1"/>
      <c r="S778" s="1"/>
      <c r="T778" s="14"/>
      <c r="U778" s="14"/>
      <c r="V778" s="14"/>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row>
    <row r="779" spans="1:226" ht="14.25" customHeight="1" x14ac:dyDescent="0.25">
      <c r="A779" s="1"/>
      <c r="B779" s="1"/>
      <c r="C779" s="1"/>
      <c r="D779" s="1"/>
      <c r="E779" s="1"/>
      <c r="F779" s="1"/>
      <c r="G779" s="1"/>
      <c r="H779" s="1"/>
      <c r="I779" s="1"/>
      <c r="J779" s="1"/>
      <c r="K779" s="1"/>
      <c r="L779" s="1"/>
      <c r="M779" s="1"/>
      <c r="N779" s="1"/>
      <c r="O779" s="1"/>
      <c r="P779" s="1"/>
      <c r="Q779" s="1"/>
      <c r="R779" s="1"/>
      <c r="S779" s="1"/>
      <c r="T779" s="14"/>
      <c r="U779" s="14"/>
      <c r="V779" s="14"/>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row>
    <row r="780" spans="1:226" ht="14.25" customHeight="1" x14ac:dyDescent="0.25">
      <c r="A780" s="1"/>
      <c r="B780" s="1"/>
      <c r="C780" s="1"/>
      <c r="D780" s="1"/>
      <c r="E780" s="1"/>
      <c r="F780" s="1"/>
      <c r="G780" s="1"/>
      <c r="H780" s="1"/>
      <c r="I780" s="1"/>
      <c r="J780" s="1"/>
      <c r="K780" s="1"/>
      <c r="L780" s="1"/>
      <c r="M780" s="1"/>
      <c r="N780" s="1"/>
      <c r="O780" s="1"/>
      <c r="P780" s="1"/>
      <c r="Q780" s="1"/>
      <c r="R780" s="1"/>
      <c r="S780" s="1"/>
      <c r="T780" s="14"/>
      <c r="U780" s="14"/>
      <c r="V780" s="14"/>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row>
    <row r="781" spans="1:226" ht="14.25" customHeight="1" x14ac:dyDescent="0.25">
      <c r="A781" s="1"/>
      <c r="B781" s="1"/>
      <c r="C781" s="1"/>
      <c r="D781" s="1"/>
      <c r="E781" s="1"/>
      <c r="F781" s="1"/>
      <c r="G781" s="1"/>
      <c r="H781" s="1"/>
      <c r="I781" s="1"/>
      <c r="J781" s="1"/>
      <c r="K781" s="1"/>
      <c r="L781" s="1"/>
      <c r="M781" s="1"/>
      <c r="N781" s="1"/>
      <c r="O781" s="1"/>
      <c r="P781" s="1"/>
      <c r="Q781" s="1"/>
      <c r="R781" s="1"/>
      <c r="S781" s="1"/>
      <c r="T781" s="14"/>
      <c r="U781" s="14"/>
      <c r="V781" s="14"/>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row>
    <row r="782" spans="1:226" ht="14.25" customHeight="1" x14ac:dyDescent="0.25">
      <c r="A782" s="1"/>
      <c r="B782" s="1"/>
      <c r="C782" s="1"/>
      <c r="D782" s="1"/>
      <c r="E782" s="1"/>
      <c r="F782" s="1"/>
      <c r="G782" s="1"/>
      <c r="H782" s="1"/>
      <c r="I782" s="1"/>
      <c r="J782" s="1"/>
      <c r="K782" s="1"/>
      <c r="L782" s="1"/>
      <c r="M782" s="1"/>
      <c r="N782" s="1"/>
      <c r="O782" s="1"/>
      <c r="P782" s="1"/>
      <c r="Q782" s="1"/>
      <c r="R782" s="1"/>
      <c r="S782" s="1"/>
      <c r="T782" s="14"/>
      <c r="U782" s="14"/>
      <c r="V782" s="14"/>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row>
    <row r="783" spans="1:226" ht="14.25" customHeight="1" x14ac:dyDescent="0.25">
      <c r="A783" s="1"/>
      <c r="B783" s="1"/>
      <c r="C783" s="1"/>
      <c r="D783" s="1"/>
      <c r="E783" s="1"/>
      <c r="F783" s="1"/>
      <c r="G783" s="1"/>
      <c r="H783" s="1"/>
      <c r="I783" s="1"/>
      <c r="J783" s="1"/>
      <c r="K783" s="1"/>
      <c r="L783" s="1"/>
      <c r="M783" s="1"/>
      <c r="N783" s="1"/>
      <c r="O783" s="1"/>
      <c r="P783" s="1"/>
      <c r="Q783" s="1"/>
      <c r="R783" s="1"/>
      <c r="S783" s="1"/>
      <c r="T783" s="14"/>
      <c r="U783" s="14"/>
      <c r="V783" s="14"/>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row>
    <row r="784" spans="1:226" ht="14.25" customHeight="1" x14ac:dyDescent="0.25">
      <c r="A784" s="1"/>
      <c r="B784" s="1"/>
      <c r="C784" s="1"/>
      <c r="D784" s="1"/>
      <c r="E784" s="1"/>
      <c r="F784" s="1"/>
      <c r="G784" s="1"/>
      <c r="H784" s="1"/>
      <c r="I784" s="1"/>
      <c r="J784" s="1"/>
      <c r="K784" s="1"/>
      <c r="L784" s="1"/>
      <c r="M784" s="1"/>
      <c r="N784" s="1"/>
      <c r="O784" s="1"/>
      <c r="P784" s="1"/>
      <c r="Q784" s="1"/>
      <c r="R784" s="1"/>
      <c r="S784" s="1"/>
      <c r="T784" s="14"/>
      <c r="U784" s="14"/>
      <c r="V784" s="14"/>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row>
    <row r="785" spans="1:226" ht="14.25" customHeight="1" x14ac:dyDescent="0.25">
      <c r="A785" s="1"/>
      <c r="B785" s="1"/>
      <c r="C785" s="1"/>
      <c r="D785" s="1"/>
      <c r="E785" s="1"/>
      <c r="F785" s="1"/>
      <c r="G785" s="1"/>
      <c r="H785" s="1"/>
      <c r="I785" s="1"/>
      <c r="J785" s="1"/>
      <c r="K785" s="1"/>
      <c r="L785" s="1"/>
      <c r="M785" s="1"/>
      <c r="N785" s="1"/>
      <c r="O785" s="1"/>
      <c r="P785" s="1"/>
      <c r="Q785" s="1"/>
      <c r="R785" s="1"/>
      <c r="S785" s="1"/>
      <c r="T785" s="14"/>
      <c r="U785" s="14"/>
      <c r="V785" s="14"/>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row>
    <row r="786" spans="1:226" ht="14.25" customHeight="1" x14ac:dyDescent="0.25">
      <c r="A786" s="1"/>
      <c r="B786" s="1"/>
      <c r="C786" s="1"/>
      <c r="D786" s="1"/>
      <c r="E786" s="1"/>
      <c r="F786" s="1"/>
      <c r="G786" s="1"/>
      <c r="H786" s="1"/>
      <c r="I786" s="1"/>
      <c r="J786" s="1"/>
      <c r="K786" s="1"/>
      <c r="L786" s="1"/>
      <c r="M786" s="1"/>
      <c r="N786" s="1"/>
      <c r="O786" s="1"/>
      <c r="P786" s="1"/>
      <c r="Q786" s="1"/>
      <c r="R786" s="1"/>
      <c r="S786" s="1"/>
      <c r="T786" s="14"/>
      <c r="U786" s="14"/>
      <c r="V786" s="14"/>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row>
    <row r="787" spans="1:226" ht="14.25" customHeight="1" x14ac:dyDescent="0.25">
      <c r="A787" s="1"/>
      <c r="B787" s="1"/>
      <c r="C787" s="1"/>
      <c r="D787" s="1"/>
      <c r="E787" s="1"/>
      <c r="F787" s="1"/>
      <c r="G787" s="1"/>
      <c r="H787" s="1"/>
      <c r="I787" s="1"/>
      <c r="J787" s="1"/>
      <c r="K787" s="1"/>
      <c r="L787" s="1"/>
      <c r="M787" s="1"/>
      <c r="N787" s="1"/>
      <c r="O787" s="1"/>
      <c r="P787" s="1"/>
      <c r="Q787" s="1"/>
      <c r="R787" s="1"/>
      <c r="S787" s="1"/>
      <c r="T787" s="14"/>
      <c r="U787" s="14"/>
      <c r="V787" s="14"/>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row>
    <row r="788" spans="1:226" ht="14.25" customHeight="1" x14ac:dyDescent="0.25">
      <c r="A788" s="1"/>
      <c r="B788" s="1"/>
      <c r="C788" s="1"/>
      <c r="D788" s="1"/>
      <c r="E788" s="1"/>
      <c r="F788" s="1"/>
      <c r="G788" s="1"/>
      <c r="H788" s="1"/>
      <c r="I788" s="1"/>
      <c r="J788" s="1"/>
      <c r="K788" s="1"/>
      <c r="L788" s="1"/>
      <c r="M788" s="1"/>
      <c r="N788" s="1"/>
      <c r="O788" s="1"/>
      <c r="P788" s="1"/>
      <c r="Q788" s="1"/>
      <c r="R788" s="1"/>
      <c r="S788" s="1"/>
      <c r="T788" s="14"/>
      <c r="U788" s="14"/>
      <c r="V788" s="14"/>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row>
    <row r="789" spans="1:226" ht="14.25" customHeight="1" x14ac:dyDescent="0.25">
      <c r="A789" s="1"/>
      <c r="B789" s="1"/>
      <c r="C789" s="1"/>
      <c r="D789" s="1"/>
      <c r="E789" s="1"/>
      <c r="F789" s="1"/>
      <c r="G789" s="1"/>
      <c r="H789" s="1"/>
      <c r="I789" s="1"/>
      <c r="J789" s="1"/>
      <c r="K789" s="1"/>
      <c r="L789" s="1"/>
      <c r="M789" s="1"/>
      <c r="N789" s="1"/>
      <c r="O789" s="1"/>
      <c r="P789" s="1"/>
      <c r="Q789" s="1"/>
      <c r="R789" s="1"/>
      <c r="S789" s="1"/>
      <c r="T789" s="14"/>
      <c r="U789" s="14"/>
      <c r="V789" s="14"/>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row>
    <row r="790" spans="1:226" ht="14.25" customHeight="1" x14ac:dyDescent="0.25">
      <c r="A790" s="1"/>
      <c r="B790" s="1"/>
      <c r="C790" s="1"/>
      <c r="D790" s="1"/>
      <c r="E790" s="1"/>
      <c r="F790" s="1"/>
      <c r="G790" s="1"/>
      <c r="H790" s="1"/>
      <c r="I790" s="1"/>
      <c r="J790" s="1"/>
      <c r="K790" s="1"/>
      <c r="L790" s="1"/>
      <c r="M790" s="1"/>
      <c r="N790" s="1"/>
      <c r="O790" s="1"/>
      <c r="P790" s="1"/>
      <c r="Q790" s="1"/>
      <c r="R790" s="1"/>
      <c r="S790" s="1"/>
      <c r="T790" s="14"/>
      <c r="U790" s="14"/>
      <c r="V790" s="14"/>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row>
    <row r="791" spans="1:226" ht="14.25" customHeight="1" x14ac:dyDescent="0.25">
      <c r="A791" s="1"/>
      <c r="B791" s="1"/>
      <c r="C791" s="1"/>
      <c r="D791" s="1"/>
      <c r="E791" s="1"/>
      <c r="F791" s="1"/>
      <c r="G791" s="1"/>
      <c r="H791" s="1"/>
      <c r="I791" s="1"/>
      <c r="J791" s="1"/>
      <c r="K791" s="1"/>
      <c r="L791" s="1"/>
      <c r="M791" s="1"/>
      <c r="N791" s="1"/>
      <c r="O791" s="1"/>
      <c r="P791" s="1"/>
      <c r="Q791" s="1"/>
      <c r="R791" s="1"/>
      <c r="S791" s="1"/>
      <c r="T791" s="14"/>
      <c r="U791" s="14"/>
      <c r="V791" s="14"/>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row>
    <row r="792" spans="1:226" ht="14.25" customHeight="1" x14ac:dyDescent="0.25">
      <c r="A792" s="1"/>
      <c r="B792" s="1"/>
      <c r="C792" s="1"/>
      <c r="D792" s="1"/>
      <c r="E792" s="1"/>
      <c r="F792" s="1"/>
      <c r="G792" s="1"/>
      <c r="H792" s="1"/>
      <c r="I792" s="1"/>
      <c r="J792" s="1"/>
      <c r="K792" s="1"/>
      <c r="L792" s="1"/>
      <c r="M792" s="1"/>
      <c r="N792" s="1"/>
      <c r="O792" s="1"/>
      <c r="P792" s="1"/>
      <c r="Q792" s="1"/>
      <c r="R792" s="1"/>
      <c r="S792" s="1"/>
      <c r="T792" s="14"/>
      <c r="U792" s="14"/>
      <c r="V792" s="14"/>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row>
    <row r="793" spans="1:226" ht="14.25" customHeight="1" x14ac:dyDescent="0.25">
      <c r="A793" s="1"/>
      <c r="B793" s="1"/>
      <c r="C793" s="1"/>
      <c r="D793" s="1"/>
      <c r="E793" s="1"/>
      <c r="F793" s="1"/>
      <c r="G793" s="1"/>
      <c r="H793" s="1"/>
      <c r="I793" s="1"/>
      <c r="J793" s="1"/>
      <c r="K793" s="1"/>
      <c r="L793" s="1"/>
      <c r="M793" s="1"/>
      <c r="N793" s="1"/>
      <c r="O793" s="1"/>
      <c r="P793" s="1"/>
      <c r="Q793" s="1"/>
      <c r="R793" s="1"/>
      <c r="S793" s="1"/>
      <c r="T793" s="14"/>
      <c r="U793" s="14"/>
      <c r="V793" s="14"/>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row>
    <row r="794" spans="1:226" ht="14.25" customHeight="1" x14ac:dyDescent="0.25">
      <c r="A794" s="1"/>
      <c r="B794" s="1"/>
      <c r="C794" s="1"/>
      <c r="D794" s="1"/>
      <c r="E794" s="1"/>
      <c r="F794" s="1"/>
      <c r="G794" s="1"/>
      <c r="H794" s="1"/>
      <c r="I794" s="1"/>
      <c r="J794" s="1"/>
      <c r="K794" s="1"/>
      <c r="L794" s="1"/>
      <c r="M794" s="1"/>
      <c r="N794" s="1"/>
      <c r="O794" s="1"/>
      <c r="P794" s="1"/>
      <c r="Q794" s="1"/>
      <c r="R794" s="1"/>
      <c r="S794" s="1"/>
      <c r="T794" s="14"/>
      <c r="U794" s="14"/>
      <c r="V794" s="14"/>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row>
    <row r="795" spans="1:226" ht="14.25" customHeight="1" x14ac:dyDescent="0.25">
      <c r="A795" s="1"/>
      <c r="B795" s="1"/>
      <c r="C795" s="1"/>
      <c r="D795" s="1"/>
      <c r="E795" s="1"/>
      <c r="F795" s="1"/>
      <c r="G795" s="1"/>
      <c r="H795" s="1"/>
      <c r="I795" s="1"/>
      <c r="J795" s="1"/>
      <c r="K795" s="1"/>
      <c r="L795" s="1"/>
      <c r="M795" s="1"/>
      <c r="N795" s="1"/>
      <c r="O795" s="1"/>
      <c r="P795" s="1"/>
      <c r="Q795" s="1"/>
      <c r="R795" s="1"/>
      <c r="S795" s="1"/>
      <c r="T795" s="14"/>
      <c r="U795" s="14"/>
      <c r="V795" s="14"/>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row>
    <row r="796" spans="1:226" ht="14.25" customHeight="1" x14ac:dyDescent="0.25">
      <c r="A796" s="1"/>
      <c r="B796" s="1"/>
      <c r="C796" s="1"/>
      <c r="D796" s="1"/>
      <c r="E796" s="1"/>
      <c r="F796" s="1"/>
      <c r="G796" s="1"/>
      <c r="H796" s="1"/>
      <c r="I796" s="1"/>
      <c r="J796" s="1"/>
      <c r="K796" s="1"/>
      <c r="L796" s="1"/>
      <c r="M796" s="1"/>
      <c r="N796" s="1"/>
      <c r="O796" s="1"/>
      <c r="P796" s="1"/>
      <c r="Q796" s="1"/>
      <c r="R796" s="1"/>
      <c r="S796" s="1"/>
      <c r="T796" s="14"/>
      <c r="U796" s="14"/>
      <c r="V796" s="14"/>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row>
    <row r="797" spans="1:226" ht="14.25" customHeight="1" x14ac:dyDescent="0.25">
      <c r="A797" s="1"/>
      <c r="B797" s="1"/>
      <c r="C797" s="1"/>
      <c r="D797" s="1"/>
      <c r="E797" s="1"/>
      <c r="F797" s="1"/>
      <c r="G797" s="1"/>
      <c r="H797" s="1"/>
      <c r="I797" s="1"/>
      <c r="J797" s="1"/>
      <c r="K797" s="1"/>
      <c r="L797" s="1"/>
      <c r="M797" s="1"/>
      <c r="N797" s="1"/>
      <c r="O797" s="1"/>
      <c r="P797" s="1"/>
      <c r="Q797" s="1"/>
      <c r="R797" s="1"/>
      <c r="S797" s="1"/>
      <c r="T797" s="14"/>
      <c r="U797" s="14"/>
      <c r="V797" s="14"/>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row>
    <row r="798" spans="1:226" ht="14.25" customHeight="1" x14ac:dyDescent="0.25">
      <c r="A798" s="1"/>
      <c r="B798" s="1"/>
      <c r="C798" s="1"/>
      <c r="D798" s="1"/>
      <c r="E798" s="1"/>
      <c r="F798" s="1"/>
      <c r="G798" s="1"/>
      <c r="H798" s="1"/>
      <c r="I798" s="1"/>
      <c r="J798" s="1"/>
      <c r="K798" s="1"/>
      <c r="L798" s="1"/>
      <c r="M798" s="1"/>
      <c r="N798" s="1"/>
      <c r="O798" s="1"/>
      <c r="P798" s="1"/>
      <c r="Q798" s="1"/>
      <c r="R798" s="1"/>
      <c r="S798" s="1"/>
      <c r="T798" s="14"/>
      <c r="U798" s="14"/>
      <c r="V798" s="14"/>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row>
    <row r="799" spans="1:226" ht="14.25" customHeight="1" x14ac:dyDescent="0.25">
      <c r="A799" s="1"/>
      <c r="B799" s="1"/>
      <c r="C799" s="1"/>
      <c r="D799" s="1"/>
      <c r="E799" s="1"/>
      <c r="F799" s="1"/>
      <c r="G799" s="1"/>
      <c r="H799" s="1"/>
      <c r="I799" s="1"/>
      <c r="J799" s="1"/>
      <c r="K799" s="1"/>
      <c r="L799" s="1"/>
      <c r="M799" s="1"/>
      <c r="N799" s="1"/>
      <c r="O799" s="1"/>
      <c r="P799" s="1"/>
      <c r="Q799" s="1"/>
      <c r="R799" s="1"/>
      <c r="S799" s="1"/>
      <c r="T799" s="14"/>
      <c r="U799" s="14"/>
      <c r="V799" s="14"/>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row>
    <row r="800" spans="1:226" ht="14.25" customHeight="1" x14ac:dyDescent="0.25">
      <c r="A800" s="1"/>
      <c r="B800" s="1"/>
      <c r="C800" s="1"/>
      <c r="D800" s="1"/>
      <c r="E800" s="1"/>
      <c r="F800" s="1"/>
      <c r="G800" s="1"/>
      <c r="H800" s="1"/>
      <c r="I800" s="1"/>
      <c r="J800" s="1"/>
      <c r="K800" s="1"/>
      <c r="L800" s="1"/>
      <c r="M800" s="1"/>
      <c r="N800" s="1"/>
      <c r="O800" s="1"/>
      <c r="P800" s="1"/>
      <c r="Q800" s="1"/>
      <c r="R800" s="1"/>
      <c r="S800" s="1"/>
      <c r="T800" s="14"/>
      <c r="U800" s="14"/>
      <c r="V800" s="14"/>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row>
    <row r="801" spans="1:226" ht="14.25" customHeight="1" x14ac:dyDescent="0.25">
      <c r="A801" s="1"/>
      <c r="B801" s="1"/>
      <c r="C801" s="1"/>
      <c r="D801" s="1"/>
      <c r="E801" s="1"/>
      <c r="F801" s="1"/>
      <c r="G801" s="1"/>
      <c r="H801" s="1"/>
      <c r="I801" s="1"/>
      <c r="J801" s="1"/>
      <c r="K801" s="1"/>
      <c r="L801" s="1"/>
      <c r="M801" s="1"/>
      <c r="N801" s="1"/>
      <c r="O801" s="1"/>
      <c r="P801" s="1"/>
      <c r="Q801" s="1"/>
      <c r="R801" s="1"/>
      <c r="S801" s="1"/>
      <c r="T801" s="14"/>
      <c r="U801" s="14"/>
      <c r="V801" s="14"/>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row>
    <row r="802" spans="1:226" ht="14.25" customHeight="1" x14ac:dyDescent="0.25">
      <c r="A802" s="1"/>
      <c r="B802" s="1"/>
      <c r="C802" s="1"/>
      <c r="D802" s="1"/>
      <c r="E802" s="1"/>
      <c r="F802" s="1"/>
      <c r="G802" s="1"/>
      <c r="H802" s="1"/>
      <c r="I802" s="1"/>
      <c r="J802" s="1"/>
      <c r="K802" s="1"/>
      <c r="L802" s="1"/>
      <c r="M802" s="1"/>
      <c r="N802" s="1"/>
      <c r="O802" s="1"/>
      <c r="P802" s="1"/>
      <c r="Q802" s="1"/>
      <c r="R802" s="1"/>
      <c r="S802" s="1"/>
      <c r="T802" s="14"/>
      <c r="U802" s="14"/>
      <c r="V802" s="14"/>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row>
    <row r="803" spans="1:226" ht="14.25" customHeight="1" x14ac:dyDescent="0.25">
      <c r="A803" s="1"/>
      <c r="B803" s="1"/>
      <c r="C803" s="1"/>
      <c r="D803" s="1"/>
      <c r="E803" s="1"/>
      <c r="F803" s="1"/>
      <c r="G803" s="1"/>
      <c r="H803" s="1"/>
      <c r="I803" s="1"/>
      <c r="J803" s="1"/>
      <c r="K803" s="1"/>
      <c r="L803" s="1"/>
      <c r="M803" s="1"/>
      <c r="N803" s="1"/>
      <c r="O803" s="1"/>
      <c r="P803" s="1"/>
      <c r="Q803" s="1"/>
      <c r="R803" s="1"/>
      <c r="S803" s="1"/>
      <c r="T803" s="14"/>
      <c r="U803" s="14"/>
      <c r="V803" s="14"/>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row>
    <row r="804" spans="1:226" ht="14.25" customHeight="1" x14ac:dyDescent="0.25">
      <c r="A804" s="1"/>
      <c r="B804" s="1"/>
      <c r="C804" s="1"/>
      <c r="D804" s="1"/>
      <c r="E804" s="1"/>
      <c r="F804" s="1"/>
      <c r="G804" s="1"/>
      <c r="H804" s="1"/>
      <c r="I804" s="1"/>
      <c r="J804" s="1"/>
      <c r="K804" s="1"/>
      <c r="L804" s="1"/>
      <c r="M804" s="1"/>
      <c r="N804" s="1"/>
      <c r="O804" s="1"/>
      <c r="P804" s="1"/>
      <c r="Q804" s="1"/>
      <c r="R804" s="1"/>
      <c r="S804" s="1"/>
      <c r="T804" s="14"/>
      <c r="U804" s="14"/>
      <c r="V804" s="14"/>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row>
    <row r="805" spans="1:226" ht="14.25" customHeight="1" x14ac:dyDescent="0.25">
      <c r="A805" s="1"/>
      <c r="B805" s="1"/>
      <c r="C805" s="1"/>
      <c r="D805" s="1"/>
      <c r="E805" s="1"/>
      <c r="F805" s="1"/>
      <c r="G805" s="1"/>
      <c r="H805" s="1"/>
      <c r="I805" s="1"/>
      <c r="J805" s="1"/>
      <c r="K805" s="1"/>
      <c r="L805" s="1"/>
      <c r="M805" s="1"/>
      <c r="N805" s="1"/>
      <c r="O805" s="1"/>
      <c r="P805" s="1"/>
      <c r="Q805" s="1"/>
      <c r="R805" s="1"/>
      <c r="S805" s="1"/>
      <c r="T805" s="14"/>
      <c r="U805" s="14"/>
      <c r="V805" s="14"/>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row>
    <row r="806" spans="1:226" ht="14.25" customHeight="1" x14ac:dyDescent="0.25">
      <c r="A806" s="1"/>
      <c r="B806" s="1"/>
      <c r="C806" s="1"/>
      <c r="D806" s="1"/>
      <c r="E806" s="1"/>
      <c r="F806" s="1"/>
      <c r="G806" s="1"/>
      <c r="H806" s="1"/>
      <c r="I806" s="1"/>
      <c r="J806" s="1"/>
      <c r="K806" s="1"/>
      <c r="L806" s="1"/>
      <c r="M806" s="1"/>
      <c r="N806" s="1"/>
      <c r="O806" s="1"/>
      <c r="P806" s="1"/>
      <c r="Q806" s="1"/>
      <c r="R806" s="1"/>
      <c r="S806" s="1"/>
      <c r="T806" s="14"/>
      <c r="U806" s="14"/>
      <c r="V806" s="14"/>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row>
    <row r="807" spans="1:226" ht="14.25" customHeight="1" x14ac:dyDescent="0.25">
      <c r="A807" s="1"/>
      <c r="B807" s="1"/>
      <c r="C807" s="1"/>
      <c r="D807" s="1"/>
      <c r="E807" s="1"/>
      <c r="F807" s="1"/>
      <c r="G807" s="1"/>
      <c r="H807" s="1"/>
      <c r="I807" s="1"/>
      <c r="J807" s="1"/>
      <c r="K807" s="1"/>
      <c r="L807" s="1"/>
      <c r="M807" s="1"/>
      <c r="N807" s="1"/>
      <c r="O807" s="1"/>
      <c r="P807" s="1"/>
      <c r="Q807" s="1"/>
      <c r="R807" s="1"/>
      <c r="S807" s="1"/>
      <c r="T807" s="14"/>
      <c r="U807" s="14"/>
      <c r="V807" s="14"/>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row>
    <row r="808" spans="1:226" ht="14.25" customHeight="1" x14ac:dyDescent="0.25">
      <c r="A808" s="1"/>
      <c r="B808" s="1"/>
      <c r="C808" s="1"/>
      <c r="D808" s="1"/>
      <c r="E808" s="1"/>
      <c r="F808" s="1"/>
      <c r="G808" s="1"/>
      <c r="H808" s="1"/>
      <c r="I808" s="1"/>
      <c r="J808" s="1"/>
      <c r="K808" s="1"/>
      <c r="L808" s="1"/>
      <c r="M808" s="1"/>
      <c r="N808" s="1"/>
      <c r="O808" s="1"/>
      <c r="P808" s="1"/>
      <c r="Q808" s="1"/>
      <c r="R808" s="1"/>
      <c r="S808" s="1"/>
      <c r="T808" s="14"/>
      <c r="U808" s="14"/>
      <c r="V808" s="14"/>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row>
    <row r="809" spans="1:226" ht="14.25" customHeight="1" x14ac:dyDescent="0.25">
      <c r="A809" s="1"/>
      <c r="B809" s="1"/>
      <c r="C809" s="1"/>
      <c r="D809" s="1"/>
      <c r="E809" s="1"/>
      <c r="F809" s="1"/>
      <c r="G809" s="1"/>
      <c r="H809" s="1"/>
      <c r="I809" s="1"/>
      <c r="J809" s="1"/>
      <c r="K809" s="1"/>
      <c r="L809" s="1"/>
      <c r="M809" s="1"/>
      <c r="N809" s="1"/>
      <c r="O809" s="1"/>
      <c r="P809" s="1"/>
      <c r="Q809" s="1"/>
      <c r="R809" s="1"/>
      <c r="S809" s="1"/>
      <c r="T809" s="14"/>
      <c r="U809" s="14"/>
      <c r="V809" s="14"/>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row>
    <row r="810" spans="1:226" ht="14.25" customHeight="1" x14ac:dyDescent="0.25">
      <c r="A810" s="1"/>
      <c r="B810" s="1"/>
      <c r="C810" s="1"/>
      <c r="D810" s="1"/>
      <c r="E810" s="1"/>
      <c r="F810" s="1"/>
      <c r="G810" s="1"/>
      <c r="H810" s="1"/>
      <c r="I810" s="1"/>
      <c r="J810" s="1"/>
      <c r="K810" s="1"/>
      <c r="L810" s="1"/>
      <c r="M810" s="1"/>
      <c r="N810" s="1"/>
      <c r="O810" s="1"/>
      <c r="P810" s="1"/>
      <c r="Q810" s="1"/>
      <c r="R810" s="1"/>
      <c r="S810" s="1"/>
      <c r="T810" s="14"/>
      <c r="U810" s="14"/>
      <c r="V810" s="14"/>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row>
    <row r="811" spans="1:226" ht="14.25" customHeight="1" x14ac:dyDescent="0.25">
      <c r="A811" s="1"/>
      <c r="B811" s="1"/>
      <c r="C811" s="1"/>
      <c r="D811" s="1"/>
      <c r="E811" s="1"/>
      <c r="F811" s="1"/>
      <c r="G811" s="1"/>
      <c r="H811" s="1"/>
      <c r="I811" s="1"/>
      <c r="J811" s="1"/>
      <c r="K811" s="1"/>
      <c r="L811" s="1"/>
      <c r="M811" s="1"/>
      <c r="N811" s="1"/>
      <c r="O811" s="1"/>
      <c r="P811" s="1"/>
      <c r="Q811" s="1"/>
      <c r="R811" s="1"/>
      <c r="S811" s="1"/>
      <c r="T811" s="14"/>
      <c r="U811" s="14"/>
      <c r="V811" s="14"/>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row>
    <row r="812" spans="1:226" ht="14.25" customHeight="1" x14ac:dyDescent="0.25">
      <c r="A812" s="1"/>
      <c r="B812" s="1"/>
      <c r="C812" s="1"/>
      <c r="D812" s="1"/>
      <c r="E812" s="1"/>
      <c r="F812" s="1"/>
      <c r="G812" s="1"/>
      <c r="H812" s="1"/>
      <c r="I812" s="1"/>
      <c r="J812" s="1"/>
      <c r="K812" s="1"/>
      <c r="L812" s="1"/>
      <c r="M812" s="1"/>
      <c r="N812" s="1"/>
      <c r="O812" s="1"/>
      <c r="P812" s="1"/>
      <c r="Q812" s="1"/>
      <c r="R812" s="1"/>
      <c r="S812" s="1"/>
      <c r="T812" s="14"/>
      <c r="U812" s="14"/>
      <c r="V812" s="14"/>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row>
    <row r="813" spans="1:226" ht="14.25" customHeight="1" x14ac:dyDescent="0.25">
      <c r="A813" s="1"/>
      <c r="B813" s="1"/>
      <c r="C813" s="1"/>
      <c r="D813" s="1"/>
      <c r="E813" s="1"/>
      <c r="F813" s="1"/>
      <c r="G813" s="1"/>
      <c r="H813" s="1"/>
      <c r="I813" s="1"/>
      <c r="J813" s="1"/>
      <c r="K813" s="1"/>
      <c r="L813" s="1"/>
      <c r="M813" s="1"/>
      <c r="N813" s="1"/>
      <c r="O813" s="1"/>
      <c r="P813" s="1"/>
      <c r="Q813" s="1"/>
      <c r="R813" s="1"/>
      <c r="S813" s="1"/>
      <c r="T813" s="14"/>
      <c r="U813" s="14"/>
      <c r="V813" s="14"/>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row>
    <row r="814" spans="1:226" ht="14.25" customHeight="1" x14ac:dyDescent="0.25">
      <c r="A814" s="1"/>
      <c r="B814" s="1"/>
      <c r="C814" s="1"/>
      <c r="D814" s="1"/>
      <c r="E814" s="1"/>
      <c r="F814" s="1"/>
      <c r="G814" s="1"/>
      <c r="H814" s="1"/>
      <c r="I814" s="1"/>
      <c r="J814" s="1"/>
      <c r="K814" s="1"/>
      <c r="L814" s="1"/>
      <c r="M814" s="1"/>
      <c r="N814" s="1"/>
      <c r="O814" s="1"/>
      <c r="P814" s="1"/>
      <c r="Q814" s="1"/>
      <c r="R814" s="1"/>
      <c r="S814" s="1"/>
      <c r="T814" s="14"/>
      <c r="U814" s="14"/>
      <c r="V814" s="14"/>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row>
    <row r="815" spans="1:226" ht="14.25" customHeight="1" x14ac:dyDescent="0.25">
      <c r="A815" s="1"/>
      <c r="B815" s="1"/>
      <c r="C815" s="1"/>
      <c r="D815" s="1"/>
      <c r="E815" s="1"/>
      <c r="F815" s="1"/>
      <c r="G815" s="1"/>
      <c r="H815" s="1"/>
      <c r="I815" s="1"/>
      <c r="J815" s="1"/>
      <c r="K815" s="1"/>
      <c r="L815" s="1"/>
      <c r="M815" s="1"/>
      <c r="N815" s="1"/>
      <c r="O815" s="1"/>
      <c r="P815" s="1"/>
      <c r="Q815" s="1"/>
      <c r="R815" s="1"/>
      <c r="S815" s="1"/>
      <c r="T815" s="14"/>
      <c r="U815" s="14"/>
      <c r="V815" s="14"/>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row>
    <row r="816" spans="1:226" ht="14.25" customHeight="1" x14ac:dyDescent="0.25">
      <c r="A816" s="1"/>
      <c r="B816" s="1"/>
      <c r="C816" s="1"/>
      <c r="D816" s="1"/>
      <c r="E816" s="1"/>
      <c r="F816" s="1"/>
      <c r="G816" s="1"/>
      <c r="H816" s="1"/>
      <c r="I816" s="1"/>
      <c r="J816" s="1"/>
      <c r="K816" s="1"/>
      <c r="L816" s="1"/>
      <c r="M816" s="1"/>
      <c r="N816" s="1"/>
      <c r="O816" s="1"/>
      <c r="P816" s="1"/>
      <c r="Q816" s="1"/>
      <c r="R816" s="1"/>
      <c r="S816" s="1"/>
      <c r="T816" s="14"/>
      <c r="U816" s="14"/>
      <c r="V816" s="14"/>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row>
    <row r="817" spans="1:226" ht="14.25" customHeight="1" x14ac:dyDescent="0.25">
      <c r="A817" s="1"/>
      <c r="B817" s="1"/>
      <c r="C817" s="1"/>
      <c r="D817" s="1"/>
      <c r="E817" s="1"/>
      <c r="F817" s="1"/>
      <c r="G817" s="1"/>
      <c r="H817" s="1"/>
      <c r="I817" s="1"/>
      <c r="J817" s="1"/>
      <c r="K817" s="1"/>
      <c r="L817" s="1"/>
      <c r="M817" s="1"/>
      <c r="N817" s="1"/>
      <c r="O817" s="1"/>
      <c r="P817" s="1"/>
      <c r="Q817" s="1"/>
      <c r="R817" s="1"/>
      <c r="S817" s="1"/>
      <c r="T817" s="14"/>
      <c r="U817" s="14"/>
      <c r="V817" s="14"/>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row>
    <row r="818" spans="1:226" ht="14.25" customHeight="1" x14ac:dyDescent="0.25">
      <c r="A818" s="1"/>
      <c r="B818" s="1"/>
      <c r="C818" s="1"/>
      <c r="D818" s="1"/>
      <c r="E818" s="1"/>
      <c r="F818" s="1"/>
      <c r="G818" s="1"/>
      <c r="H818" s="1"/>
      <c r="I818" s="1"/>
      <c r="J818" s="1"/>
      <c r="K818" s="1"/>
      <c r="L818" s="1"/>
      <c r="M818" s="1"/>
      <c r="N818" s="1"/>
      <c r="O818" s="1"/>
      <c r="P818" s="1"/>
      <c r="Q818" s="1"/>
      <c r="R818" s="1"/>
      <c r="S818" s="1"/>
      <c r="T818" s="14"/>
      <c r="U818" s="14"/>
      <c r="V818" s="14"/>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row>
    <row r="819" spans="1:226" ht="14.25" customHeight="1" x14ac:dyDescent="0.25">
      <c r="A819" s="1"/>
      <c r="B819" s="1"/>
      <c r="C819" s="1"/>
      <c r="D819" s="1"/>
      <c r="E819" s="1"/>
      <c r="F819" s="1"/>
      <c r="G819" s="1"/>
      <c r="H819" s="1"/>
      <c r="I819" s="1"/>
      <c r="J819" s="1"/>
      <c r="K819" s="1"/>
      <c r="L819" s="1"/>
      <c r="M819" s="1"/>
      <c r="N819" s="1"/>
      <c r="O819" s="1"/>
      <c r="P819" s="1"/>
      <c r="Q819" s="1"/>
      <c r="R819" s="1"/>
      <c r="S819" s="1"/>
      <c r="T819" s="14"/>
      <c r="U819" s="14"/>
      <c r="V819" s="14"/>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row>
    <row r="820" spans="1:226" ht="14.25" customHeight="1" x14ac:dyDescent="0.25">
      <c r="A820" s="1"/>
      <c r="B820" s="1"/>
      <c r="C820" s="1"/>
      <c r="D820" s="1"/>
      <c r="E820" s="1"/>
      <c r="F820" s="1"/>
      <c r="G820" s="1"/>
      <c r="H820" s="1"/>
      <c r="I820" s="1"/>
      <c r="J820" s="1"/>
      <c r="K820" s="1"/>
      <c r="L820" s="1"/>
      <c r="M820" s="1"/>
      <c r="N820" s="1"/>
      <c r="O820" s="1"/>
      <c r="P820" s="1"/>
      <c r="Q820" s="1"/>
      <c r="R820" s="1"/>
      <c r="S820" s="1"/>
      <c r="T820" s="14"/>
      <c r="U820" s="14"/>
      <c r="V820" s="14"/>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row>
    <row r="821" spans="1:226" ht="14.25" customHeight="1" x14ac:dyDescent="0.25">
      <c r="A821" s="1"/>
      <c r="B821" s="1"/>
      <c r="C821" s="1"/>
      <c r="D821" s="1"/>
      <c r="E821" s="1"/>
      <c r="F821" s="1"/>
      <c r="G821" s="1"/>
      <c r="H821" s="1"/>
      <c r="I821" s="1"/>
      <c r="J821" s="1"/>
      <c r="K821" s="1"/>
      <c r="L821" s="1"/>
      <c r="M821" s="1"/>
      <c r="N821" s="1"/>
      <c r="O821" s="1"/>
      <c r="P821" s="1"/>
      <c r="Q821" s="1"/>
      <c r="R821" s="1"/>
      <c r="S821" s="1"/>
      <c r="T821" s="14"/>
      <c r="U821" s="14"/>
      <c r="V821" s="14"/>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row>
    <row r="822" spans="1:226" ht="14.25" customHeight="1" x14ac:dyDescent="0.25">
      <c r="A822" s="1"/>
      <c r="B822" s="1"/>
      <c r="C822" s="1"/>
      <c r="D822" s="1"/>
      <c r="E822" s="1"/>
      <c r="F822" s="1"/>
      <c r="G822" s="1"/>
      <c r="H822" s="1"/>
      <c r="I822" s="1"/>
      <c r="J822" s="1"/>
      <c r="K822" s="1"/>
      <c r="L822" s="1"/>
      <c r="M822" s="1"/>
      <c r="N822" s="1"/>
      <c r="O822" s="1"/>
      <c r="P822" s="1"/>
      <c r="Q822" s="1"/>
      <c r="R822" s="1"/>
      <c r="S822" s="1"/>
      <c r="T822" s="14"/>
      <c r="U822" s="14"/>
      <c r="V822" s="14"/>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row>
    <row r="823" spans="1:226" ht="14.25" customHeight="1" x14ac:dyDescent="0.25">
      <c r="A823" s="1"/>
      <c r="B823" s="1"/>
      <c r="C823" s="1"/>
      <c r="D823" s="1"/>
      <c r="E823" s="1"/>
      <c r="F823" s="1"/>
      <c r="G823" s="1"/>
      <c r="H823" s="1"/>
      <c r="I823" s="1"/>
      <c r="J823" s="1"/>
      <c r="K823" s="1"/>
      <c r="L823" s="1"/>
      <c r="M823" s="1"/>
      <c r="N823" s="1"/>
      <c r="O823" s="1"/>
      <c r="P823" s="1"/>
      <c r="Q823" s="1"/>
      <c r="R823" s="1"/>
      <c r="S823" s="1"/>
      <c r="T823" s="14"/>
      <c r="U823" s="14"/>
      <c r="V823" s="14"/>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row>
    <row r="824" spans="1:226" ht="14.25" customHeight="1" x14ac:dyDescent="0.25">
      <c r="A824" s="1"/>
      <c r="B824" s="1"/>
      <c r="C824" s="1"/>
      <c r="D824" s="1"/>
      <c r="E824" s="1"/>
      <c r="F824" s="1"/>
      <c r="G824" s="1"/>
      <c r="H824" s="1"/>
      <c r="I824" s="1"/>
      <c r="J824" s="1"/>
      <c r="K824" s="1"/>
      <c r="L824" s="1"/>
      <c r="M824" s="1"/>
      <c r="N824" s="1"/>
      <c r="O824" s="1"/>
      <c r="P824" s="1"/>
      <c r="Q824" s="1"/>
      <c r="R824" s="1"/>
      <c r="S824" s="1"/>
      <c r="T824" s="14"/>
      <c r="U824" s="14"/>
      <c r="V824" s="14"/>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row>
    <row r="825" spans="1:226" ht="14.25" customHeight="1" x14ac:dyDescent="0.25">
      <c r="A825" s="1"/>
      <c r="B825" s="1"/>
      <c r="C825" s="1"/>
      <c r="D825" s="1"/>
      <c r="E825" s="1"/>
      <c r="F825" s="1"/>
      <c r="G825" s="1"/>
      <c r="H825" s="1"/>
      <c r="I825" s="1"/>
      <c r="J825" s="1"/>
      <c r="K825" s="1"/>
      <c r="L825" s="1"/>
      <c r="M825" s="1"/>
      <c r="N825" s="1"/>
      <c r="O825" s="1"/>
      <c r="P825" s="1"/>
      <c r="Q825" s="1"/>
      <c r="R825" s="1"/>
      <c r="S825" s="1"/>
      <c r="T825" s="14"/>
      <c r="U825" s="14"/>
      <c r="V825" s="14"/>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row>
    <row r="826" spans="1:226" ht="14.25" customHeight="1" x14ac:dyDescent="0.25">
      <c r="A826" s="1"/>
      <c r="B826" s="1"/>
      <c r="C826" s="1"/>
      <c r="D826" s="1"/>
      <c r="E826" s="1"/>
      <c r="F826" s="1"/>
      <c r="G826" s="1"/>
      <c r="H826" s="1"/>
      <c r="I826" s="1"/>
      <c r="J826" s="1"/>
      <c r="K826" s="1"/>
      <c r="L826" s="1"/>
      <c r="M826" s="1"/>
      <c r="N826" s="1"/>
      <c r="O826" s="1"/>
      <c r="P826" s="1"/>
      <c r="Q826" s="1"/>
      <c r="R826" s="1"/>
      <c r="S826" s="1"/>
      <c r="T826" s="14"/>
      <c r="U826" s="14"/>
      <c r="V826" s="14"/>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row>
    <row r="827" spans="1:226" ht="14.25" customHeight="1" x14ac:dyDescent="0.25">
      <c r="A827" s="1"/>
      <c r="B827" s="1"/>
      <c r="C827" s="1"/>
      <c r="D827" s="1"/>
      <c r="E827" s="1"/>
      <c r="F827" s="1"/>
      <c r="G827" s="1"/>
      <c r="H827" s="1"/>
      <c r="I827" s="1"/>
      <c r="J827" s="1"/>
      <c r="K827" s="1"/>
      <c r="L827" s="1"/>
      <c r="M827" s="1"/>
      <c r="N827" s="1"/>
      <c r="O827" s="1"/>
      <c r="P827" s="1"/>
      <c r="Q827" s="1"/>
      <c r="R827" s="1"/>
      <c r="S827" s="1"/>
      <c r="T827" s="14"/>
      <c r="U827" s="14"/>
      <c r="V827" s="14"/>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row>
    <row r="828" spans="1:226" ht="14.25" customHeight="1" x14ac:dyDescent="0.25">
      <c r="A828" s="1"/>
      <c r="B828" s="1"/>
      <c r="C828" s="1"/>
      <c r="D828" s="1"/>
      <c r="E828" s="1"/>
      <c r="F828" s="1"/>
      <c r="G828" s="1"/>
      <c r="H828" s="1"/>
      <c r="I828" s="1"/>
      <c r="J828" s="1"/>
      <c r="K828" s="1"/>
      <c r="L828" s="1"/>
      <c r="M828" s="1"/>
      <c r="N828" s="1"/>
      <c r="O828" s="1"/>
      <c r="P828" s="1"/>
      <c r="Q828" s="1"/>
      <c r="R828" s="1"/>
      <c r="S828" s="1"/>
      <c r="T828" s="14"/>
      <c r="U828" s="14"/>
      <c r="V828" s="14"/>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row>
    <row r="829" spans="1:226" ht="14.25" customHeight="1" x14ac:dyDescent="0.25">
      <c r="A829" s="1"/>
      <c r="B829" s="1"/>
      <c r="C829" s="1"/>
      <c r="D829" s="1"/>
      <c r="E829" s="1"/>
      <c r="F829" s="1"/>
      <c r="G829" s="1"/>
      <c r="H829" s="1"/>
      <c r="I829" s="1"/>
      <c r="J829" s="1"/>
      <c r="K829" s="1"/>
      <c r="L829" s="1"/>
      <c r="M829" s="1"/>
      <c r="N829" s="1"/>
      <c r="O829" s="1"/>
      <c r="P829" s="1"/>
      <c r="Q829" s="1"/>
      <c r="R829" s="1"/>
      <c r="S829" s="1"/>
      <c r="T829" s="14"/>
      <c r="U829" s="14"/>
      <c r="V829" s="14"/>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row>
    <row r="830" spans="1:226" ht="14.25" customHeight="1" x14ac:dyDescent="0.25">
      <c r="A830" s="1"/>
      <c r="B830" s="1"/>
      <c r="C830" s="1"/>
      <c r="D830" s="1"/>
      <c r="E830" s="1"/>
      <c r="F830" s="1"/>
      <c r="G830" s="1"/>
      <c r="H830" s="1"/>
      <c r="I830" s="1"/>
      <c r="J830" s="1"/>
      <c r="K830" s="1"/>
      <c r="L830" s="1"/>
      <c r="M830" s="1"/>
      <c r="N830" s="1"/>
      <c r="O830" s="1"/>
      <c r="P830" s="1"/>
      <c r="Q830" s="1"/>
      <c r="R830" s="1"/>
      <c r="S830" s="1"/>
      <c r="T830" s="14"/>
      <c r="U830" s="14"/>
      <c r="V830" s="14"/>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row>
    <row r="831" spans="1:226" ht="14.25" customHeight="1" x14ac:dyDescent="0.25">
      <c r="A831" s="1"/>
      <c r="B831" s="1"/>
      <c r="C831" s="1"/>
      <c r="D831" s="1"/>
      <c r="E831" s="1"/>
      <c r="F831" s="1"/>
      <c r="G831" s="1"/>
      <c r="H831" s="1"/>
      <c r="I831" s="1"/>
      <c r="J831" s="1"/>
      <c r="K831" s="1"/>
      <c r="L831" s="1"/>
      <c r="M831" s="1"/>
      <c r="N831" s="1"/>
      <c r="O831" s="1"/>
      <c r="P831" s="1"/>
      <c r="Q831" s="1"/>
      <c r="R831" s="1"/>
      <c r="S831" s="1"/>
      <c r="T831" s="14"/>
      <c r="U831" s="14"/>
      <c r="V831" s="14"/>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row>
    <row r="832" spans="1:226" ht="14.25" customHeight="1" x14ac:dyDescent="0.25">
      <c r="A832" s="1"/>
      <c r="B832" s="1"/>
      <c r="C832" s="1"/>
      <c r="D832" s="1"/>
      <c r="E832" s="1"/>
      <c r="F832" s="1"/>
      <c r="G832" s="1"/>
      <c r="H832" s="1"/>
      <c r="I832" s="1"/>
      <c r="J832" s="1"/>
      <c r="K832" s="1"/>
      <c r="L832" s="1"/>
      <c r="M832" s="1"/>
      <c r="N832" s="1"/>
      <c r="O832" s="1"/>
      <c r="P832" s="1"/>
      <c r="Q832" s="1"/>
      <c r="R832" s="1"/>
      <c r="S832" s="1"/>
      <c r="T832" s="14"/>
      <c r="U832" s="14"/>
      <c r="V832" s="14"/>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row>
    <row r="833" spans="1:226" ht="14.25" customHeight="1" x14ac:dyDescent="0.25">
      <c r="A833" s="1"/>
      <c r="B833" s="1"/>
      <c r="C833" s="1"/>
      <c r="D833" s="1"/>
      <c r="E833" s="1"/>
      <c r="F833" s="1"/>
      <c r="G833" s="1"/>
      <c r="H833" s="1"/>
      <c r="I833" s="1"/>
      <c r="J833" s="1"/>
      <c r="K833" s="1"/>
      <c r="L833" s="1"/>
      <c r="M833" s="1"/>
      <c r="N833" s="1"/>
      <c r="O833" s="1"/>
      <c r="P833" s="1"/>
      <c r="Q833" s="1"/>
      <c r="R833" s="1"/>
      <c r="S833" s="1"/>
      <c r="T833" s="14"/>
      <c r="U833" s="14"/>
      <c r="V833" s="14"/>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row>
    <row r="834" spans="1:226" ht="14.25" customHeight="1" x14ac:dyDescent="0.25">
      <c r="A834" s="1"/>
      <c r="B834" s="1"/>
      <c r="C834" s="1"/>
      <c r="D834" s="1"/>
      <c r="E834" s="1"/>
      <c r="F834" s="1"/>
      <c r="G834" s="1"/>
      <c r="H834" s="1"/>
      <c r="I834" s="1"/>
      <c r="J834" s="1"/>
      <c r="K834" s="1"/>
      <c r="L834" s="1"/>
      <c r="M834" s="1"/>
      <c r="N834" s="1"/>
      <c r="O834" s="1"/>
      <c r="P834" s="1"/>
      <c r="Q834" s="1"/>
      <c r="R834" s="1"/>
      <c r="S834" s="1"/>
      <c r="T834" s="14"/>
      <c r="U834" s="14"/>
      <c r="V834" s="14"/>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row>
    <row r="835" spans="1:226" ht="14.25" customHeight="1" x14ac:dyDescent="0.25">
      <c r="A835" s="1"/>
      <c r="B835" s="1"/>
      <c r="C835" s="1"/>
      <c r="D835" s="1"/>
      <c r="E835" s="1"/>
      <c r="F835" s="1"/>
      <c r="G835" s="1"/>
      <c r="H835" s="1"/>
      <c r="I835" s="1"/>
      <c r="J835" s="1"/>
      <c r="K835" s="1"/>
      <c r="L835" s="1"/>
      <c r="M835" s="1"/>
      <c r="N835" s="1"/>
      <c r="O835" s="1"/>
      <c r="P835" s="1"/>
      <c r="Q835" s="1"/>
      <c r="R835" s="1"/>
      <c r="S835" s="1"/>
      <c r="T835" s="14"/>
      <c r="U835" s="14"/>
      <c r="V835" s="14"/>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row>
    <row r="836" spans="1:226" ht="14.25" customHeight="1" x14ac:dyDescent="0.25">
      <c r="A836" s="1"/>
      <c r="B836" s="1"/>
      <c r="C836" s="1"/>
      <c r="D836" s="1"/>
      <c r="E836" s="1"/>
      <c r="F836" s="1"/>
      <c r="G836" s="1"/>
      <c r="H836" s="1"/>
      <c r="I836" s="1"/>
      <c r="J836" s="1"/>
      <c r="K836" s="1"/>
      <c r="L836" s="1"/>
      <c r="M836" s="1"/>
      <c r="N836" s="1"/>
      <c r="O836" s="1"/>
      <c r="P836" s="1"/>
      <c r="Q836" s="1"/>
      <c r="R836" s="1"/>
      <c r="S836" s="1"/>
      <c r="T836" s="14"/>
      <c r="U836" s="14"/>
      <c r="V836" s="14"/>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row>
    <row r="837" spans="1:226" ht="14.25" customHeight="1" x14ac:dyDescent="0.25">
      <c r="A837" s="1"/>
      <c r="B837" s="1"/>
      <c r="C837" s="1"/>
      <c r="D837" s="1"/>
      <c r="E837" s="1"/>
      <c r="F837" s="1"/>
      <c r="G837" s="1"/>
      <c r="H837" s="1"/>
      <c r="I837" s="1"/>
      <c r="J837" s="1"/>
      <c r="K837" s="1"/>
      <c r="L837" s="1"/>
      <c r="M837" s="1"/>
      <c r="N837" s="1"/>
      <c r="O837" s="1"/>
      <c r="P837" s="1"/>
      <c r="Q837" s="1"/>
      <c r="R837" s="1"/>
      <c r="S837" s="1"/>
      <c r="T837" s="14"/>
      <c r="U837" s="14"/>
      <c r="V837" s="14"/>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row>
    <row r="838" spans="1:226" ht="14.25" customHeight="1" x14ac:dyDescent="0.25">
      <c r="A838" s="1"/>
      <c r="B838" s="1"/>
      <c r="C838" s="1"/>
      <c r="D838" s="1"/>
      <c r="E838" s="1"/>
      <c r="F838" s="1"/>
      <c r="G838" s="1"/>
      <c r="H838" s="1"/>
      <c r="I838" s="1"/>
      <c r="J838" s="1"/>
      <c r="K838" s="1"/>
      <c r="L838" s="1"/>
      <c r="M838" s="1"/>
      <c r="N838" s="1"/>
      <c r="O838" s="1"/>
      <c r="P838" s="1"/>
      <c r="Q838" s="1"/>
      <c r="R838" s="1"/>
      <c r="S838" s="1"/>
      <c r="T838" s="14"/>
      <c r="U838" s="14"/>
      <c r="V838" s="14"/>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row>
    <row r="839" spans="1:226" ht="14.25" customHeight="1" x14ac:dyDescent="0.25">
      <c r="A839" s="1"/>
      <c r="B839" s="1"/>
      <c r="C839" s="1"/>
      <c r="D839" s="1"/>
      <c r="E839" s="1"/>
      <c r="F839" s="1"/>
      <c r="G839" s="1"/>
      <c r="H839" s="1"/>
      <c r="I839" s="1"/>
      <c r="J839" s="1"/>
      <c r="K839" s="1"/>
      <c r="L839" s="1"/>
      <c r="M839" s="1"/>
      <c r="N839" s="1"/>
      <c r="O839" s="1"/>
      <c r="P839" s="1"/>
      <c r="Q839" s="1"/>
      <c r="R839" s="1"/>
      <c r="S839" s="1"/>
      <c r="T839" s="14"/>
      <c r="U839" s="14"/>
      <c r="V839" s="14"/>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row>
    <row r="840" spans="1:226" ht="14.25" customHeight="1" x14ac:dyDescent="0.25">
      <c r="A840" s="1"/>
      <c r="B840" s="1"/>
      <c r="C840" s="1"/>
      <c r="D840" s="1"/>
      <c r="E840" s="1"/>
      <c r="F840" s="1"/>
      <c r="G840" s="1"/>
      <c r="H840" s="1"/>
      <c r="I840" s="1"/>
      <c r="J840" s="1"/>
      <c r="K840" s="1"/>
      <c r="L840" s="1"/>
      <c r="M840" s="1"/>
      <c r="N840" s="1"/>
      <c r="O840" s="1"/>
      <c r="P840" s="1"/>
      <c r="Q840" s="1"/>
      <c r="R840" s="1"/>
      <c r="S840" s="1"/>
      <c r="T840" s="14"/>
      <c r="U840" s="14"/>
      <c r="V840" s="14"/>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row>
    <row r="841" spans="1:226" ht="14.25" customHeight="1" x14ac:dyDescent="0.25">
      <c r="A841" s="1"/>
      <c r="B841" s="1"/>
      <c r="C841" s="1"/>
      <c r="D841" s="1"/>
      <c r="E841" s="1"/>
      <c r="F841" s="1"/>
      <c r="G841" s="1"/>
      <c r="H841" s="1"/>
      <c r="I841" s="1"/>
      <c r="J841" s="1"/>
      <c r="K841" s="1"/>
      <c r="L841" s="1"/>
      <c r="M841" s="1"/>
      <c r="N841" s="1"/>
      <c r="O841" s="1"/>
      <c r="P841" s="1"/>
      <c r="Q841" s="1"/>
      <c r="R841" s="1"/>
      <c r="S841" s="1"/>
      <c r="T841" s="14"/>
      <c r="U841" s="14"/>
      <c r="V841" s="14"/>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row>
    <row r="842" spans="1:226" ht="14.25" customHeight="1" x14ac:dyDescent="0.25">
      <c r="A842" s="1"/>
      <c r="B842" s="1"/>
      <c r="C842" s="1"/>
      <c r="D842" s="1"/>
      <c r="E842" s="1"/>
      <c r="F842" s="1"/>
      <c r="G842" s="1"/>
      <c r="H842" s="1"/>
      <c r="I842" s="1"/>
      <c r="J842" s="1"/>
      <c r="K842" s="1"/>
      <c r="L842" s="1"/>
      <c r="M842" s="1"/>
      <c r="N842" s="1"/>
      <c r="O842" s="1"/>
      <c r="P842" s="1"/>
      <c r="Q842" s="1"/>
      <c r="R842" s="1"/>
      <c r="S842" s="1"/>
      <c r="T842" s="14"/>
      <c r="U842" s="14"/>
      <c r="V842" s="14"/>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row>
    <row r="843" spans="1:226" ht="14.25" customHeight="1" x14ac:dyDescent="0.25">
      <c r="A843" s="1"/>
      <c r="B843" s="1"/>
      <c r="C843" s="1"/>
      <c r="D843" s="1"/>
      <c r="E843" s="1"/>
      <c r="F843" s="1"/>
      <c r="G843" s="1"/>
      <c r="H843" s="1"/>
      <c r="I843" s="1"/>
      <c r="J843" s="1"/>
      <c r="K843" s="1"/>
      <c r="L843" s="1"/>
      <c r="M843" s="1"/>
      <c r="N843" s="1"/>
      <c r="O843" s="1"/>
      <c r="P843" s="1"/>
      <c r="Q843" s="1"/>
      <c r="R843" s="1"/>
      <c r="S843" s="1"/>
      <c r="T843" s="14"/>
      <c r="U843" s="14"/>
      <c r="V843" s="14"/>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row>
    <row r="844" spans="1:226" ht="14.25" customHeight="1" x14ac:dyDescent="0.25">
      <c r="A844" s="1"/>
      <c r="B844" s="1"/>
      <c r="C844" s="1"/>
      <c r="D844" s="1"/>
      <c r="E844" s="1"/>
      <c r="F844" s="1"/>
      <c r="G844" s="1"/>
      <c r="H844" s="1"/>
      <c r="I844" s="1"/>
      <c r="J844" s="1"/>
      <c r="K844" s="1"/>
      <c r="L844" s="1"/>
      <c r="M844" s="1"/>
      <c r="N844" s="1"/>
      <c r="O844" s="1"/>
      <c r="P844" s="1"/>
      <c r="Q844" s="1"/>
      <c r="R844" s="1"/>
      <c r="S844" s="1"/>
      <c r="T844" s="14"/>
      <c r="U844" s="14"/>
      <c r="V844" s="14"/>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row>
    <row r="845" spans="1:226" ht="14.25" customHeight="1" x14ac:dyDescent="0.25">
      <c r="A845" s="1"/>
      <c r="B845" s="1"/>
      <c r="C845" s="1"/>
      <c r="D845" s="1"/>
      <c r="E845" s="1"/>
      <c r="F845" s="1"/>
      <c r="G845" s="1"/>
      <c r="H845" s="1"/>
      <c r="I845" s="1"/>
      <c r="J845" s="1"/>
      <c r="K845" s="1"/>
      <c r="L845" s="1"/>
      <c r="M845" s="1"/>
      <c r="N845" s="1"/>
      <c r="O845" s="1"/>
      <c r="P845" s="1"/>
      <c r="Q845" s="1"/>
      <c r="R845" s="1"/>
      <c r="S845" s="1"/>
      <c r="T845" s="14"/>
      <c r="U845" s="14"/>
      <c r="V845" s="14"/>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row>
    <row r="846" spans="1:226" ht="14.25" customHeight="1" x14ac:dyDescent="0.25">
      <c r="A846" s="1"/>
      <c r="B846" s="1"/>
      <c r="C846" s="1"/>
      <c r="D846" s="1"/>
      <c r="E846" s="1"/>
      <c r="F846" s="1"/>
      <c r="G846" s="1"/>
      <c r="H846" s="1"/>
      <c r="I846" s="1"/>
      <c r="J846" s="1"/>
      <c r="K846" s="1"/>
      <c r="L846" s="1"/>
      <c r="M846" s="1"/>
      <c r="N846" s="1"/>
      <c r="O846" s="1"/>
      <c r="P846" s="1"/>
      <c r="Q846" s="1"/>
      <c r="R846" s="1"/>
      <c r="S846" s="1"/>
      <c r="T846" s="14"/>
      <c r="U846" s="14"/>
      <c r="V846" s="14"/>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row>
    <row r="847" spans="1:226" ht="14.25" customHeight="1" x14ac:dyDescent="0.25">
      <c r="A847" s="1"/>
      <c r="B847" s="1"/>
      <c r="C847" s="1"/>
      <c r="D847" s="1"/>
      <c r="E847" s="1"/>
      <c r="F847" s="1"/>
      <c r="G847" s="1"/>
      <c r="H847" s="1"/>
      <c r="I847" s="1"/>
      <c r="J847" s="1"/>
      <c r="K847" s="1"/>
      <c r="L847" s="1"/>
      <c r="M847" s="1"/>
      <c r="N847" s="1"/>
      <c r="O847" s="1"/>
      <c r="P847" s="1"/>
      <c r="Q847" s="1"/>
      <c r="R847" s="1"/>
      <c r="S847" s="1"/>
      <c r="T847" s="14"/>
      <c r="U847" s="14"/>
      <c r="V847" s="14"/>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row>
    <row r="848" spans="1:226" ht="14.25" customHeight="1" x14ac:dyDescent="0.25">
      <c r="A848" s="1"/>
      <c r="B848" s="1"/>
      <c r="C848" s="1"/>
      <c r="D848" s="1"/>
      <c r="E848" s="1"/>
      <c r="F848" s="1"/>
      <c r="G848" s="1"/>
      <c r="H848" s="1"/>
      <c r="I848" s="1"/>
      <c r="J848" s="1"/>
      <c r="K848" s="1"/>
      <c r="L848" s="1"/>
      <c r="M848" s="1"/>
      <c r="N848" s="1"/>
      <c r="O848" s="1"/>
      <c r="P848" s="1"/>
      <c r="Q848" s="1"/>
      <c r="R848" s="1"/>
      <c r="S848" s="1"/>
      <c r="T848" s="14"/>
      <c r="U848" s="14"/>
      <c r="V848" s="14"/>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row>
    <row r="849" spans="1:226" ht="14.25" customHeight="1" x14ac:dyDescent="0.25">
      <c r="A849" s="1"/>
      <c r="B849" s="1"/>
      <c r="C849" s="1"/>
      <c r="D849" s="1"/>
      <c r="E849" s="1"/>
      <c r="F849" s="1"/>
      <c r="G849" s="1"/>
      <c r="H849" s="1"/>
      <c r="I849" s="1"/>
      <c r="J849" s="1"/>
      <c r="K849" s="1"/>
      <c r="L849" s="1"/>
      <c r="M849" s="1"/>
      <c r="N849" s="1"/>
      <c r="O849" s="1"/>
      <c r="P849" s="1"/>
      <c r="Q849" s="1"/>
      <c r="R849" s="1"/>
      <c r="S849" s="1"/>
      <c r="T849" s="14"/>
      <c r="U849" s="14"/>
      <c r="V849" s="14"/>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row>
    <row r="850" spans="1:226" ht="14.25" customHeight="1" x14ac:dyDescent="0.25">
      <c r="A850" s="1"/>
      <c r="B850" s="1"/>
      <c r="C850" s="1"/>
      <c r="D850" s="1"/>
      <c r="E850" s="1"/>
      <c r="F850" s="1"/>
      <c r="G850" s="1"/>
      <c r="H850" s="1"/>
      <c r="I850" s="1"/>
      <c r="J850" s="1"/>
      <c r="K850" s="1"/>
      <c r="L850" s="1"/>
      <c r="M850" s="1"/>
      <c r="N850" s="1"/>
      <c r="O850" s="1"/>
      <c r="P850" s="1"/>
      <c r="Q850" s="1"/>
      <c r="R850" s="1"/>
      <c r="S850" s="1"/>
      <c r="T850" s="14"/>
      <c r="U850" s="14"/>
      <c r="V850" s="14"/>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row>
    <row r="851" spans="1:226" ht="14.25" customHeight="1" x14ac:dyDescent="0.25">
      <c r="A851" s="1"/>
      <c r="B851" s="1"/>
      <c r="C851" s="1"/>
      <c r="D851" s="1"/>
      <c r="E851" s="1"/>
      <c r="F851" s="1"/>
      <c r="G851" s="1"/>
      <c r="H851" s="1"/>
      <c r="I851" s="1"/>
      <c r="J851" s="1"/>
      <c r="K851" s="1"/>
      <c r="L851" s="1"/>
      <c r="M851" s="1"/>
      <c r="N851" s="1"/>
      <c r="O851" s="1"/>
      <c r="P851" s="1"/>
      <c r="Q851" s="1"/>
      <c r="R851" s="1"/>
      <c r="S851" s="1"/>
      <c r="T851" s="14"/>
      <c r="U851" s="14"/>
      <c r="V851" s="14"/>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row>
    <row r="852" spans="1:226" ht="14.25" customHeight="1" x14ac:dyDescent="0.25">
      <c r="A852" s="1"/>
      <c r="B852" s="1"/>
      <c r="C852" s="1"/>
      <c r="D852" s="1"/>
      <c r="E852" s="1"/>
      <c r="F852" s="1"/>
      <c r="G852" s="1"/>
      <c r="H852" s="1"/>
      <c r="I852" s="1"/>
      <c r="J852" s="1"/>
      <c r="K852" s="1"/>
      <c r="L852" s="1"/>
      <c r="M852" s="1"/>
      <c r="N852" s="1"/>
      <c r="O852" s="1"/>
      <c r="P852" s="1"/>
      <c r="Q852" s="1"/>
      <c r="R852" s="1"/>
      <c r="S852" s="1"/>
      <c r="T852" s="14"/>
      <c r="U852" s="14"/>
      <c r="V852" s="14"/>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row>
    <row r="853" spans="1:226" ht="14.25" customHeight="1" x14ac:dyDescent="0.25">
      <c r="A853" s="1"/>
      <c r="B853" s="1"/>
      <c r="C853" s="1"/>
      <c r="D853" s="1"/>
      <c r="E853" s="1"/>
      <c r="F853" s="1"/>
      <c r="G853" s="1"/>
      <c r="H853" s="1"/>
      <c r="I853" s="1"/>
      <c r="J853" s="1"/>
      <c r="K853" s="1"/>
      <c r="L853" s="1"/>
      <c r="M853" s="1"/>
      <c r="N853" s="1"/>
      <c r="O853" s="1"/>
      <c r="P853" s="1"/>
      <c r="Q853" s="1"/>
      <c r="R853" s="1"/>
      <c r="S853" s="1"/>
      <c r="T853" s="14"/>
      <c r="U853" s="14"/>
      <c r="V853" s="14"/>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row>
    <row r="854" spans="1:226" ht="14.25" customHeight="1" x14ac:dyDescent="0.25">
      <c r="A854" s="1"/>
      <c r="B854" s="1"/>
      <c r="C854" s="1"/>
      <c r="D854" s="1"/>
      <c r="E854" s="1"/>
      <c r="F854" s="1"/>
      <c r="G854" s="1"/>
      <c r="H854" s="1"/>
      <c r="I854" s="1"/>
      <c r="J854" s="1"/>
      <c r="K854" s="1"/>
      <c r="L854" s="1"/>
      <c r="M854" s="1"/>
      <c r="N854" s="1"/>
      <c r="O854" s="1"/>
      <c r="P854" s="1"/>
      <c r="Q854" s="1"/>
      <c r="R854" s="1"/>
      <c r="S854" s="1"/>
      <c r="T854" s="14"/>
      <c r="U854" s="14"/>
      <c r="V854" s="14"/>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row>
    <row r="855" spans="1:226" ht="14.25" customHeight="1" x14ac:dyDescent="0.25">
      <c r="A855" s="1"/>
      <c r="B855" s="1"/>
      <c r="C855" s="1"/>
      <c r="D855" s="1"/>
      <c r="E855" s="1"/>
      <c r="F855" s="1"/>
      <c r="G855" s="1"/>
      <c r="H855" s="1"/>
      <c r="I855" s="1"/>
      <c r="J855" s="1"/>
      <c r="K855" s="1"/>
      <c r="L855" s="1"/>
      <c r="M855" s="1"/>
      <c r="N855" s="1"/>
      <c r="O855" s="1"/>
      <c r="P855" s="1"/>
      <c r="Q855" s="1"/>
      <c r="R855" s="1"/>
      <c r="S855" s="1"/>
      <c r="T855" s="14"/>
      <c r="U855" s="14"/>
      <c r="V855" s="14"/>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row>
    <row r="856" spans="1:226" ht="14.25" customHeight="1" x14ac:dyDescent="0.25">
      <c r="A856" s="1"/>
      <c r="B856" s="1"/>
      <c r="C856" s="1"/>
      <c r="D856" s="1"/>
      <c r="E856" s="1"/>
      <c r="F856" s="1"/>
      <c r="G856" s="1"/>
      <c r="H856" s="1"/>
      <c r="I856" s="1"/>
      <c r="J856" s="1"/>
      <c r="K856" s="1"/>
      <c r="L856" s="1"/>
      <c r="M856" s="1"/>
      <c r="N856" s="1"/>
      <c r="O856" s="1"/>
      <c r="P856" s="1"/>
      <c r="Q856" s="1"/>
      <c r="R856" s="1"/>
      <c r="S856" s="1"/>
      <c r="T856" s="14"/>
      <c r="U856" s="14"/>
      <c r="V856" s="14"/>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row>
    <row r="857" spans="1:226" ht="14.25" customHeight="1" x14ac:dyDescent="0.25">
      <c r="A857" s="1"/>
      <c r="B857" s="1"/>
      <c r="C857" s="1"/>
      <c r="D857" s="1"/>
      <c r="E857" s="1"/>
      <c r="F857" s="1"/>
      <c r="G857" s="1"/>
      <c r="H857" s="1"/>
      <c r="I857" s="1"/>
      <c r="J857" s="1"/>
      <c r="K857" s="1"/>
      <c r="L857" s="1"/>
      <c r="M857" s="1"/>
      <c r="N857" s="1"/>
      <c r="O857" s="1"/>
      <c r="P857" s="1"/>
      <c r="Q857" s="1"/>
      <c r="R857" s="1"/>
      <c r="S857" s="1"/>
      <c r="T857" s="14"/>
      <c r="U857" s="14"/>
      <c r="V857" s="14"/>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row>
    <row r="858" spans="1:226" ht="14.25" customHeight="1" x14ac:dyDescent="0.25">
      <c r="A858" s="1"/>
      <c r="B858" s="1"/>
      <c r="C858" s="1"/>
      <c r="D858" s="1"/>
      <c r="E858" s="1"/>
      <c r="F858" s="1"/>
      <c r="G858" s="1"/>
      <c r="H858" s="1"/>
      <c r="I858" s="1"/>
      <c r="J858" s="1"/>
      <c r="K858" s="1"/>
      <c r="L858" s="1"/>
      <c r="M858" s="1"/>
      <c r="N858" s="1"/>
      <c r="O858" s="1"/>
      <c r="P858" s="1"/>
      <c r="Q858" s="1"/>
      <c r="R858" s="1"/>
      <c r="S858" s="1"/>
      <c r="T858" s="14"/>
      <c r="U858" s="14"/>
      <c r="V858" s="14"/>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row>
    <row r="859" spans="1:226" ht="14.25" customHeight="1" x14ac:dyDescent="0.25">
      <c r="A859" s="1"/>
      <c r="B859" s="1"/>
      <c r="C859" s="1"/>
      <c r="D859" s="1"/>
      <c r="E859" s="1"/>
      <c r="F859" s="1"/>
      <c r="G859" s="1"/>
      <c r="H859" s="1"/>
      <c r="I859" s="1"/>
      <c r="J859" s="1"/>
      <c r="K859" s="1"/>
      <c r="L859" s="1"/>
      <c r="M859" s="1"/>
      <c r="N859" s="1"/>
      <c r="O859" s="1"/>
      <c r="P859" s="1"/>
      <c r="Q859" s="1"/>
      <c r="R859" s="1"/>
      <c r="S859" s="1"/>
      <c r="T859" s="14"/>
      <c r="U859" s="14"/>
      <c r="V859" s="14"/>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row>
    <row r="860" spans="1:226" ht="14.25" customHeight="1" x14ac:dyDescent="0.25">
      <c r="A860" s="1"/>
      <c r="B860" s="1"/>
      <c r="C860" s="1"/>
      <c r="D860" s="1"/>
      <c r="E860" s="1"/>
      <c r="F860" s="1"/>
      <c r="G860" s="1"/>
      <c r="H860" s="1"/>
      <c r="I860" s="1"/>
      <c r="J860" s="1"/>
      <c r="K860" s="1"/>
      <c r="L860" s="1"/>
      <c r="M860" s="1"/>
      <c r="N860" s="1"/>
      <c r="O860" s="1"/>
      <c r="P860" s="1"/>
      <c r="Q860" s="1"/>
      <c r="R860" s="1"/>
      <c r="S860" s="1"/>
      <c r="T860" s="14"/>
      <c r="U860" s="14"/>
      <c r="V860" s="14"/>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row>
    <row r="861" spans="1:226" ht="14.25" customHeight="1" x14ac:dyDescent="0.25">
      <c r="A861" s="1"/>
      <c r="B861" s="1"/>
      <c r="C861" s="1"/>
      <c r="D861" s="1"/>
      <c r="E861" s="1"/>
      <c r="F861" s="1"/>
      <c r="G861" s="1"/>
      <c r="H861" s="1"/>
      <c r="I861" s="1"/>
      <c r="J861" s="1"/>
      <c r="K861" s="1"/>
      <c r="L861" s="1"/>
      <c r="M861" s="1"/>
      <c r="N861" s="1"/>
      <c r="O861" s="1"/>
      <c r="P861" s="1"/>
      <c r="Q861" s="1"/>
      <c r="R861" s="1"/>
      <c r="S861" s="1"/>
      <c r="T861" s="14"/>
      <c r="U861" s="14"/>
      <c r="V861" s="14"/>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row>
    <row r="862" spans="1:226" ht="14.25" customHeight="1" x14ac:dyDescent="0.25">
      <c r="A862" s="1"/>
      <c r="B862" s="1"/>
      <c r="C862" s="1"/>
      <c r="D862" s="1"/>
      <c r="E862" s="1"/>
      <c r="F862" s="1"/>
      <c r="G862" s="1"/>
      <c r="H862" s="1"/>
      <c r="I862" s="1"/>
      <c r="J862" s="1"/>
      <c r="K862" s="1"/>
      <c r="L862" s="1"/>
      <c r="M862" s="1"/>
      <c r="N862" s="1"/>
      <c r="O862" s="1"/>
      <c r="P862" s="1"/>
      <c r="Q862" s="1"/>
      <c r="R862" s="1"/>
      <c r="S862" s="1"/>
      <c r="T862" s="14"/>
      <c r="U862" s="14"/>
      <c r="V862" s="14"/>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row>
    <row r="863" spans="1:226" ht="14.25" customHeight="1" x14ac:dyDescent="0.25">
      <c r="A863" s="1"/>
      <c r="B863" s="1"/>
      <c r="C863" s="1"/>
      <c r="D863" s="1"/>
      <c r="E863" s="1"/>
      <c r="F863" s="1"/>
      <c r="G863" s="1"/>
      <c r="H863" s="1"/>
      <c r="I863" s="1"/>
      <c r="J863" s="1"/>
      <c r="K863" s="1"/>
      <c r="L863" s="1"/>
      <c r="M863" s="1"/>
      <c r="N863" s="1"/>
      <c r="O863" s="1"/>
      <c r="P863" s="1"/>
      <c r="Q863" s="1"/>
      <c r="R863" s="1"/>
      <c r="S863" s="1"/>
      <c r="T863" s="14"/>
      <c r="U863" s="14"/>
      <c r="V863" s="14"/>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row>
    <row r="864" spans="1:226" ht="14.25" customHeight="1" x14ac:dyDescent="0.25">
      <c r="A864" s="1"/>
      <c r="B864" s="1"/>
      <c r="C864" s="1"/>
      <c r="D864" s="1"/>
      <c r="E864" s="1"/>
      <c r="F864" s="1"/>
      <c r="G864" s="1"/>
      <c r="H864" s="1"/>
      <c r="I864" s="1"/>
      <c r="J864" s="1"/>
      <c r="K864" s="1"/>
      <c r="L864" s="1"/>
      <c r="M864" s="1"/>
      <c r="N864" s="1"/>
      <c r="O864" s="1"/>
      <c r="P864" s="1"/>
      <c r="Q864" s="1"/>
      <c r="R864" s="1"/>
      <c r="S864" s="1"/>
      <c r="T864" s="14"/>
      <c r="U864" s="14"/>
      <c r="V864" s="14"/>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row>
    <row r="865" spans="1:226" ht="14.25" customHeight="1" x14ac:dyDescent="0.25">
      <c r="A865" s="1"/>
      <c r="B865" s="1"/>
      <c r="C865" s="1"/>
      <c r="D865" s="1"/>
      <c r="E865" s="1"/>
      <c r="F865" s="1"/>
      <c r="G865" s="1"/>
      <c r="H865" s="1"/>
      <c r="I865" s="1"/>
      <c r="J865" s="1"/>
      <c r="K865" s="1"/>
      <c r="L865" s="1"/>
      <c r="M865" s="1"/>
      <c r="N865" s="1"/>
      <c r="O865" s="1"/>
      <c r="P865" s="1"/>
      <c r="Q865" s="1"/>
      <c r="R865" s="1"/>
      <c r="S865" s="1"/>
      <c r="T865" s="14"/>
      <c r="U865" s="14"/>
      <c r="V865" s="14"/>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row>
    <row r="866" spans="1:226" ht="14.25" customHeight="1" x14ac:dyDescent="0.25">
      <c r="A866" s="1"/>
      <c r="B866" s="1"/>
      <c r="C866" s="1"/>
      <c r="D866" s="1"/>
      <c r="E866" s="1"/>
      <c r="F866" s="1"/>
      <c r="G866" s="1"/>
      <c r="H866" s="1"/>
      <c r="I866" s="1"/>
      <c r="J866" s="1"/>
      <c r="K866" s="1"/>
      <c r="L866" s="1"/>
      <c r="M866" s="1"/>
      <c r="N866" s="1"/>
      <c r="O866" s="1"/>
      <c r="P866" s="1"/>
      <c r="Q866" s="1"/>
      <c r="R866" s="1"/>
      <c r="S866" s="1"/>
      <c r="T866" s="14"/>
      <c r="U866" s="14"/>
      <c r="V866" s="14"/>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row>
    <row r="867" spans="1:226" ht="14.25" customHeight="1" x14ac:dyDescent="0.25">
      <c r="A867" s="1"/>
      <c r="B867" s="1"/>
      <c r="C867" s="1"/>
      <c r="D867" s="1"/>
      <c r="E867" s="1"/>
      <c r="F867" s="1"/>
      <c r="G867" s="1"/>
      <c r="H867" s="1"/>
      <c r="I867" s="1"/>
      <c r="J867" s="1"/>
      <c r="K867" s="1"/>
      <c r="L867" s="1"/>
      <c r="M867" s="1"/>
      <c r="N867" s="1"/>
      <c r="O867" s="1"/>
      <c r="P867" s="1"/>
      <c r="Q867" s="1"/>
      <c r="R867" s="1"/>
      <c r="S867" s="1"/>
      <c r="T867" s="14"/>
      <c r="U867" s="14"/>
      <c r="V867" s="14"/>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row>
    <row r="868" spans="1:226" ht="14.25" customHeight="1" x14ac:dyDescent="0.25">
      <c r="A868" s="1"/>
      <c r="B868" s="1"/>
      <c r="C868" s="1"/>
      <c r="D868" s="1"/>
      <c r="E868" s="1"/>
      <c r="F868" s="1"/>
      <c r="G868" s="1"/>
      <c r="H868" s="1"/>
      <c r="I868" s="1"/>
      <c r="J868" s="1"/>
      <c r="K868" s="1"/>
      <c r="L868" s="1"/>
      <c r="M868" s="1"/>
      <c r="N868" s="1"/>
      <c r="O868" s="1"/>
      <c r="P868" s="1"/>
      <c r="Q868" s="1"/>
      <c r="R868" s="1"/>
      <c r="S868" s="1"/>
      <c r="T868" s="14"/>
      <c r="U868" s="14"/>
      <c r="V868" s="14"/>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row>
    <row r="869" spans="1:226" ht="14.25" customHeight="1" x14ac:dyDescent="0.25">
      <c r="A869" s="1"/>
      <c r="B869" s="1"/>
      <c r="C869" s="1"/>
      <c r="D869" s="1"/>
      <c r="E869" s="1"/>
      <c r="F869" s="1"/>
      <c r="G869" s="1"/>
      <c r="H869" s="1"/>
      <c r="I869" s="1"/>
      <c r="J869" s="1"/>
      <c r="K869" s="1"/>
      <c r="L869" s="1"/>
      <c r="M869" s="1"/>
      <c r="N869" s="1"/>
      <c r="O869" s="1"/>
      <c r="P869" s="1"/>
      <c r="Q869" s="1"/>
      <c r="R869" s="1"/>
      <c r="S869" s="1"/>
      <c r="T869" s="14"/>
      <c r="U869" s="14"/>
      <c r="V869" s="14"/>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row>
    <row r="870" spans="1:226" ht="14.25" customHeight="1" x14ac:dyDescent="0.25">
      <c r="A870" s="1"/>
      <c r="B870" s="1"/>
      <c r="C870" s="1"/>
      <c r="D870" s="1"/>
      <c r="E870" s="1"/>
      <c r="F870" s="1"/>
      <c r="G870" s="1"/>
      <c r="H870" s="1"/>
      <c r="I870" s="1"/>
      <c r="J870" s="1"/>
      <c r="K870" s="1"/>
      <c r="L870" s="1"/>
      <c r="M870" s="1"/>
      <c r="N870" s="1"/>
      <c r="O870" s="1"/>
      <c r="P870" s="1"/>
      <c r="Q870" s="1"/>
      <c r="R870" s="1"/>
      <c r="S870" s="1"/>
      <c r="T870" s="14"/>
      <c r="U870" s="14"/>
      <c r="V870" s="14"/>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row>
    <row r="871" spans="1:226" ht="14.25" customHeight="1" x14ac:dyDescent="0.25">
      <c r="A871" s="1"/>
      <c r="B871" s="1"/>
      <c r="C871" s="1"/>
      <c r="D871" s="1"/>
      <c r="E871" s="1"/>
      <c r="F871" s="1"/>
      <c r="G871" s="1"/>
      <c r="H871" s="1"/>
      <c r="I871" s="1"/>
      <c r="J871" s="1"/>
      <c r="K871" s="1"/>
      <c r="L871" s="1"/>
      <c r="M871" s="1"/>
      <c r="N871" s="1"/>
      <c r="O871" s="1"/>
      <c r="P871" s="1"/>
      <c r="Q871" s="1"/>
      <c r="R871" s="1"/>
      <c r="S871" s="1"/>
      <c r="T871" s="14"/>
      <c r="U871" s="14"/>
      <c r="V871" s="14"/>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row>
    <row r="872" spans="1:226" ht="14.25" customHeight="1" x14ac:dyDescent="0.25">
      <c r="A872" s="1"/>
      <c r="B872" s="1"/>
      <c r="C872" s="1"/>
      <c r="D872" s="1"/>
      <c r="E872" s="1"/>
      <c r="F872" s="1"/>
      <c r="G872" s="1"/>
      <c r="H872" s="1"/>
      <c r="I872" s="1"/>
      <c r="J872" s="1"/>
      <c r="K872" s="1"/>
      <c r="L872" s="1"/>
      <c r="M872" s="1"/>
      <c r="N872" s="1"/>
      <c r="O872" s="1"/>
      <c r="P872" s="1"/>
      <c r="Q872" s="1"/>
      <c r="R872" s="1"/>
      <c r="S872" s="1"/>
      <c r="T872" s="14"/>
      <c r="U872" s="14"/>
      <c r="V872" s="14"/>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row>
    <row r="873" spans="1:226" ht="14.25" customHeight="1" x14ac:dyDescent="0.25">
      <c r="A873" s="1"/>
      <c r="B873" s="1"/>
      <c r="C873" s="1"/>
      <c r="D873" s="1"/>
      <c r="E873" s="1"/>
      <c r="F873" s="1"/>
      <c r="G873" s="1"/>
      <c r="H873" s="1"/>
      <c r="I873" s="1"/>
      <c r="J873" s="1"/>
      <c r="K873" s="1"/>
      <c r="L873" s="1"/>
      <c r="M873" s="1"/>
      <c r="N873" s="1"/>
      <c r="O873" s="1"/>
      <c r="P873" s="1"/>
      <c r="Q873" s="1"/>
      <c r="R873" s="1"/>
      <c r="S873" s="1"/>
      <c r="T873" s="14"/>
      <c r="U873" s="14"/>
      <c r="V873" s="14"/>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row>
    <row r="874" spans="1:226" ht="14.25" customHeight="1" x14ac:dyDescent="0.25">
      <c r="A874" s="1"/>
      <c r="B874" s="1"/>
      <c r="C874" s="1"/>
      <c r="D874" s="1"/>
      <c r="E874" s="1"/>
      <c r="F874" s="1"/>
      <c r="G874" s="1"/>
      <c r="H874" s="1"/>
      <c r="I874" s="1"/>
      <c r="J874" s="1"/>
      <c r="K874" s="1"/>
      <c r="L874" s="1"/>
      <c r="M874" s="1"/>
      <c r="N874" s="1"/>
      <c r="O874" s="1"/>
      <c r="P874" s="1"/>
      <c r="Q874" s="1"/>
      <c r="R874" s="1"/>
      <c r="S874" s="1"/>
      <c r="T874" s="14"/>
      <c r="U874" s="14"/>
      <c r="V874" s="14"/>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row>
    <row r="875" spans="1:226" ht="14.25" customHeight="1" x14ac:dyDescent="0.25">
      <c r="A875" s="1"/>
      <c r="B875" s="1"/>
      <c r="C875" s="1"/>
      <c r="D875" s="1"/>
      <c r="E875" s="1"/>
      <c r="F875" s="1"/>
      <c r="G875" s="1"/>
      <c r="H875" s="1"/>
      <c r="I875" s="1"/>
      <c r="J875" s="1"/>
      <c r="K875" s="1"/>
      <c r="L875" s="1"/>
      <c r="M875" s="1"/>
      <c r="N875" s="1"/>
      <c r="O875" s="1"/>
      <c r="P875" s="1"/>
      <c r="Q875" s="1"/>
      <c r="R875" s="1"/>
      <c r="S875" s="1"/>
      <c r="T875" s="14"/>
      <c r="U875" s="14"/>
      <c r="V875" s="14"/>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row>
    <row r="876" spans="1:226" ht="14.25" customHeight="1" x14ac:dyDescent="0.25">
      <c r="A876" s="1"/>
      <c r="B876" s="1"/>
      <c r="C876" s="1"/>
      <c r="D876" s="1"/>
      <c r="E876" s="1"/>
      <c r="F876" s="1"/>
      <c r="G876" s="1"/>
      <c r="H876" s="1"/>
      <c r="I876" s="1"/>
      <c r="J876" s="1"/>
      <c r="K876" s="1"/>
      <c r="L876" s="1"/>
      <c r="M876" s="1"/>
      <c r="N876" s="1"/>
      <c r="O876" s="1"/>
      <c r="P876" s="1"/>
      <c r="Q876" s="1"/>
      <c r="R876" s="1"/>
      <c r="S876" s="1"/>
      <c r="T876" s="14"/>
      <c r="U876" s="14"/>
      <c r="V876" s="14"/>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row>
    <row r="877" spans="1:226" ht="14.25" customHeight="1" x14ac:dyDescent="0.25">
      <c r="A877" s="1"/>
      <c r="B877" s="1"/>
      <c r="C877" s="1"/>
      <c r="D877" s="1"/>
      <c r="E877" s="1"/>
      <c r="F877" s="1"/>
      <c r="G877" s="1"/>
      <c r="H877" s="1"/>
      <c r="I877" s="1"/>
      <c r="J877" s="1"/>
      <c r="K877" s="1"/>
      <c r="L877" s="1"/>
      <c r="M877" s="1"/>
      <c r="N877" s="1"/>
      <c r="O877" s="1"/>
      <c r="P877" s="1"/>
      <c r="Q877" s="1"/>
      <c r="R877" s="1"/>
      <c r="S877" s="1"/>
      <c r="T877" s="14"/>
      <c r="U877" s="14"/>
      <c r="V877" s="14"/>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row>
    <row r="878" spans="1:226" ht="14.25" customHeight="1" x14ac:dyDescent="0.25">
      <c r="A878" s="1"/>
      <c r="B878" s="1"/>
      <c r="C878" s="1"/>
      <c r="D878" s="1"/>
      <c r="E878" s="1"/>
      <c r="F878" s="1"/>
      <c r="G878" s="1"/>
      <c r="H878" s="1"/>
      <c r="I878" s="1"/>
      <c r="J878" s="1"/>
      <c r="K878" s="1"/>
      <c r="L878" s="1"/>
      <c r="M878" s="1"/>
      <c r="N878" s="1"/>
      <c r="O878" s="1"/>
      <c r="P878" s="1"/>
      <c r="Q878" s="1"/>
      <c r="R878" s="1"/>
      <c r="S878" s="1"/>
      <c r="T878" s="14"/>
      <c r="U878" s="14"/>
      <c r="V878" s="14"/>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row>
    <row r="879" spans="1:226" ht="14.25" customHeight="1" x14ac:dyDescent="0.25">
      <c r="A879" s="1"/>
      <c r="B879" s="1"/>
      <c r="C879" s="1"/>
      <c r="D879" s="1"/>
      <c r="E879" s="1"/>
      <c r="F879" s="1"/>
      <c r="G879" s="1"/>
      <c r="H879" s="1"/>
      <c r="I879" s="1"/>
      <c r="J879" s="1"/>
      <c r="K879" s="1"/>
      <c r="L879" s="1"/>
      <c r="M879" s="1"/>
      <c r="N879" s="1"/>
      <c r="O879" s="1"/>
      <c r="P879" s="1"/>
      <c r="Q879" s="1"/>
      <c r="R879" s="1"/>
      <c r="S879" s="1"/>
      <c r="T879" s="14"/>
      <c r="U879" s="14"/>
      <c r="V879" s="14"/>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row>
    <row r="880" spans="1:226" ht="14.25" customHeight="1" x14ac:dyDescent="0.25">
      <c r="A880" s="1"/>
      <c r="B880" s="1"/>
      <c r="C880" s="1"/>
      <c r="D880" s="1"/>
      <c r="E880" s="1"/>
      <c r="F880" s="1"/>
      <c r="G880" s="1"/>
      <c r="H880" s="1"/>
      <c r="I880" s="1"/>
      <c r="J880" s="1"/>
      <c r="K880" s="1"/>
      <c r="L880" s="1"/>
      <c r="M880" s="1"/>
      <c r="N880" s="1"/>
      <c r="O880" s="1"/>
      <c r="P880" s="1"/>
      <c r="Q880" s="1"/>
      <c r="R880" s="1"/>
      <c r="S880" s="1"/>
      <c r="T880" s="14"/>
      <c r="U880" s="14"/>
      <c r="V880" s="14"/>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row>
    <row r="881" spans="1:226" ht="14.25" customHeight="1" x14ac:dyDescent="0.25">
      <c r="A881" s="1"/>
      <c r="B881" s="1"/>
      <c r="C881" s="1"/>
      <c r="D881" s="1"/>
      <c r="E881" s="1"/>
      <c r="F881" s="1"/>
      <c r="G881" s="1"/>
      <c r="H881" s="1"/>
      <c r="I881" s="1"/>
      <c r="J881" s="1"/>
      <c r="K881" s="1"/>
      <c r="L881" s="1"/>
      <c r="M881" s="1"/>
      <c r="N881" s="1"/>
      <c r="O881" s="1"/>
      <c r="P881" s="1"/>
      <c r="Q881" s="1"/>
      <c r="R881" s="1"/>
      <c r="S881" s="1"/>
      <c r="T881" s="14"/>
      <c r="U881" s="14"/>
      <c r="V881" s="14"/>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row>
    <row r="882" spans="1:226" ht="14.25" customHeight="1" x14ac:dyDescent="0.25">
      <c r="A882" s="1"/>
      <c r="B882" s="1"/>
      <c r="C882" s="1"/>
      <c r="D882" s="1"/>
      <c r="E882" s="1"/>
      <c r="F882" s="1"/>
      <c r="G882" s="1"/>
      <c r="H882" s="1"/>
      <c r="I882" s="1"/>
      <c r="J882" s="1"/>
      <c r="K882" s="1"/>
      <c r="L882" s="1"/>
      <c r="M882" s="1"/>
      <c r="N882" s="1"/>
      <c r="O882" s="1"/>
      <c r="P882" s="1"/>
      <c r="Q882" s="1"/>
      <c r="R882" s="1"/>
      <c r="S882" s="1"/>
      <c r="T882" s="14"/>
      <c r="U882" s="14"/>
      <c r="V882" s="14"/>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row>
    <row r="883" spans="1:226" ht="14.25" customHeight="1" x14ac:dyDescent="0.25">
      <c r="A883" s="1"/>
      <c r="B883" s="1"/>
      <c r="C883" s="1"/>
      <c r="D883" s="1"/>
      <c r="E883" s="1"/>
      <c r="F883" s="1"/>
      <c r="G883" s="1"/>
      <c r="H883" s="1"/>
      <c r="I883" s="1"/>
      <c r="J883" s="1"/>
      <c r="K883" s="1"/>
      <c r="L883" s="1"/>
      <c r="M883" s="1"/>
      <c r="N883" s="1"/>
      <c r="O883" s="1"/>
      <c r="P883" s="1"/>
      <c r="Q883" s="1"/>
      <c r="R883" s="1"/>
      <c r="S883" s="1"/>
      <c r="T883" s="14"/>
      <c r="U883" s="14"/>
      <c r="V883" s="14"/>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row>
    <row r="884" spans="1:226" ht="14.25" customHeight="1" x14ac:dyDescent="0.25">
      <c r="A884" s="1"/>
      <c r="B884" s="1"/>
      <c r="C884" s="1"/>
      <c r="D884" s="1"/>
      <c r="E884" s="1"/>
      <c r="F884" s="1"/>
      <c r="G884" s="1"/>
      <c r="H884" s="1"/>
      <c r="I884" s="1"/>
      <c r="J884" s="1"/>
      <c r="K884" s="1"/>
      <c r="L884" s="1"/>
      <c r="M884" s="1"/>
      <c r="N884" s="1"/>
      <c r="O884" s="1"/>
      <c r="P884" s="1"/>
      <c r="Q884" s="1"/>
      <c r="R884" s="1"/>
      <c r="S884" s="1"/>
      <c r="T884" s="14"/>
      <c r="U884" s="14"/>
      <c r="V884" s="14"/>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row>
    <row r="885" spans="1:226" ht="14.25" customHeight="1" x14ac:dyDescent="0.25">
      <c r="A885" s="1"/>
      <c r="B885" s="1"/>
      <c r="C885" s="1"/>
      <c r="D885" s="1"/>
      <c r="E885" s="1"/>
      <c r="F885" s="1"/>
      <c r="G885" s="1"/>
      <c r="H885" s="1"/>
      <c r="I885" s="1"/>
      <c r="J885" s="1"/>
      <c r="K885" s="1"/>
      <c r="L885" s="1"/>
      <c r="M885" s="1"/>
      <c r="N885" s="1"/>
      <c r="O885" s="1"/>
      <c r="P885" s="1"/>
      <c r="Q885" s="1"/>
      <c r="R885" s="1"/>
      <c r="S885" s="1"/>
      <c r="T885" s="14"/>
      <c r="U885" s="14"/>
      <c r="V885" s="14"/>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row>
    <row r="886" spans="1:226" ht="14.25" customHeight="1" x14ac:dyDescent="0.25">
      <c r="A886" s="1"/>
      <c r="B886" s="1"/>
      <c r="C886" s="1"/>
      <c r="D886" s="1"/>
      <c r="E886" s="1"/>
      <c r="F886" s="1"/>
      <c r="G886" s="1"/>
      <c r="H886" s="1"/>
      <c r="I886" s="1"/>
      <c r="J886" s="1"/>
      <c r="K886" s="1"/>
      <c r="L886" s="1"/>
      <c r="M886" s="1"/>
      <c r="N886" s="1"/>
      <c r="O886" s="1"/>
      <c r="P886" s="1"/>
      <c r="Q886" s="1"/>
      <c r="R886" s="1"/>
      <c r="S886" s="1"/>
      <c r="T886" s="14"/>
      <c r="U886" s="14"/>
      <c r="V886" s="14"/>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row>
    <row r="887" spans="1:226" ht="14.25" customHeight="1" x14ac:dyDescent="0.25">
      <c r="A887" s="1"/>
      <c r="B887" s="1"/>
      <c r="C887" s="1"/>
      <c r="D887" s="1"/>
      <c r="E887" s="1"/>
      <c r="F887" s="1"/>
      <c r="G887" s="1"/>
      <c r="H887" s="1"/>
      <c r="I887" s="1"/>
      <c r="J887" s="1"/>
      <c r="K887" s="1"/>
      <c r="L887" s="1"/>
      <c r="M887" s="1"/>
      <c r="N887" s="1"/>
      <c r="O887" s="1"/>
      <c r="P887" s="1"/>
      <c r="Q887" s="1"/>
      <c r="R887" s="1"/>
      <c r="S887" s="1"/>
      <c r="T887" s="14"/>
      <c r="U887" s="14"/>
      <c r="V887" s="14"/>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row>
    <row r="888" spans="1:226" ht="14.25" customHeight="1" x14ac:dyDescent="0.25">
      <c r="A888" s="1"/>
      <c r="B888" s="1"/>
      <c r="C888" s="1"/>
      <c r="D888" s="1"/>
      <c r="E888" s="1"/>
      <c r="F888" s="1"/>
      <c r="G888" s="1"/>
      <c r="H888" s="1"/>
      <c r="I888" s="1"/>
      <c r="J888" s="1"/>
      <c r="K888" s="1"/>
      <c r="L888" s="1"/>
      <c r="M888" s="1"/>
      <c r="N888" s="1"/>
      <c r="O888" s="1"/>
      <c r="P888" s="1"/>
      <c r="Q888" s="1"/>
      <c r="R888" s="1"/>
      <c r="S888" s="1"/>
      <c r="T888" s="14"/>
      <c r="U888" s="14"/>
      <c r="V888" s="14"/>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row>
    <row r="889" spans="1:226" ht="14.25" customHeight="1" x14ac:dyDescent="0.25">
      <c r="A889" s="1"/>
      <c r="B889" s="1"/>
      <c r="C889" s="1"/>
      <c r="D889" s="1"/>
      <c r="E889" s="1"/>
      <c r="F889" s="1"/>
      <c r="G889" s="1"/>
      <c r="H889" s="1"/>
      <c r="I889" s="1"/>
      <c r="J889" s="1"/>
      <c r="K889" s="1"/>
      <c r="L889" s="1"/>
      <c r="M889" s="1"/>
      <c r="N889" s="1"/>
      <c r="O889" s="1"/>
      <c r="P889" s="1"/>
      <c r="Q889" s="1"/>
      <c r="R889" s="1"/>
      <c r="S889" s="1"/>
      <c r="T889" s="14"/>
      <c r="U889" s="14"/>
      <c r="V889" s="14"/>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row>
    <row r="890" spans="1:226" ht="14.25" customHeight="1" x14ac:dyDescent="0.25">
      <c r="A890" s="1"/>
      <c r="B890" s="1"/>
      <c r="C890" s="1"/>
      <c r="D890" s="1"/>
      <c r="E890" s="1"/>
      <c r="F890" s="1"/>
      <c r="G890" s="1"/>
      <c r="H890" s="1"/>
      <c r="I890" s="1"/>
      <c r="J890" s="1"/>
      <c r="K890" s="1"/>
      <c r="L890" s="1"/>
      <c r="M890" s="1"/>
      <c r="N890" s="1"/>
      <c r="O890" s="1"/>
      <c r="P890" s="1"/>
      <c r="Q890" s="1"/>
      <c r="R890" s="1"/>
      <c r="S890" s="1"/>
      <c r="T890" s="14"/>
      <c r="U890" s="14"/>
      <c r="V890" s="14"/>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row>
    <row r="891" spans="1:226" ht="14.25" customHeight="1" x14ac:dyDescent="0.25">
      <c r="A891" s="1"/>
      <c r="B891" s="1"/>
      <c r="C891" s="1"/>
      <c r="D891" s="1"/>
      <c r="E891" s="1"/>
      <c r="F891" s="1"/>
      <c r="G891" s="1"/>
      <c r="H891" s="1"/>
      <c r="I891" s="1"/>
      <c r="J891" s="1"/>
      <c r="K891" s="1"/>
      <c r="L891" s="1"/>
      <c r="M891" s="1"/>
      <c r="N891" s="1"/>
      <c r="O891" s="1"/>
      <c r="P891" s="1"/>
      <c r="Q891" s="1"/>
      <c r="R891" s="1"/>
      <c r="S891" s="1"/>
      <c r="T891" s="14"/>
      <c r="U891" s="14"/>
      <c r="V891" s="14"/>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row>
    <row r="892" spans="1:226" ht="14.25" customHeight="1" x14ac:dyDescent="0.25">
      <c r="A892" s="1"/>
      <c r="B892" s="1"/>
      <c r="C892" s="1"/>
      <c r="D892" s="1"/>
      <c r="E892" s="1"/>
      <c r="F892" s="1"/>
      <c r="G892" s="1"/>
      <c r="H892" s="1"/>
      <c r="I892" s="1"/>
      <c r="J892" s="1"/>
      <c r="K892" s="1"/>
      <c r="L892" s="1"/>
      <c r="M892" s="1"/>
      <c r="N892" s="1"/>
      <c r="O892" s="1"/>
      <c r="P892" s="1"/>
      <c r="Q892" s="1"/>
      <c r="R892" s="1"/>
      <c r="S892" s="1"/>
      <c r="T892" s="14"/>
      <c r="U892" s="14"/>
      <c r="V892" s="14"/>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row>
    <row r="893" spans="1:226" ht="14.25" customHeight="1" x14ac:dyDescent="0.25">
      <c r="A893" s="1"/>
      <c r="B893" s="1"/>
      <c r="C893" s="1"/>
      <c r="D893" s="1"/>
      <c r="E893" s="1"/>
      <c r="F893" s="1"/>
      <c r="G893" s="1"/>
      <c r="H893" s="1"/>
      <c r="I893" s="1"/>
      <c r="J893" s="1"/>
      <c r="K893" s="1"/>
      <c r="L893" s="1"/>
      <c r="M893" s="1"/>
      <c r="N893" s="1"/>
      <c r="O893" s="1"/>
      <c r="P893" s="1"/>
      <c r="Q893" s="1"/>
      <c r="R893" s="1"/>
      <c r="S893" s="1"/>
      <c r="T893" s="14"/>
      <c r="U893" s="14"/>
      <c r="V893" s="14"/>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row>
    <row r="894" spans="1:226" ht="14.25" customHeight="1" x14ac:dyDescent="0.25">
      <c r="A894" s="1"/>
      <c r="B894" s="1"/>
      <c r="C894" s="1"/>
      <c r="D894" s="1"/>
      <c r="E894" s="1"/>
      <c r="F894" s="1"/>
      <c r="G894" s="1"/>
      <c r="H894" s="1"/>
      <c r="I894" s="1"/>
      <c r="J894" s="1"/>
      <c r="K894" s="1"/>
      <c r="L894" s="1"/>
      <c r="M894" s="1"/>
      <c r="N894" s="1"/>
      <c r="O894" s="1"/>
      <c r="P894" s="1"/>
      <c r="Q894" s="1"/>
      <c r="R894" s="1"/>
      <c r="S894" s="1"/>
      <c r="T894" s="14"/>
      <c r="U894" s="14"/>
      <c r="V894" s="14"/>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row>
    <row r="895" spans="1:226" ht="14.25" customHeight="1" x14ac:dyDescent="0.25">
      <c r="A895" s="1"/>
      <c r="B895" s="1"/>
      <c r="C895" s="1"/>
      <c r="D895" s="1"/>
      <c r="E895" s="1"/>
      <c r="F895" s="1"/>
      <c r="G895" s="1"/>
      <c r="H895" s="1"/>
      <c r="I895" s="1"/>
      <c r="J895" s="1"/>
      <c r="K895" s="1"/>
      <c r="L895" s="1"/>
      <c r="M895" s="1"/>
      <c r="N895" s="1"/>
      <c r="O895" s="1"/>
      <c r="P895" s="1"/>
      <c r="Q895" s="1"/>
      <c r="R895" s="1"/>
      <c r="S895" s="1"/>
      <c r="T895" s="14"/>
      <c r="U895" s="14"/>
      <c r="V895" s="14"/>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row>
    <row r="896" spans="1:226" ht="14.25" customHeight="1" x14ac:dyDescent="0.25">
      <c r="A896" s="1"/>
      <c r="B896" s="1"/>
      <c r="C896" s="1"/>
      <c r="D896" s="1"/>
      <c r="E896" s="1"/>
      <c r="F896" s="1"/>
      <c r="G896" s="1"/>
      <c r="H896" s="1"/>
      <c r="I896" s="1"/>
      <c r="J896" s="1"/>
      <c r="K896" s="1"/>
      <c r="L896" s="1"/>
      <c r="M896" s="1"/>
      <c r="N896" s="1"/>
      <c r="O896" s="1"/>
      <c r="P896" s="1"/>
      <c r="Q896" s="1"/>
      <c r="R896" s="1"/>
      <c r="S896" s="1"/>
      <c r="T896" s="14"/>
      <c r="U896" s="14"/>
      <c r="V896" s="14"/>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row>
    <row r="897" spans="1:226" ht="14.25" customHeight="1" x14ac:dyDescent="0.25">
      <c r="A897" s="1"/>
      <c r="B897" s="1"/>
      <c r="C897" s="1"/>
      <c r="D897" s="1"/>
      <c r="E897" s="1"/>
      <c r="F897" s="1"/>
      <c r="G897" s="1"/>
      <c r="H897" s="1"/>
      <c r="I897" s="1"/>
      <c r="J897" s="1"/>
      <c r="K897" s="1"/>
      <c r="L897" s="1"/>
      <c r="M897" s="1"/>
      <c r="N897" s="1"/>
      <c r="O897" s="1"/>
      <c r="P897" s="1"/>
      <c r="Q897" s="1"/>
      <c r="R897" s="1"/>
      <c r="S897" s="1"/>
      <c r="T897" s="14"/>
      <c r="U897" s="14"/>
      <c r="V897" s="14"/>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row>
    <row r="898" spans="1:226" ht="14.25" customHeight="1" x14ac:dyDescent="0.25">
      <c r="A898" s="1"/>
      <c r="B898" s="1"/>
      <c r="C898" s="1"/>
      <c r="D898" s="1"/>
      <c r="E898" s="1"/>
      <c r="F898" s="1"/>
      <c r="G898" s="1"/>
      <c r="H898" s="1"/>
      <c r="I898" s="1"/>
      <c r="J898" s="1"/>
      <c r="K898" s="1"/>
      <c r="L898" s="1"/>
      <c r="M898" s="1"/>
      <c r="N898" s="1"/>
      <c r="O898" s="1"/>
      <c r="P898" s="1"/>
      <c r="Q898" s="1"/>
      <c r="R898" s="1"/>
      <c r="S898" s="1"/>
      <c r="T898" s="14"/>
      <c r="U898" s="14"/>
      <c r="V898" s="14"/>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row>
    <row r="899" spans="1:226" ht="14.25" customHeight="1" x14ac:dyDescent="0.25">
      <c r="A899" s="1"/>
      <c r="B899" s="1"/>
      <c r="C899" s="1"/>
      <c r="D899" s="1"/>
      <c r="E899" s="1"/>
      <c r="F899" s="1"/>
      <c r="G899" s="1"/>
      <c r="H899" s="1"/>
      <c r="I899" s="1"/>
      <c r="J899" s="1"/>
      <c r="K899" s="1"/>
      <c r="L899" s="1"/>
      <c r="M899" s="1"/>
      <c r="N899" s="1"/>
      <c r="O899" s="1"/>
      <c r="P899" s="1"/>
      <c r="Q899" s="1"/>
      <c r="R899" s="1"/>
      <c r="S899" s="1"/>
      <c r="T899" s="14"/>
      <c r="U899" s="14"/>
      <c r="V899" s="14"/>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row>
    <row r="900" spans="1:226" ht="14.25" customHeight="1" x14ac:dyDescent="0.25">
      <c r="A900" s="1"/>
      <c r="B900" s="1"/>
      <c r="C900" s="1"/>
      <c r="D900" s="1"/>
      <c r="E900" s="1"/>
      <c r="F900" s="1"/>
      <c r="G900" s="1"/>
      <c r="H900" s="1"/>
      <c r="I900" s="1"/>
      <c r="J900" s="1"/>
      <c r="K900" s="1"/>
      <c r="L900" s="1"/>
      <c r="M900" s="1"/>
      <c r="N900" s="1"/>
      <c r="O900" s="1"/>
      <c r="P900" s="1"/>
      <c r="Q900" s="1"/>
      <c r="R900" s="1"/>
      <c r="S900" s="1"/>
      <c r="T900" s="14"/>
      <c r="U900" s="14"/>
      <c r="V900" s="14"/>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row>
    <row r="901" spans="1:226" ht="14.25" customHeight="1" x14ac:dyDescent="0.25">
      <c r="A901" s="1"/>
      <c r="B901" s="1"/>
      <c r="C901" s="1"/>
      <c r="D901" s="1"/>
      <c r="E901" s="1"/>
      <c r="F901" s="1"/>
      <c r="G901" s="1"/>
      <c r="H901" s="1"/>
      <c r="I901" s="1"/>
      <c r="J901" s="1"/>
      <c r="K901" s="1"/>
      <c r="L901" s="1"/>
      <c r="M901" s="1"/>
      <c r="N901" s="1"/>
      <c r="O901" s="1"/>
      <c r="P901" s="1"/>
      <c r="Q901" s="1"/>
      <c r="R901" s="1"/>
      <c r="S901" s="1"/>
      <c r="T901" s="14"/>
      <c r="U901" s="14"/>
      <c r="V901" s="14"/>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row>
    <row r="902" spans="1:226" ht="14.25" customHeight="1" x14ac:dyDescent="0.25">
      <c r="A902" s="1"/>
      <c r="B902" s="1"/>
      <c r="C902" s="1"/>
      <c r="D902" s="1"/>
      <c r="E902" s="1"/>
      <c r="F902" s="1"/>
      <c r="G902" s="1"/>
      <c r="H902" s="1"/>
      <c r="I902" s="1"/>
      <c r="J902" s="1"/>
      <c r="K902" s="1"/>
      <c r="L902" s="1"/>
      <c r="M902" s="1"/>
      <c r="N902" s="1"/>
      <c r="O902" s="1"/>
      <c r="P902" s="1"/>
      <c r="Q902" s="1"/>
      <c r="R902" s="1"/>
      <c r="S902" s="1"/>
      <c r="T902" s="14"/>
      <c r="U902" s="14"/>
      <c r="V902" s="14"/>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row>
    <row r="903" spans="1:226" ht="14.25" customHeight="1" x14ac:dyDescent="0.25">
      <c r="A903" s="1"/>
      <c r="B903" s="1"/>
      <c r="C903" s="1"/>
      <c r="D903" s="1"/>
      <c r="E903" s="1"/>
      <c r="F903" s="1"/>
      <c r="G903" s="1"/>
      <c r="H903" s="1"/>
      <c r="I903" s="1"/>
      <c r="J903" s="1"/>
      <c r="K903" s="1"/>
      <c r="L903" s="1"/>
      <c r="M903" s="1"/>
      <c r="N903" s="1"/>
      <c r="O903" s="1"/>
      <c r="P903" s="1"/>
      <c r="Q903" s="1"/>
      <c r="R903" s="1"/>
      <c r="S903" s="1"/>
      <c r="T903" s="14"/>
      <c r="U903" s="14"/>
      <c r="V903" s="14"/>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row>
    <row r="904" spans="1:226" ht="14.25" customHeight="1" x14ac:dyDescent="0.25">
      <c r="A904" s="1"/>
      <c r="B904" s="1"/>
      <c r="C904" s="1"/>
      <c r="D904" s="1"/>
      <c r="E904" s="1"/>
      <c r="F904" s="1"/>
      <c r="G904" s="1"/>
      <c r="H904" s="1"/>
      <c r="I904" s="1"/>
      <c r="J904" s="1"/>
      <c r="K904" s="1"/>
      <c r="L904" s="1"/>
      <c r="M904" s="1"/>
      <c r="N904" s="1"/>
      <c r="O904" s="1"/>
      <c r="P904" s="1"/>
      <c r="Q904" s="1"/>
      <c r="R904" s="1"/>
      <c r="S904" s="1"/>
      <c r="T904" s="14"/>
      <c r="U904" s="14"/>
      <c r="V904" s="14"/>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row>
    <row r="905" spans="1:226" ht="14.25" customHeight="1" x14ac:dyDescent="0.25">
      <c r="A905" s="1"/>
      <c r="B905" s="1"/>
      <c r="C905" s="1"/>
      <c r="D905" s="1"/>
      <c r="E905" s="1"/>
      <c r="F905" s="1"/>
      <c r="G905" s="1"/>
      <c r="H905" s="1"/>
      <c r="I905" s="1"/>
      <c r="J905" s="1"/>
      <c r="K905" s="1"/>
      <c r="L905" s="1"/>
      <c r="M905" s="1"/>
      <c r="N905" s="1"/>
      <c r="O905" s="1"/>
      <c r="P905" s="1"/>
      <c r="Q905" s="1"/>
      <c r="R905" s="1"/>
      <c r="S905" s="1"/>
      <c r="T905" s="14"/>
      <c r="U905" s="14"/>
      <c r="V905" s="14"/>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row>
    <row r="906" spans="1:226" ht="14.25" customHeight="1" x14ac:dyDescent="0.25">
      <c r="A906" s="1"/>
      <c r="B906" s="1"/>
      <c r="C906" s="1"/>
      <c r="D906" s="1"/>
      <c r="E906" s="1"/>
      <c r="F906" s="1"/>
      <c r="G906" s="1"/>
      <c r="H906" s="1"/>
      <c r="I906" s="1"/>
      <c r="J906" s="1"/>
      <c r="K906" s="1"/>
      <c r="L906" s="1"/>
      <c r="M906" s="1"/>
      <c r="N906" s="1"/>
      <c r="O906" s="1"/>
      <c r="P906" s="1"/>
      <c r="Q906" s="1"/>
      <c r="R906" s="1"/>
      <c r="S906" s="1"/>
      <c r="T906" s="14"/>
      <c r="U906" s="14"/>
      <c r="V906" s="14"/>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row>
    <row r="907" spans="1:226" ht="14.25" customHeight="1" x14ac:dyDescent="0.25">
      <c r="A907" s="1"/>
      <c r="B907" s="1"/>
      <c r="C907" s="1"/>
      <c r="D907" s="1"/>
      <c r="E907" s="1"/>
      <c r="F907" s="1"/>
      <c r="G907" s="1"/>
      <c r="H907" s="1"/>
      <c r="I907" s="1"/>
      <c r="J907" s="1"/>
      <c r="K907" s="1"/>
      <c r="L907" s="1"/>
      <c r="M907" s="1"/>
      <c r="N907" s="1"/>
      <c r="O907" s="1"/>
      <c r="P907" s="1"/>
      <c r="Q907" s="1"/>
      <c r="R907" s="1"/>
      <c r="S907" s="1"/>
      <c r="T907" s="14"/>
      <c r="U907" s="14"/>
      <c r="V907" s="14"/>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row>
    <row r="908" spans="1:226" ht="14.25" customHeight="1" x14ac:dyDescent="0.25">
      <c r="A908" s="1"/>
      <c r="B908" s="1"/>
      <c r="C908" s="1"/>
      <c r="D908" s="1"/>
      <c r="E908" s="1"/>
      <c r="F908" s="1"/>
      <c r="G908" s="1"/>
      <c r="H908" s="1"/>
      <c r="I908" s="1"/>
      <c r="J908" s="1"/>
      <c r="K908" s="1"/>
      <c r="L908" s="1"/>
      <c r="M908" s="1"/>
      <c r="N908" s="1"/>
      <c r="O908" s="1"/>
      <c r="P908" s="1"/>
      <c r="Q908" s="1"/>
      <c r="R908" s="1"/>
      <c r="S908" s="1"/>
      <c r="T908" s="14"/>
      <c r="U908" s="14"/>
      <c r="V908" s="14"/>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row>
    <row r="909" spans="1:226" ht="14.25" customHeight="1" x14ac:dyDescent="0.25">
      <c r="A909" s="1"/>
      <c r="B909" s="1"/>
      <c r="C909" s="1"/>
      <c r="D909" s="1"/>
      <c r="E909" s="1"/>
      <c r="F909" s="1"/>
      <c r="G909" s="1"/>
      <c r="H909" s="1"/>
      <c r="I909" s="1"/>
      <c r="J909" s="1"/>
      <c r="K909" s="1"/>
      <c r="L909" s="1"/>
      <c r="M909" s="1"/>
      <c r="N909" s="1"/>
      <c r="O909" s="1"/>
      <c r="P909" s="1"/>
      <c r="Q909" s="1"/>
      <c r="R909" s="1"/>
      <c r="S909" s="1"/>
      <c r="T909" s="14"/>
      <c r="U909" s="14"/>
      <c r="V909" s="14"/>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row>
    <row r="910" spans="1:226" ht="14.25" customHeight="1" x14ac:dyDescent="0.25">
      <c r="A910" s="1"/>
      <c r="B910" s="1"/>
      <c r="C910" s="1"/>
      <c r="D910" s="1"/>
      <c r="E910" s="1"/>
      <c r="F910" s="1"/>
      <c r="G910" s="1"/>
      <c r="H910" s="1"/>
      <c r="I910" s="1"/>
      <c r="J910" s="1"/>
      <c r="K910" s="1"/>
      <c r="L910" s="1"/>
      <c r="M910" s="1"/>
      <c r="N910" s="1"/>
      <c r="O910" s="1"/>
      <c r="P910" s="1"/>
      <c r="Q910" s="1"/>
      <c r="R910" s="1"/>
      <c r="S910" s="1"/>
      <c r="T910" s="14"/>
      <c r="U910" s="14"/>
      <c r="V910" s="14"/>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row>
    <row r="911" spans="1:226" ht="14.25" customHeight="1" x14ac:dyDescent="0.25">
      <c r="A911" s="1"/>
      <c r="B911" s="1"/>
      <c r="C911" s="1"/>
      <c r="D911" s="1"/>
      <c r="E911" s="1"/>
      <c r="F911" s="1"/>
      <c r="G911" s="1"/>
      <c r="H911" s="1"/>
      <c r="I911" s="1"/>
      <c r="J911" s="1"/>
      <c r="K911" s="1"/>
      <c r="L911" s="1"/>
      <c r="M911" s="1"/>
      <c r="N911" s="1"/>
      <c r="O911" s="1"/>
      <c r="P911" s="1"/>
      <c r="Q911" s="1"/>
      <c r="R911" s="1"/>
      <c r="S911" s="1"/>
      <c r="T911" s="14"/>
      <c r="U911" s="14"/>
      <c r="V911" s="14"/>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row>
    <row r="912" spans="1:226" ht="14.25" customHeight="1" x14ac:dyDescent="0.25">
      <c r="A912" s="1"/>
      <c r="B912" s="1"/>
      <c r="C912" s="1"/>
      <c r="D912" s="1"/>
      <c r="E912" s="1"/>
      <c r="F912" s="1"/>
      <c r="G912" s="1"/>
      <c r="H912" s="1"/>
      <c r="I912" s="1"/>
      <c r="J912" s="1"/>
      <c r="K912" s="1"/>
      <c r="L912" s="1"/>
      <c r="M912" s="1"/>
      <c r="N912" s="1"/>
      <c r="O912" s="1"/>
      <c r="P912" s="1"/>
      <c r="Q912" s="1"/>
      <c r="R912" s="1"/>
      <c r="S912" s="1"/>
      <c r="T912" s="14"/>
      <c r="U912" s="14"/>
      <c r="V912" s="14"/>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row>
    <row r="913" spans="1:226" ht="14.25" customHeight="1" x14ac:dyDescent="0.25">
      <c r="A913" s="1"/>
      <c r="B913" s="1"/>
      <c r="C913" s="1"/>
      <c r="D913" s="1"/>
      <c r="E913" s="1"/>
      <c r="F913" s="1"/>
      <c r="G913" s="1"/>
      <c r="H913" s="1"/>
      <c r="I913" s="1"/>
      <c r="J913" s="1"/>
      <c r="K913" s="1"/>
      <c r="L913" s="1"/>
      <c r="M913" s="1"/>
      <c r="N913" s="1"/>
      <c r="O913" s="1"/>
      <c r="P913" s="1"/>
      <c r="Q913" s="1"/>
      <c r="R913" s="1"/>
      <c r="S913" s="1"/>
      <c r="T913" s="14"/>
      <c r="U913" s="14"/>
      <c r="V913" s="14"/>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row>
    <row r="914" spans="1:226" ht="14.25" customHeight="1" x14ac:dyDescent="0.25">
      <c r="A914" s="1"/>
      <c r="B914" s="1"/>
      <c r="C914" s="1"/>
      <c r="D914" s="1"/>
      <c r="E914" s="1"/>
      <c r="F914" s="1"/>
      <c r="G914" s="1"/>
      <c r="H914" s="1"/>
      <c r="I914" s="1"/>
      <c r="J914" s="1"/>
      <c r="K914" s="1"/>
      <c r="L914" s="1"/>
      <c r="M914" s="1"/>
      <c r="N914" s="1"/>
      <c r="O914" s="1"/>
      <c r="P914" s="1"/>
      <c r="Q914" s="1"/>
      <c r="R914" s="1"/>
      <c r="S914" s="1"/>
      <c r="T914" s="14"/>
      <c r="U914" s="14"/>
      <c r="V914" s="14"/>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row>
    <row r="915" spans="1:226" ht="14.25" customHeight="1" x14ac:dyDescent="0.25">
      <c r="A915" s="1"/>
      <c r="B915" s="1"/>
      <c r="C915" s="1"/>
      <c r="D915" s="1"/>
      <c r="E915" s="1"/>
      <c r="F915" s="1"/>
      <c r="G915" s="1"/>
      <c r="H915" s="1"/>
      <c r="I915" s="1"/>
      <c r="J915" s="1"/>
      <c r="K915" s="1"/>
      <c r="L915" s="1"/>
      <c r="M915" s="1"/>
      <c r="N915" s="1"/>
      <c r="O915" s="1"/>
      <c r="P915" s="1"/>
      <c r="Q915" s="1"/>
      <c r="R915" s="1"/>
      <c r="S915" s="1"/>
      <c r="T915" s="14"/>
      <c r="U915" s="14"/>
      <c r="V915" s="14"/>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row>
    <row r="916" spans="1:226" ht="14.25" customHeight="1" x14ac:dyDescent="0.25">
      <c r="A916" s="1"/>
      <c r="B916" s="1"/>
      <c r="C916" s="1"/>
      <c r="D916" s="1"/>
      <c r="E916" s="1"/>
      <c r="F916" s="1"/>
      <c r="G916" s="1"/>
      <c r="H916" s="1"/>
      <c r="I916" s="1"/>
      <c r="J916" s="1"/>
      <c r="K916" s="1"/>
      <c r="L916" s="1"/>
      <c r="M916" s="1"/>
      <c r="N916" s="1"/>
      <c r="O916" s="1"/>
      <c r="P916" s="1"/>
      <c r="Q916" s="1"/>
      <c r="R916" s="1"/>
      <c r="S916" s="1"/>
      <c r="T916" s="14"/>
      <c r="U916" s="14"/>
      <c r="V916" s="14"/>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row>
    <row r="917" spans="1:226" ht="14.25" customHeight="1" x14ac:dyDescent="0.25">
      <c r="A917" s="1"/>
      <c r="B917" s="1"/>
      <c r="C917" s="1"/>
      <c r="D917" s="1"/>
      <c r="E917" s="1"/>
      <c r="F917" s="1"/>
      <c r="G917" s="1"/>
      <c r="H917" s="1"/>
      <c r="I917" s="1"/>
      <c r="J917" s="1"/>
      <c r="K917" s="1"/>
      <c r="L917" s="1"/>
      <c r="M917" s="1"/>
      <c r="N917" s="1"/>
      <c r="O917" s="1"/>
      <c r="P917" s="1"/>
      <c r="Q917" s="1"/>
      <c r="R917" s="1"/>
      <c r="S917" s="1"/>
      <c r="T917" s="14"/>
      <c r="U917" s="14"/>
      <c r="V917" s="14"/>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row>
    <row r="918" spans="1:226" ht="14.25" customHeight="1" x14ac:dyDescent="0.25">
      <c r="A918" s="1"/>
      <c r="B918" s="1"/>
      <c r="C918" s="1"/>
      <c r="D918" s="1"/>
      <c r="E918" s="1"/>
      <c r="F918" s="1"/>
      <c r="G918" s="1"/>
      <c r="H918" s="1"/>
      <c r="I918" s="1"/>
      <c r="J918" s="1"/>
      <c r="K918" s="1"/>
      <c r="L918" s="1"/>
      <c r="M918" s="1"/>
      <c r="N918" s="1"/>
      <c r="O918" s="1"/>
      <c r="P918" s="1"/>
      <c r="Q918" s="1"/>
      <c r="R918" s="1"/>
      <c r="S918" s="1"/>
      <c r="T918" s="14"/>
      <c r="U918" s="14"/>
      <c r="V918" s="14"/>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row>
    <row r="919" spans="1:226" ht="14.25" customHeight="1" x14ac:dyDescent="0.25">
      <c r="A919" s="1"/>
      <c r="B919" s="1"/>
      <c r="C919" s="1"/>
      <c r="D919" s="1"/>
      <c r="E919" s="1"/>
      <c r="F919" s="1"/>
      <c r="G919" s="1"/>
      <c r="H919" s="1"/>
      <c r="I919" s="1"/>
      <c r="J919" s="1"/>
      <c r="K919" s="1"/>
      <c r="L919" s="1"/>
      <c r="M919" s="1"/>
      <c r="N919" s="1"/>
      <c r="O919" s="1"/>
      <c r="P919" s="1"/>
      <c r="Q919" s="1"/>
      <c r="R919" s="1"/>
      <c r="S919" s="1"/>
      <c r="T919" s="14"/>
      <c r="U919" s="14"/>
      <c r="V919" s="14"/>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row>
    <row r="920" spans="1:226" ht="14.25" customHeight="1" x14ac:dyDescent="0.25">
      <c r="A920" s="1"/>
      <c r="B920" s="1"/>
      <c r="C920" s="1"/>
      <c r="D920" s="1"/>
      <c r="E920" s="1"/>
      <c r="F920" s="1"/>
      <c r="G920" s="1"/>
      <c r="H920" s="1"/>
      <c r="I920" s="1"/>
      <c r="J920" s="1"/>
      <c r="K920" s="1"/>
      <c r="L920" s="1"/>
      <c r="M920" s="1"/>
      <c r="N920" s="1"/>
      <c r="O920" s="1"/>
      <c r="P920" s="1"/>
      <c r="Q920" s="1"/>
      <c r="R920" s="1"/>
      <c r="S920" s="1"/>
      <c r="T920" s="14"/>
      <c r="U920" s="14"/>
      <c r="V920" s="14"/>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row>
    <row r="921" spans="1:226" ht="14.25" customHeight="1" x14ac:dyDescent="0.25">
      <c r="A921" s="1"/>
      <c r="B921" s="1"/>
      <c r="C921" s="1"/>
      <c r="D921" s="1"/>
      <c r="E921" s="1"/>
      <c r="F921" s="1"/>
      <c r="G921" s="1"/>
      <c r="H921" s="1"/>
      <c r="I921" s="1"/>
      <c r="J921" s="1"/>
      <c r="K921" s="1"/>
      <c r="L921" s="1"/>
      <c r="M921" s="1"/>
      <c r="N921" s="1"/>
      <c r="O921" s="1"/>
      <c r="P921" s="1"/>
      <c r="Q921" s="1"/>
      <c r="R921" s="1"/>
      <c r="S921" s="1"/>
      <c r="T921" s="14"/>
      <c r="U921" s="14"/>
      <c r="V921" s="14"/>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row>
    <row r="922" spans="1:226" ht="14.25" customHeight="1" x14ac:dyDescent="0.25">
      <c r="A922" s="1"/>
      <c r="B922" s="1"/>
      <c r="C922" s="1"/>
      <c r="D922" s="1"/>
      <c r="E922" s="1"/>
      <c r="F922" s="1"/>
      <c r="G922" s="1"/>
      <c r="H922" s="1"/>
      <c r="I922" s="1"/>
      <c r="J922" s="1"/>
      <c r="K922" s="1"/>
      <c r="L922" s="1"/>
      <c r="M922" s="1"/>
      <c r="N922" s="1"/>
      <c r="O922" s="1"/>
      <c r="P922" s="1"/>
      <c r="Q922" s="1"/>
      <c r="R922" s="1"/>
      <c r="S922" s="1"/>
      <c r="T922" s="14"/>
      <c r="U922" s="14"/>
      <c r="V922" s="14"/>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row>
    <row r="923" spans="1:226" ht="14.25" customHeight="1" x14ac:dyDescent="0.25">
      <c r="A923" s="1"/>
      <c r="B923" s="1"/>
      <c r="C923" s="1"/>
      <c r="D923" s="1"/>
      <c r="E923" s="1"/>
      <c r="F923" s="1"/>
      <c r="G923" s="1"/>
      <c r="H923" s="1"/>
      <c r="I923" s="1"/>
      <c r="J923" s="1"/>
      <c r="K923" s="1"/>
      <c r="L923" s="1"/>
      <c r="M923" s="1"/>
      <c r="N923" s="1"/>
      <c r="O923" s="1"/>
      <c r="P923" s="1"/>
      <c r="Q923" s="1"/>
      <c r="R923" s="1"/>
      <c r="S923" s="1"/>
      <c r="T923" s="14"/>
      <c r="U923" s="14"/>
      <c r="V923" s="14"/>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row>
    <row r="924" spans="1:226" ht="14.25" customHeight="1" x14ac:dyDescent="0.25">
      <c r="A924" s="1"/>
      <c r="B924" s="1"/>
      <c r="C924" s="1"/>
      <c r="D924" s="1"/>
      <c r="E924" s="1"/>
      <c r="F924" s="1"/>
      <c r="G924" s="1"/>
      <c r="H924" s="1"/>
      <c r="I924" s="1"/>
      <c r="J924" s="1"/>
      <c r="K924" s="1"/>
      <c r="L924" s="1"/>
      <c r="M924" s="1"/>
      <c r="N924" s="1"/>
      <c r="O924" s="1"/>
      <c r="P924" s="1"/>
      <c r="Q924" s="1"/>
      <c r="R924" s="1"/>
      <c r="S924" s="1"/>
      <c r="T924" s="14"/>
      <c r="U924" s="14"/>
      <c r="V924" s="14"/>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row>
  </sheetData>
  <mergeCells count="7">
    <mergeCell ref="A1:V4"/>
    <mergeCell ref="B6:D6"/>
    <mergeCell ref="B11:D11"/>
    <mergeCell ref="G11:H12"/>
    <mergeCell ref="A43:K55"/>
    <mergeCell ref="G6:M6"/>
    <mergeCell ref="B16:C16"/>
  </mergeCells>
  <conditionalFormatting sqref="B13:C13">
    <cfRule type="cellIs" dxfId="17" priority="4" operator="lessThanOrEqual">
      <formula>$B$8</formula>
    </cfRule>
  </conditionalFormatting>
  <conditionalFormatting sqref="C13">
    <cfRule type="cellIs" dxfId="16" priority="8" operator="greaterThanOrEqual">
      <formula>$B$8</formula>
    </cfRule>
    <cfRule type="cellIs" dxfId="15" priority="9" operator="lessThanOrEqual">
      <formula>Q7</formula>
    </cfRule>
  </conditionalFormatting>
  <conditionalFormatting sqref="G8:M8">
    <cfRule type="containsText" dxfId="14" priority="3" operator="containsText" text="Saisie">
      <formula>NOT(ISERROR(SEARCH("Saisie",G8)))</formula>
    </cfRule>
  </conditionalFormatting>
  <conditionalFormatting sqref="H25:H26">
    <cfRule type="cellIs" dxfId="13" priority="10" operator="lessThan">
      <formula>0</formula>
    </cfRule>
  </conditionalFormatting>
  <conditionalFormatting sqref="I18:P18">
    <cfRule type="cellIs" dxfId="12" priority="2" operator="lessThan">
      <formula>0</formula>
    </cfRule>
  </conditionalFormatting>
  <conditionalFormatting sqref="I22:P23">
    <cfRule type="cellIs" dxfId="11" priority="6" operator="lessThan">
      <formula>0</formula>
    </cfRule>
  </conditionalFormatting>
  <conditionalFormatting sqref="J14:P14">
    <cfRule type="cellIs" dxfId="10" priority="12" operator="lessThan">
      <formula>0</formula>
    </cfRule>
  </conditionalFormatting>
  <conditionalFormatting sqref="I16:P16">
    <cfRule type="cellIs" dxfId="9" priority="1" stopIfTrue="1" operator="lessThan">
      <formula>0</formula>
    </cfRule>
  </conditionalFormatting>
  <dataValidations count="3">
    <dataValidation type="whole" errorStyle="warning" allowBlank="1" showInputMessage="1" showErrorMessage="1" error="Code magasin non valide" prompt="Saisir un code magasin" sqref="D8" xr:uid="{E0F3AD11-6B0E-493A-80A6-115B02503DE5}">
      <formula1>1200</formula1>
      <formula2>1220</formula2>
    </dataValidation>
    <dataValidation type="whole" errorStyle="warning" allowBlank="1" showInputMessage="1" showErrorMessage="1" error="SKU non valide" prompt="Saisir un SKU" sqref="C8" xr:uid="{5EA35596-DC65-41F8-9B88-9A218CDB381B}">
      <formula1>23392</formula1>
      <formula2>999999</formula2>
    </dataValidation>
    <dataValidation type="date" errorStyle="warning" allowBlank="1" showInputMessage="1" showErrorMessage="1" error="Date non valide" prompt="Saisir une date à partir du 27/06/2022" sqref="B8" xr:uid="{3BF52BFE-3C81-438C-A1D3-14AA91BF6BAA}">
      <formula1>44739</formula1>
      <formula2>45291</formula2>
    </dataValidation>
  </dataValidation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823D9-5C8F-44FB-9416-AA65B62D5D77}">
  <sheetPr>
    <tabColor rgb="FFFEF2CB"/>
  </sheetPr>
  <dimension ref="A1:G1000"/>
  <sheetViews>
    <sheetView workbookViewId="0"/>
  </sheetViews>
  <sheetFormatPr baseColWidth="10" defaultColWidth="14.42578125" defaultRowHeight="15" customHeight="1" x14ac:dyDescent="0.25"/>
  <cols>
    <col min="1" max="1" width="8.7109375" style="85" customWidth="1"/>
    <col min="2" max="2" width="40.28515625" style="85" customWidth="1"/>
    <col min="3" max="3" width="13.85546875" style="85" customWidth="1"/>
    <col min="4" max="4" width="16.42578125" style="85" customWidth="1"/>
    <col min="5" max="5" width="8.7109375" style="85" customWidth="1"/>
    <col min="6" max="6" width="11.140625" style="85" customWidth="1"/>
    <col min="7" max="26" width="8.7109375" style="15" customWidth="1"/>
    <col min="27" max="16384" width="14.42578125" style="15"/>
  </cols>
  <sheetData>
    <row r="1" spans="1:7" s="22" customFormat="1" ht="23.25" customHeight="1" x14ac:dyDescent="0.25">
      <c r="A1" s="88" t="s">
        <v>4</v>
      </c>
      <c r="B1" s="88" t="s">
        <v>26</v>
      </c>
      <c r="C1" s="88" t="s">
        <v>27</v>
      </c>
      <c r="D1" s="88" t="s">
        <v>28</v>
      </c>
      <c r="E1" s="89" t="s">
        <v>29</v>
      </c>
      <c r="F1" s="90" t="s">
        <v>30</v>
      </c>
    </row>
    <row r="2" spans="1:7" ht="14.25" customHeight="1" x14ac:dyDescent="0.25">
      <c r="A2" s="87">
        <v>23393</v>
      </c>
      <c r="B2" s="87" t="s">
        <v>37</v>
      </c>
      <c r="C2" s="87" t="s">
        <v>32</v>
      </c>
      <c r="D2" s="83" t="s">
        <v>35</v>
      </c>
      <c r="E2" s="86">
        <v>7</v>
      </c>
      <c r="F2" s="85">
        <v>14673</v>
      </c>
    </row>
    <row r="3" spans="1:7" ht="14.25" customHeight="1" x14ac:dyDescent="0.25">
      <c r="A3" s="87">
        <v>26764</v>
      </c>
      <c r="B3" s="87" t="s">
        <v>38</v>
      </c>
      <c r="C3" s="87" t="s">
        <v>32</v>
      </c>
      <c r="D3" s="83" t="s">
        <v>35</v>
      </c>
      <c r="E3" s="86">
        <v>7</v>
      </c>
      <c r="F3" s="85">
        <v>12576</v>
      </c>
      <c r="G3" s="17"/>
    </row>
    <row r="4" spans="1:7" ht="14.25" customHeight="1" x14ac:dyDescent="0.25">
      <c r="A4" s="87">
        <v>53934</v>
      </c>
      <c r="B4" s="87" t="s">
        <v>39</v>
      </c>
      <c r="C4" s="87" t="s">
        <v>32</v>
      </c>
      <c r="D4" s="83" t="s">
        <v>35</v>
      </c>
      <c r="E4" s="86">
        <v>14</v>
      </c>
      <c r="F4" s="85">
        <v>14673</v>
      </c>
      <c r="G4" s="17"/>
    </row>
    <row r="5" spans="1:7" ht="14.25" customHeight="1" x14ac:dyDescent="0.25">
      <c r="A5" s="83">
        <v>78699</v>
      </c>
      <c r="B5" s="83" t="s">
        <v>40</v>
      </c>
      <c r="C5" s="87" t="s">
        <v>32</v>
      </c>
      <c r="D5" s="83" t="s">
        <v>35</v>
      </c>
      <c r="E5" s="86">
        <v>7</v>
      </c>
      <c r="F5" s="85">
        <v>14673</v>
      </c>
      <c r="G5" s="17"/>
    </row>
    <row r="6" spans="1:7" ht="14.25" customHeight="1" x14ac:dyDescent="0.25">
      <c r="A6" s="83">
        <v>78869</v>
      </c>
      <c r="B6" s="83" t="s">
        <v>41</v>
      </c>
      <c r="C6" s="87" t="s">
        <v>32</v>
      </c>
      <c r="D6" s="83" t="s">
        <v>35</v>
      </c>
      <c r="E6" s="86">
        <v>7</v>
      </c>
      <c r="F6" s="85">
        <v>14673</v>
      </c>
      <c r="G6" s="17"/>
    </row>
    <row r="7" spans="1:7" ht="14.25" customHeight="1" x14ac:dyDescent="0.25">
      <c r="A7" s="83">
        <v>115600</v>
      </c>
      <c r="B7" s="83" t="s">
        <v>31</v>
      </c>
      <c r="C7" s="83" t="s">
        <v>32</v>
      </c>
      <c r="D7" s="83" t="s">
        <v>33</v>
      </c>
      <c r="E7" s="84">
        <v>14</v>
      </c>
      <c r="F7" s="85">
        <v>15461</v>
      </c>
      <c r="G7" s="17"/>
    </row>
    <row r="8" spans="1:7" ht="14.25" customHeight="1" x14ac:dyDescent="0.25">
      <c r="A8" s="83">
        <v>129208</v>
      </c>
      <c r="B8" s="83" t="s">
        <v>34</v>
      </c>
      <c r="C8" s="83" t="s">
        <v>32</v>
      </c>
      <c r="D8" s="83" t="s">
        <v>35</v>
      </c>
      <c r="E8" s="86">
        <v>14</v>
      </c>
      <c r="F8" s="85">
        <v>15461</v>
      </c>
      <c r="G8" s="17"/>
    </row>
    <row r="9" spans="1:7" ht="14.25" customHeight="1" x14ac:dyDescent="0.25">
      <c r="A9" s="83">
        <v>141622</v>
      </c>
      <c r="B9" s="83" t="s">
        <v>42</v>
      </c>
      <c r="C9" s="83" t="s">
        <v>32</v>
      </c>
      <c r="D9" s="83" t="s">
        <v>35</v>
      </c>
      <c r="E9" s="86">
        <v>7</v>
      </c>
      <c r="F9" s="85">
        <v>12576</v>
      </c>
      <c r="G9" s="17"/>
    </row>
    <row r="10" spans="1:7" ht="14.25" customHeight="1" x14ac:dyDescent="0.25">
      <c r="A10" s="87">
        <v>141626</v>
      </c>
      <c r="B10" s="87" t="s">
        <v>43</v>
      </c>
      <c r="C10" s="87" t="s">
        <v>32</v>
      </c>
      <c r="D10" s="83" t="s">
        <v>35</v>
      </c>
      <c r="E10" s="86">
        <v>7</v>
      </c>
      <c r="F10" s="85">
        <v>14673</v>
      </c>
      <c r="G10" s="17"/>
    </row>
    <row r="11" spans="1:7" ht="14.25" customHeight="1" x14ac:dyDescent="0.25">
      <c r="A11" s="87">
        <v>141791</v>
      </c>
      <c r="B11" s="87" t="s">
        <v>44</v>
      </c>
      <c r="C11" s="87" t="s">
        <v>32</v>
      </c>
      <c r="D11" s="83" t="s">
        <v>35</v>
      </c>
      <c r="E11" s="86">
        <v>14</v>
      </c>
      <c r="F11" s="85">
        <v>12576</v>
      </c>
      <c r="G11" s="17"/>
    </row>
    <row r="12" spans="1:7" ht="14.25" customHeight="1" x14ac:dyDescent="0.25">
      <c r="A12" s="87">
        <v>141846</v>
      </c>
      <c r="B12" s="87" t="s">
        <v>45</v>
      </c>
      <c r="C12" s="87" t="s">
        <v>32</v>
      </c>
      <c r="D12" s="83" t="s">
        <v>35</v>
      </c>
      <c r="E12" s="86">
        <v>14</v>
      </c>
      <c r="F12" s="85">
        <v>12576</v>
      </c>
      <c r="G12" s="17"/>
    </row>
    <row r="13" spans="1:7" ht="14.25" customHeight="1" x14ac:dyDescent="0.25">
      <c r="A13" s="87">
        <v>141967</v>
      </c>
      <c r="B13" s="87" t="s">
        <v>46</v>
      </c>
      <c r="C13" s="87" t="s">
        <v>32</v>
      </c>
      <c r="D13" s="83" t="s">
        <v>35</v>
      </c>
      <c r="E13" s="86">
        <v>7</v>
      </c>
      <c r="F13" s="85">
        <v>12576</v>
      </c>
      <c r="G13" s="17"/>
    </row>
    <row r="14" spans="1:7" ht="14.25" customHeight="1" x14ac:dyDescent="0.25">
      <c r="A14" s="87">
        <v>142194</v>
      </c>
      <c r="B14" s="87" t="s">
        <v>47</v>
      </c>
      <c r="C14" s="87" t="s">
        <v>32</v>
      </c>
      <c r="D14" s="83" t="s">
        <v>35</v>
      </c>
      <c r="E14" s="86">
        <v>14</v>
      </c>
      <c r="F14" s="85">
        <v>12576</v>
      </c>
      <c r="G14" s="17"/>
    </row>
    <row r="15" spans="1:7" ht="14.25" customHeight="1" x14ac:dyDescent="0.25">
      <c r="A15" s="83">
        <v>149729</v>
      </c>
      <c r="B15" s="83" t="s">
        <v>48</v>
      </c>
      <c r="C15" s="83" t="s">
        <v>49</v>
      </c>
      <c r="D15" s="83" t="s">
        <v>35</v>
      </c>
      <c r="E15" s="86">
        <v>7</v>
      </c>
      <c r="F15" s="85">
        <v>13456</v>
      </c>
      <c r="G15" s="17"/>
    </row>
    <row r="16" spans="1:7" ht="14.25" customHeight="1" x14ac:dyDescent="0.25">
      <c r="A16" s="83">
        <v>149779</v>
      </c>
      <c r="B16" s="83" t="s">
        <v>50</v>
      </c>
      <c r="C16" s="83" t="s">
        <v>49</v>
      </c>
      <c r="D16" s="83" t="s">
        <v>35</v>
      </c>
      <c r="E16" s="86">
        <v>7</v>
      </c>
      <c r="F16" s="85">
        <v>14673</v>
      </c>
      <c r="G16" s="17"/>
    </row>
    <row r="17" spans="1:7" ht="14.25" customHeight="1" x14ac:dyDescent="0.25">
      <c r="A17" s="87">
        <v>189933</v>
      </c>
      <c r="B17" s="87" t="s">
        <v>51</v>
      </c>
      <c r="C17" s="83" t="s">
        <v>49</v>
      </c>
      <c r="D17" s="83" t="s">
        <v>35</v>
      </c>
      <c r="E17" s="86">
        <v>7</v>
      </c>
      <c r="F17" s="85">
        <v>14673</v>
      </c>
      <c r="G17" s="17"/>
    </row>
    <row r="18" spans="1:7" ht="14.25" customHeight="1" x14ac:dyDescent="0.25">
      <c r="A18" s="83">
        <v>202577</v>
      </c>
      <c r="B18" s="83" t="s">
        <v>52</v>
      </c>
      <c r="C18" s="83" t="s">
        <v>49</v>
      </c>
      <c r="D18" s="83" t="s">
        <v>35</v>
      </c>
      <c r="E18" s="86">
        <v>7</v>
      </c>
      <c r="F18" s="85">
        <v>14673</v>
      </c>
      <c r="G18" s="17"/>
    </row>
    <row r="19" spans="1:7" ht="14.25" customHeight="1" x14ac:dyDescent="0.25">
      <c r="A19" s="87">
        <v>234334</v>
      </c>
      <c r="B19" s="87" t="s">
        <v>53</v>
      </c>
      <c r="C19" s="83" t="s">
        <v>49</v>
      </c>
      <c r="D19" s="83" t="s">
        <v>35</v>
      </c>
      <c r="E19" s="86">
        <v>7</v>
      </c>
      <c r="F19" s="85">
        <v>12576</v>
      </c>
      <c r="G19" s="17"/>
    </row>
    <row r="20" spans="1:7" ht="14.25" customHeight="1" x14ac:dyDescent="0.25">
      <c r="A20" s="87">
        <v>249444</v>
      </c>
      <c r="B20" s="87" t="s">
        <v>54</v>
      </c>
      <c r="C20" s="83" t="s">
        <v>49</v>
      </c>
      <c r="D20" s="83" t="s">
        <v>35</v>
      </c>
      <c r="E20" s="86">
        <v>14</v>
      </c>
      <c r="F20" s="85">
        <v>14673</v>
      </c>
      <c r="G20" s="17"/>
    </row>
    <row r="21" spans="1:7" ht="14.25" customHeight="1" x14ac:dyDescent="0.25">
      <c r="A21" s="87">
        <v>249795</v>
      </c>
      <c r="B21" s="87" t="s">
        <v>55</v>
      </c>
      <c r="C21" s="83" t="s">
        <v>49</v>
      </c>
      <c r="D21" s="83" t="s">
        <v>35</v>
      </c>
      <c r="E21" s="86">
        <v>7</v>
      </c>
      <c r="F21" s="85">
        <v>15461</v>
      </c>
      <c r="G21" s="17"/>
    </row>
    <row r="22" spans="1:7" ht="14.25" customHeight="1" x14ac:dyDescent="0.25">
      <c r="A22" s="87">
        <v>250979</v>
      </c>
      <c r="B22" s="87" t="s">
        <v>54</v>
      </c>
      <c r="C22" s="83" t="s">
        <v>49</v>
      </c>
      <c r="D22" s="83" t="s">
        <v>35</v>
      </c>
      <c r="E22" s="86">
        <v>7</v>
      </c>
      <c r="F22" s="85">
        <v>14673</v>
      </c>
      <c r="G22" s="17"/>
    </row>
    <row r="23" spans="1:7" ht="14.25" customHeight="1" x14ac:dyDescent="0.25">
      <c r="A23" s="87">
        <v>250981</v>
      </c>
      <c r="B23" s="87" t="s">
        <v>56</v>
      </c>
      <c r="C23" s="83" t="s">
        <v>49</v>
      </c>
      <c r="D23" s="83" t="s">
        <v>35</v>
      </c>
      <c r="E23" s="86">
        <v>7</v>
      </c>
      <c r="F23" s="85">
        <v>14673</v>
      </c>
      <c r="G23" s="17"/>
    </row>
    <row r="24" spans="1:7" ht="14.25" customHeight="1" x14ac:dyDescent="0.25">
      <c r="A24" s="87">
        <v>262294</v>
      </c>
      <c r="B24" s="87" t="s">
        <v>57</v>
      </c>
      <c r="C24" s="83" t="s">
        <v>49</v>
      </c>
      <c r="D24" s="83" t="s">
        <v>35</v>
      </c>
      <c r="E24" s="86">
        <v>7</v>
      </c>
      <c r="F24" s="85">
        <v>15461</v>
      </c>
      <c r="G24" s="17"/>
    </row>
    <row r="25" spans="1:7" ht="14.25" customHeight="1" x14ac:dyDescent="0.25">
      <c r="A25" s="87">
        <v>268831</v>
      </c>
      <c r="B25" s="87" t="s">
        <v>58</v>
      </c>
      <c r="C25" s="83" t="s">
        <v>49</v>
      </c>
      <c r="D25" s="83" t="s">
        <v>35</v>
      </c>
      <c r="E25" s="86">
        <v>14</v>
      </c>
      <c r="F25" s="85">
        <v>16783</v>
      </c>
      <c r="G25" s="17"/>
    </row>
    <row r="26" spans="1:7" ht="14.25" customHeight="1" x14ac:dyDescent="0.25">
      <c r="A26" s="83">
        <v>273701</v>
      </c>
      <c r="B26" s="83" t="s">
        <v>59</v>
      </c>
      <c r="C26" s="87" t="s">
        <v>32</v>
      </c>
      <c r="D26" s="83" t="s">
        <v>35</v>
      </c>
      <c r="E26" s="86">
        <v>14</v>
      </c>
      <c r="F26" s="85">
        <v>16783</v>
      </c>
      <c r="G26" s="17"/>
    </row>
    <row r="27" spans="1:7" ht="14.25" customHeight="1" x14ac:dyDescent="0.25">
      <c r="A27" s="83">
        <v>291726</v>
      </c>
      <c r="B27" s="83" t="s">
        <v>60</v>
      </c>
      <c r="C27" s="87" t="s">
        <v>32</v>
      </c>
      <c r="D27" s="83" t="s">
        <v>35</v>
      </c>
      <c r="E27" s="86">
        <v>7</v>
      </c>
      <c r="F27" s="85">
        <v>13456</v>
      </c>
      <c r="G27" s="17"/>
    </row>
    <row r="28" spans="1:7" ht="14.25" customHeight="1" x14ac:dyDescent="0.25">
      <c r="A28" s="83">
        <v>291728</v>
      </c>
      <c r="B28" s="83" t="s">
        <v>61</v>
      </c>
      <c r="C28" s="87" t="s">
        <v>32</v>
      </c>
      <c r="D28" s="83" t="s">
        <v>35</v>
      </c>
      <c r="E28" s="86">
        <v>7</v>
      </c>
      <c r="F28" s="85">
        <v>13456</v>
      </c>
      <c r="G28" s="17"/>
    </row>
    <row r="29" spans="1:7" ht="14.25" customHeight="1" x14ac:dyDescent="0.25">
      <c r="A29" s="87">
        <v>300380</v>
      </c>
      <c r="B29" s="87" t="s">
        <v>36</v>
      </c>
      <c r="C29" s="87" t="s">
        <v>32</v>
      </c>
      <c r="D29" s="83" t="s">
        <v>35</v>
      </c>
      <c r="E29" s="86">
        <v>14</v>
      </c>
      <c r="F29" s="85">
        <v>16783</v>
      </c>
      <c r="G29" s="17"/>
    </row>
    <row r="30" spans="1:7" ht="14.25" customHeight="1" x14ac:dyDescent="0.25">
      <c r="A30" s="83">
        <v>571521</v>
      </c>
      <c r="B30" s="83" t="s">
        <v>62</v>
      </c>
      <c r="C30" s="83" t="s">
        <v>49</v>
      </c>
      <c r="D30" s="83" t="s">
        <v>35</v>
      </c>
      <c r="E30" s="86">
        <v>7</v>
      </c>
      <c r="F30" s="85">
        <v>14673</v>
      </c>
      <c r="G30" s="17"/>
    </row>
    <row r="31" spans="1:7" ht="14.25" customHeight="1" x14ac:dyDescent="0.25">
      <c r="A31" s="83">
        <v>614993</v>
      </c>
      <c r="B31" s="83" t="s">
        <v>63</v>
      </c>
      <c r="C31" s="83" t="s">
        <v>49</v>
      </c>
      <c r="D31" s="83" t="s">
        <v>35</v>
      </c>
      <c r="E31" s="86">
        <v>14</v>
      </c>
      <c r="F31" s="85">
        <v>12576</v>
      </c>
      <c r="G31" s="17"/>
    </row>
    <row r="32" spans="1:7"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F1" xr:uid="{BA3823D9-5C8F-44FB-9416-AA65B62D5D77}">
    <sortState xmlns:xlrd2="http://schemas.microsoft.com/office/spreadsheetml/2017/richdata2" ref="A2:F31">
      <sortCondition ref="A1"/>
    </sortState>
  </autoFilter>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80A86-8861-4266-85AA-E1456B27C30F}">
  <sheetPr>
    <tabColor theme="7" tint="0.79998168889431442"/>
  </sheetPr>
  <dimension ref="A1:C31"/>
  <sheetViews>
    <sheetView workbookViewId="0"/>
  </sheetViews>
  <sheetFormatPr baseColWidth="10" defaultRowHeight="15" x14ac:dyDescent="0.25"/>
  <sheetData>
    <row r="1" spans="1:3" x14ac:dyDescent="0.25">
      <c r="A1" s="73" t="s">
        <v>4</v>
      </c>
      <c r="B1" s="74" t="s">
        <v>4752</v>
      </c>
      <c r="C1" s="74" t="s">
        <v>4753</v>
      </c>
    </row>
    <row r="2" spans="1:3" x14ac:dyDescent="0.25">
      <c r="A2" s="75">
        <v>115600</v>
      </c>
      <c r="B2" s="76">
        <v>34</v>
      </c>
      <c r="C2" s="77">
        <v>2</v>
      </c>
    </row>
    <row r="3" spans="1:3" x14ac:dyDescent="0.25">
      <c r="A3" s="75">
        <v>129208</v>
      </c>
      <c r="B3" s="76">
        <v>20</v>
      </c>
      <c r="C3" s="77">
        <v>5</v>
      </c>
    </row>
    <row r="4" spans="1:3" x14ac:dyDescent="0.25">
      <c r="A4" s="78">
        <v>300380</v>
      </c>
      <c r="B4" s="76">
        <v>34</v>
      </c>
      <c r="C4" s="77">
        <v>5</v>
      </c>
    </row>
    <row r="5" spans="1:3" x14ac:dyDescent="0.25">
      <c r="A5" s="78">
        <v>23393</v>
      </c>
      <c r="B5" s="76">
        <v>400</v>
      </c>
      <c r="C5" s="77">
        <v>5</v>
      </c>
    </row>
    <row r="6" spans="1:3" x14ac:dyDescent="0.25">
      <c r="A6" s="78">
        <v>26764</v>
      </c>
      <c r="B6" s="76">
        <v>56</v>
      </c>
      <c r="C6" s="77">
        <v>11</v>
      </c>
    </row>
    <row r="7" spans="1:3" x14ac:dyDescent="0.25">
      <c r="A7" s="78">
        <v>53934</v>
      </c>
      <c r="B7" s="76">
        <v>38</v>
      </c>
      <c r="C7" s="77">
        <v>4</v>
      </c>
    </row>
    <row r="8" spans="1:3" x14ac:dyDescent="0.25">
      <c r="A8" s="75">
        <v>78699</v>
      </c>
      <c r="B8" s="76">
        <v>36</v>
      </c>
      <c r="C8" s="77">
        <v>6</v>
      </c>
    </row>
    <row r="9" spans="1:3" x14ac:dyDescent="0.25">
      <c r="A9" s="75">
        <v>78869</v>
      </c>
      <c r="B9" s="76">
        <v>12</v>
      </c>
      <c r="C9" s="77">
        <v>9</v>
      </c>
    </row>
    <row r="10" spans="1:3" x14ac:dyDescent="0.25">
      <c r="A10" s="75">
        <v>141622</v>
      </c>
      <c r="B10" s="76">
        <v>10</v>
      </c>
      <c r="C10" s="77">
        <v>4</v>
      </c>
    </row>
    <row r="11" spans="1:3" x14ac:dyDescent="0.25">
      <c r="A11" s="78">
        <v>141626</v>
      </c>
      <c r="B11" s="76">
        <v>30</v>
      </c>
      <c r="C11" s="77">
        <v>8</v>
      </c>
    </row>
    <row r="12" spans="1:3" x14ac:dyDescent="0.25">
      <c r="A12" s="78">
        <v>141791</v>
      </c>
      <c r="B12" s="76">
        <v>18</v>
      </c>
      <c r="C12" s="77">
        <v>5</v>
      </c>
    </row>
    <row r="13" spans="1:3" x14ac:dyDescent="0.25">
      <c r="A13" s="78">
        <v>141846</v>
      </c>
      <c r="B13" s="76">
        <v>58</v>
      </c>
      <c r="C13" s="77">
        <v>5</v>
      </c>
    </row>
    <row r="14" spans="1:3" x14ac:dyDescent="0.25">
      <c r="A14" s="78">
        <v>141967</v>
      </c>
      <c r="B14" s="76">
        <v>50</v>
      </c>
      <c r="C14" s="77">
        <v>7</v>
      </c>
    </row>
    <row r="15" spans="1:3" x14ac:dyDescent="0.25">
      <c r="A15" s="78">
        <v>142194</v>
      </c>
      <c r="B15" s="76">
        <v>28</v>
      </c>
      <c r="C15" s="77">
        <v>7</v>
      </c>
    </row>
    <row r="16" spans="1:3" x14ac:dyDescent="0.25">
      <c r="A16" s="75">
        <v>149729</v>
      </c>
      <c r="B16" s="76">
        <v>48</v>
      </c>
      <c r="C16" s="77">
        <v>5</v>
      </c>
    </row>
    <row r="17" spans="1:3" x14ac:dyDescent="0.25">
      <c r="A17" s="75">
        <v>149779</v>
      </c>
      <c r="B17" s="76">
        <v>48</v>
      </c>
      <c r="C17" s="77">
        <v>3</v>
      </c>
    </row>
    <row r="18" spans="1:3" x14ac:dyDescent="0.25">
      <c r="A18" s="78">
        <v>189933</v>
      </c>
      <c r="B18" s="76">
        <v>10</v>
      </c>
      <c r="C18" s="77">
        <v>7</v>
      </c>
    </row>
    <row r="19" spans="1:3" x14ac:dyDescent="0.25">
      <c r="A19" s="75">
        <v>202577</v>
      </c>
      <c r="B19" s="76">
        <v>54</v>
      </c>
      <c r="C19" s="77">
        <v>7</v>
      </c>
    </row>
    <row r="20" spans="1:3" x14ac:dyDescent="0.25">
      <c r="A20" s="78">
        <v>234334</v>
      </c>
      <c r="B20" s="76">
        <v>42</v>
      </c>
      <c r="C20" s="77">
        <v>10</v>
      </c>
    </row>
    <row r="21" spans="1:3" x14ac:dyDescent="0.25">
      <c r="A21" s="78">
        <v>249444</v>
      </c>
      <c r="B21" s="76">
        <v>60</v>
      </c>
      <c r="C21" s="77">
        <v>9</v>
      </c>
    </row>
    <row r="22" spans="1:3" x14ac:dyDescent="0.25">
      <c r="A22" s="78">
        <v>249795</v>
      </c>
      <c r="B22" s="76">
        <v>50</v>
      </c>
      <c r="C22" s="77">
        <v>10</v>
      </c>
    </row>
    <row r="23" spans="1:3" x14ac:dyDescent="0.25">
      <c r="A23" s="78">
        <v>250979</v>
      </c>
      <c r="B23" s="76">
        <v>50</v>
      </c>
      <c r="C23" s="77">
        <v>4</v>
      </c>
    </row>
    <row r="24" spans="1:3" x14ac:dyDescent="0.25">
      <c r="A24" s="78">
        <v>250981</v>
      </c>
      <c r="B24" s="76">
        <v>10</v>
      </c>
      <c r="C24" s="77">
        <v>8</v>
      </c>
    </row>
    <row r="25" spans="1:3" x14ac:dyDescent="0.25">
      <c r="A25" s="78">
        <v>262294</v>
      </c>
      <c r="B25" s="76">
        <v>48</v>
      </c>
      <c r="C25" s="77">
        <v>4</v>
      </c>
    </row>
    <row r="26" spans="1:3" x14ac:dyDescent="0.25">
      <c r="A26" s="78">
        <v>268831</v>
      </c>
      <c r="B26" s="76">
        <v>12</v>
      </c>
      <c r="C26" s="77">
        <v>8</v>
      </c>
    </row>
    <row r="27" spans="1:3" x14ac:dyDescent="0.25">
      <c r="A27" s="75">
        <v>273701</v>
      </c>
      <c r="B27" s="76">
        <v>20</v>
      </c>
      <c r="C27" s="77">
        <v>7</v>
      </c>
    </row>
    <row r="28" spans="1:3" x14ac:dyDescent="0.25">
      <c r="A28" s="75">
        <v>291726</v>
      </c>
      <c r="B28" s="76">
        <v>50</v>
      </c>
      <c r="C28" s="77">
        <v>5</v>
      </c>
    </row>
    <row r="29" spans="1:3" x14ac:dyDescent="0.25">
      <c r="A29" s="75">
        <v>291728</v>
      </c>
      <c r="B29" s="76">
        <v>24</v>
      </c>
      <c r="C29" s="77">
        <v>5</v>
      </c>
    </row>
    <row r="30" spans="1:3" x14ac:dyDescent="0.25">
      <c r="A30" s="75">
        <v>571521</v>
      </c>
      <c r="B30" s="76">
        <v>10</v>
      </c>
      <c r="C30" s="77">
        <v>3</v>
      </c>
    </row>
    <row r="31" spans="1:3" x14ac:dyDescent="0.25">
      <c r="A31" s="75">
        <v>614993</v>
      </c>
      <c r="B31" s="76">
        <v>26</v>
      </c>
      <c r="C31" s="77">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7E757-9297-440D-A6D3-FA2A21E1B3AE}">
  <sheetPr>
    <tabColor rgb="FFFEF2CB"/>
  </sheetPr>
  <dimension ref="A1:C999"/>
  <sheetViews>
    <sheetView workbookViewId="0"/>
  </sheetViews>
  <sheetFormatPr baseColWidth="10" defaultColWidth="14.42578125" defaultRowHeight="15" customHeight="1" x14ac:dyDescent="0.25"/>
  <cols>
    <col min="1" max="1" width="21.140625" style="15" customWidth="1"/>
    <col min="2" max="2" width="25.7109375" style="15" customWidth="1"/>
    <col min="3" max="3" width="28.140625" style="15" bestFit="1" customWidth="1"/>
    <col min="4" max="26" width="8.7109375" style="15" customWidth="1"/>
    <col min="27" max="16384" width="14.42578125" style="15"/>
  </cols>
  <sheetData>
    <row r="1" spans="1:3" ht="14.25" customHeight="1" x14ac:dyDescent="0.25">
      <c r="A1" s="18" t="s">
        <v>5</v>
      </c>
      <c r="B1" s="18" t="s">
        <v>64</v>
      </c>
      <c r="C1" s="18" t="s">
        <v>65</v>
      </c>
    </row>
    <row r="2" spans="1:3" ht="14.25" customHeight="1" x14ac:dyDescent="0.25">
      <c r="A2" s="19">
        <v>1201</v>
      </c>
      <c r="B2" s="20" t="s">
        <v>66</v>
      </c>
      <c r="C2" s="15">
        <v>469</v>
      </c>
    </row>
    <row r="3" spans="1:3" ht="14.25" customHeight="1" x14ac:dyDescent="0.25">
      <c r="A3" s="19">
        <v>1202</v>
      </c>
      <c r="B3" s="20" t="s">
        <v>67</v>
      </c>
      <c r="C3" s="15">
        <v>770</v>
      </c>
    </row>
    <row r="4" spans="1:3" ht="14.25" customHeight="1" x14ac:dyDescent="0.25">
      <c r="A4" s="19">
        <v>1203</v>
      </c>
      <c r="B4" s="20" t="s">
        <v>68</v>
      </c>
      <c r="C4" s="15">
        <v>35</v>
      </c>
    </row>
    <row r="5" spans="1:3" ht="14.25" customHeight="1" x14ac:dyDescent="0.25">
      <c r="A5" s="19">
        <v>1204</v>
      </c>
      <c r="B5" s="20" t="s">
        <v>69</v>
      </c>
      <c r="C5" s="15">
        <v>913</v>
      </c>
    </row>
    <row r="6" spans="1:3" ht="14.25" customHeight="1" x14ac:dyDescent="0.25">
      <c r="A6" s="19">
        <v>1205</v>
      </c>
      <c r="B6" s="20" t="s">
        <v>70</v>
      </c>
      <c r="C6" s="15">
        <v>243</v>
      </c>
    </row>
    <row r="7" spans="1:3" ht="14.25" customHeight="1" x14ac:dyDescent="0.25">
      <c r="A7" s="19">
        <v>1206</v>
      </c>
      <c r="B7" s="20" t="s">
        <v>71</v>
      </c>
      <c r="C7" s="15">
        <v>108</v>
      </c>
    </row>
    <row r="8" spans="1:3" ht="14.25" customHeight="1" x14ac:dyDescent="0.25">
      <c r="A8" s="19">
        <v>1207</v>
      </c>
      <c r="B8" s="20" t="s">
        <v>72</v>
      </c>
      <c r="C8" s="15">
        <v>231</v>
      </c>
    </row>
    <row r="9" spans="1:3" ht="14.25" customHeight="1" x14ac:dyDescent="0.25">
      <c r="A9" s="19">
        <v>1208</v>
      </c>
      <c r="B9" s="20" t="s">
        <v>73</v>
      </c>
      <c r="C9" s="15">
        <v>661</v>
      </c>
    </row>
    <row r="10" spans="1:3" ht="14.25" customHeight="1" x14ac:dyDescent="0.25">
      <c r="A10" s="19">
        <v>1209</v>
      </c>
      <c r="B10" s="20" t="s">
        <v>74</v>
      </c>
      <c r="C10" s="15">
        <v>888</v>
      </c>
    </row>
    <row r="11" spans="1:3" ht="14.25" customHeight="1" x14ac:dyDescent="0.25">
      <c r="A11" s="19">
        <v>1210</v>
      </c>
      <c r="B11" s="20" t="s">
        <v>75</v>
      </c>
      <c r="C11" s="15">
        <v>503</v>
      </c>
    </row>
    <row r="12" spans="1:3" ht="14.25" customHeight="1" x14ac:dyDescent="0.25">
      <c r="A12" s="19">
        <v>1211</v>
      </c>
      <c r="B12" s="20" t="s">
        <v>76</v>
      </c>
      <c r="C12" s="15">
        <v>809</v>
      </c>
    </row>
    <row r="13" spans="1:3" ht="14.25" customHeight="1" x14ac:dyDescent="0.25">
      <c r="A13" s="19">
        <v>1212</v>
      </c>
      <c r="B13" s="20" t="s">
        <v>77</v>
      </c>
      <c r="C13" s="15">
        <v>170</v>
      </c>
    </row>
    <row r="14" spans="1:3" ht="14.25" customHeight="1" x14ac:dyDescent="0.25">
      <c r="A14" s="19">
        <v>1213</v>
      </c>
      <c r="B14" s="20" t="s">
        <v>78</v>
      </c>
      <c r="C14" s="15">
        <v>302</v>
      </c>
    </row>
    <row r="15" spans="1:3" ht="14.25" customHeight="1" x14ac:dyDescent="0.25">
      <c r="A15" s="19">
        <v>1214</v>
      </c>
      <c r="B15" s="20" t="s">
        <v>79</v>
      </c>
      <c r="C15" s="15">
        <v>378</v>
      </c>
    </row>
    <row r="16" spans="1:3" ht="14.25" customHeight="1" x14ac:dyDescent="0.25">
      <c r="A16" s="19">
        <v>1216</v>
      </c>
      <c r="B16" s="20" t="s">
        <v>80</v>
      </c>
      <c r="C16" s="15">
        <v>477</v>
      </c>
    </row>
    <row r="17" spans="1:3" ht="14.25" customHeight="1" x14ac:dyDescent="0.25">
      <c r="A17" s="19">
        <v>1218</v>
      </c>
      <c r="B17" s="20" t="s">
        <v>81</v>
      </c>
      <c r="C17" s="15">
        <v>284</v>
      </c>
    </row>
    <row r="18" spans="1:3" ht="14.25" customHeight="1" x14ac:dyDescent="0.25">
      <c r="A18" s="19">
        <v>1219</v>
      </c>
      <c r="B18" s="20" t="s">
        <v>82</v>
      </c>
      <c r="C18" s="15">
        <v>157</v>
      </c>
    </row>
    <row r="19" spans="1:3" ht="14.25" customHeight="1" x14ac:dyDescent="0.25">
      <c r="A19" s="19">
        <v>1220</v>
      </c>
      <c r="B19" s="20" t="s">
        <v>83</v>
      </c>
      <c r="C19" s="15">
        <v>388</v>
      </c>
    </row>
    <row r="20" spans="1:3" ht="14.25" customHeight="1" x14ac:dyDescent="0.25">
      <c r="A20" s="19"/>
      <c r="B20" s="20"/>
    </row>
    <row r="21" spans="1:3" ht="14.25" customHeight="1" x14ac:dyDescent="0.25">
      <c r="A21" s="19"/>
      <c r="B21" s="20"/>
    </row>
    <row r="22" spans="1:3" ht="14.25" customHeight="1" x14ac:dyDescent="0.25">
      <c r="A22" s="19"/>
      <c r="B22" s="20"/>
    </row>
    <row r="23" spans="1:3" ht="14.25" customHeight="1" x14ac:dyDescent="0.25">
      <c r="A23" s="19"/>
      <c r="B23" s="20"/>
    </row>
    <row r="24" spans="1:3" ht="14.25" customHeight="1" x14ac:dyDescent="0.25">
      <c r="A24" s="19"/>
      <c r="B24" s="20"/>
    </row>
    <row r="25" spans="1:3" ht="14.25" customHeight="1" x14ac:dyDescent="0.25">
      <c r="A25" s="19"/>
      <c r="B25" s="20"/>
    </row>
    <row r="26" spans="1:3" ht="14.25" customHeight="1" x14ac:dyDescent="0.25">
      <c r="A26" s="19"/>
      <c r="B26" s="20"/>
    </row>
    <row r="27" spans="1:3" ht="14.25" customHeight="1" x14ac:dyDescent="0.25">
      <c r="A27" s="19"/>
      <c r="B27" s="20"/>
    </row>
    <row r="28" spans="1:3" ht="14.25" customHeight="1" x14ac:dyDescent="0.25">
      <c r="A28" s="19"/>
      <c r="B28" s="20"/>
    </row>
    <row r="29" spans="1:3" ht="14.25" customHeight="1" x14ac:dyDescent="0.25">
      <c r="A29" s="19"/>
      <c r="B29" s="20"/>
    </row>
    <row r="30" spans="1:3" ht="14.25" customHeight="1" x14ac:dyDescent="0.25">
      <c r="A30" s="19"/>
      <c r="B30" s="20"/>
    </row>
    <row r="31" spans="1:3" ht="14.25" customHeight="1" x14ac:dyDescent="0.25">
      <c r="A31" s="19"/>
      <c r="B31" s="20"/>
    </row>
    <row r="32" spans="1:3" ht="14.25" customHeight="1" x14ac:dyDescent="0.25">
      <c r="A32" s="19"/>
      <c r="B32" s="20"/>
    </row>
    <row r="33" spans="1:2" ht="14.25" customHeight="1" x14ac:dyDescent="0.25">
      <c r="A33" s="19"/>
      <c r="B33" s="20"/>
    </row>
    <row r="34" spans="1:2" ht="14.25" customHeight="1" x14ac:dyDescent="0.25">
      <c r="A34" s="19"/>
      <c r="B34" s="20"/>
    </row>
    <row r="35" spans="1:2" ht="14.25" customHeight="1" x14ac:dyDescent="0.25">
      <c r="A35" s="19"/>
      <c r="B35" s="20"/>
    </row>
    <row r="36" spans="1:2" ht="14.25" customHeight="1" x14ac:dyDescent="0.25">
      <c r="A36" s="19"/>
      <c r="B36" s="20"/>
    </row>
    <row r="37" spans="1:2" ht="14.25" customHeight="1" x14ac:dyDescent="0.25">
      <c r="A37" s="19"/>
      <c r="B37" s="20"/>
    </row>
    <row r="38" spans="1:2" ht="14.25" customHeight="1" x14ac:dyDescent="0.25">
      <c r="A38" s="19"/>
      <c r="B38" s="20"/>
    </row>
    <row r="39" spans="1:2" ht="14.25" customHeight="1" x14ac:dyDescent="0.25">
      <c r="A39" s="19"/>
      <c r="B39" s="20"/>
    </row>
    <row r="40" spans="1:2" ht="14.25" customHeight="1" x14ac:dyDescent="0.25">
      <c r="A40" s="19"/>
      <c r="B40" s="20"/>
    </row>
    <row r="41" spans="1:2" ht="14.25" customHeight="1" x14ac:dyDescent="0.25">
      <c r="A41" s="19"/>
      <c r="B41" s="20"/>
    </row>
    <row r="42" spans="1:2" ht="14.25" customHeight="1" x14ac:dyDescent="0.25">
      <c r="A42" s="19"/>
      <c r="B42" s="20"/>
    </row>
    <row r="43" spans="1:2" ht="14.25" customHeight="1" x14ac:dyDescent="0.25">
      <c r="A43" s="19"/>
      <c r="B43" s="20"/>
    </row>
    <row r="44" spans="1:2" ht="14.25" customHeight="1" x14ac:dyDescent="0.25">
      <c r="A44" s="19"/>
      <c r="B44" s="20"/>
    </row>
    <row r="45" spans="1:2" ht="14.25" customHeight="1" x14ac:dyDescent="0.25">
      <c r="A45" s="19"/>
      <c r="B45" s="20"/>
    </row>
    <row r="46" spans="1:2" ht="14.25" customHeight="1" x14ac:dyDescent="0.25">
      <c r="A46" s="19"/>
      <c r="B46" s="20"/>
    </row>
    <row r="47" spans="1:2" ht="14.25" customHeight="1" x14ac:dyDescent="0.25">
      <c r="A47" s="19"/>
      <c r="B47" s="20"/>
    </row>
    <row r="48" spans="1:2" ht="14.25" customHeight="1" x14ac:dyDescent="0.25">
      <c r="A48" s="19"/>
      <c r="B48" s="20"/>
    </row>
    <row r="49" spans="1:2" ht="14.25" customHeight="1" x14ac:dyDescent="0.25">
      <c r="A49" s="19"/>
      <c r="B49" s="20"/>
    </row>
    <row r="50" spans="1:2" ht="14.25" customHeight="1" x14ac:dyDescent="0.25">
      <c r="A50" s="19"/>
      <c r="B50" s="20"/>
    </row>
    <row r="51" spans="1:2" ht="14.25" customHeight="1" x14ac:dyDescent="0.25">
      <c r="A51" s="19"/>
      <c r="B51" s="20"/>
    </row>
    <row r="52" spans="1:2" ht="14.25" customHeight="1" x14ac:dyDescent="0.25">
      <c r="A52" s="19"/>
      <c r="B52" s="20"/>
    </row>
    <row r="53" spans="1:2" ht="14.25" customHeight="1" x14ac:dyDescent="0.25">
      <c r="A53" s="19"/>
      <c r="B53" s="20"/>
    </row>
    <row r="54" spans="1:2" ht="14.25" customHeight="1" x14ac:dyDescent="0.25">
      <c r="A54" s="19"/>
      <c r="B54" s="20"/>
    </row>
    <row r="55" spans="1:2" ht="14.25" customHeight="1" x14ac:dyDescent="0.25">
      <c r="A55" s="19"/>
      <c r="B55" s="20"/>
    </row>
    <row r="56" spans="1:2" ht="14.25" customHeight="1" x14ac:dyDescent="0.25">
      <c r="A56" s="19"/>
      <c r="B56" s="20"/>
    </row>
    <row r="57" spans="1:2" ht="14.25" customHeight="1" x14ac:dyDescent="0.25">
      <c r="A57" s="19"/>
      <c r="B57" s="20"/>
    </row>
    <row r="58" spans="1:2" ht="14.25" customHeight="1" x14ac:dyDescent="0.25">
      <c r="A58" s="19"/>
      <c r="B58" s="20"/>
    </row>
    <row r="59" spans="1:2" ht="14.25" customHeight="1" x14ac:dyDescent="0.25">
      <c r="A59" s="19"/>
      <c r="B59" s="20"/>
    </row>
    <row r="60" spans="1:2" ht="14.25" customHeight="1" x14ac:dyDescent="0.25">
      <c r="A60" s="19"/>
      <c r="B60" s="20"/>
    </row>
    <row r="61" spans="1:2" ht="14.25" customHeight="1" x14ac:dyDescent="0.25">
      <c r="A61" s="19"/>
      <c r="B61" s="20"/>
    </row>
    <row r="62" spans="1:2" ht="14.25" customHeight="1" x14ac:dyDescent="0.25">
      <c r="A62" s="19"/>
      <c r="B62" s="20"/>
    </row>
    <row r="63" spans="1:2" ht="14.25" customHeight="1" x14ac:dyDescent="0.25">
      <c r="A63" s="19"/>
      <c r="B63" s="20"/>
    </row>
    <row r="64" spans="1:2" ht="14.25" customHeight="1" x14ac:dyDescent="0.25">
      <c r="A64" s="19"/>
      <c r="B64" s="20"/>
    </row>
    <row r="65" spans="1:2" ht="14.25" customHeight="1" x14ac:dyDescent="0.25">
      <c r="A65" s="19"/>
      <c r="B65" s="20"/>
    </row>
    <row r="66" spans="1:2" ht="14.25" customHeight="1" x14ac:dyDescent="0.25">
      <c r="A66" s="19"/>
      <c r="B66" s="20"/>
    </row>
    <row r="67" spans="1:2" ht="14.25" customHeight="1" x14ac:dyDescent="0.25">
      <c r="A67" s="19"/>
      <c r="B67" s="20"/>
    </row>
    <row r="68" spans="1:2" ht="14.25" customHeight="1" x14ac:dyDescent="0.25">
      <c r="A68" s="19"/>
      <c r="B68" s="20"/>
    </row>
    <row r="69" spans="1:2" ht="14.25" customHeight="1" x14ac:dyDescent="0.25">
      <c r="A69" s="19"/>
      <c r="B69" s="20"/>
    </row>
    <row r="70" spans="1:2" ht="14.25" customHeight="1" x14ac:dyDescent="0.25">
      <c r="A70" s="19"/>
      <c r="B70" s="20"/>
    </row>
    <row r="71" spans="1:2" ht="14.25" customHeight="1" x14ac:dyDescent="0.25">
      <c r="A71" s="19"/>
      <c r="B71" s="20"/>
    </row>
    <row r="72" spans="1:2" ht="14.25" customHeight="1" x14ac:dyDescent="0.25">
      <c r="A72" s="19"/>
      <c r="B72" s="20"/>
    </row>
    <row r="73" spans="1:2" ht="14.25" customHeight="1" x14ac:dyDescent="0.25">
      <c r="A73" s="19"/>
      <c r="B73" s="20"/>
    </row>
    <row r="74" spans="1:2" ht="14.25" customHeight="1" x14ac:dyDescent="0.25">
      <c r="A74" s="19"/>
      <c r="B74" s="20"/>
    </row>
    <row r="75" spans="1:2" ht="14.25" customHeight="1" x14ac:dyDescent="0.25">
      <c r="A75" s="19"/>
      <c r="B75" s="20"/>
    </row>
    <row r="76" spans="1:2" ht="14.25" customHeight="1" x14ac:dyDescent="0.25">
      <c r="A76" s="19"/>
      <c r="B76" s="20"/>
    </row>
    <row r="77" spans="1:2" ht="14.25" customHeight="1" x14ac:dyDescent="0.25">
      <c r="A77" s="19"/>
      <c r="B77" s="20"/>
    </row>
    <row r="78" spans="1:2" ht="14.25" customHeight="1" x14ac:dyDescent="0.25">
      <c r="A78" s="19"/>
      <c r="B78" s="20"/>
    </row>
    <row r="79" spans="1:2" ht="14.25" customHeight="1" x14ac:dyDescent="0.25">
      <c r="A79" s="19"/>
      <c r="B79" s="20"/>
    </row>
    <row r="80" spans="1:2" ht="14.25" customHeight="1" x14ac:dyDescent="0.25">
      <c r="A80" s="19"/>
      <c r="B80" s="20"/>
    </row>
    <row r="81" spans="1:2" ht="14.25" customHeight="1" x14ac:dyDescent="0.25">
      <c r="A81" s="19"/>
      <c r="B81" s="20"/>
    </row>
    <row r="82" spans="1:2" ht="14.25" customHeight="1" x14ac:dyDescent="0.25">
      <c r="A82" s="19"/>
      <c r="B82" s="20"/>
    </row>
    <row r="83" spans="1:2" ht="14.25" customHeight="1" x14ac:dyDescent="0.25">
      <c r="A83" s="19"/>
      <c r="B83" s="20"/>
    </row>
    <row r="84" spans="1:2" ht="14.25" customHeight="1" x14ac:dyDescent="0.25">
      <c r="A84" s="19"/>
      <c r="B84" s="20"/>
    </row>
    <row r="85" spans="1:2" ht="14.25" customHeight="1" x14ac:dyDescent="0.25">
      <c r="A85" s="19"/>
      <c r="B85" s="20"/>
    </row>
    <row r="86" spans="1:2" ht="14.25" customHeight="1" x14ac:dyDescent="0.25">
      <c r="A86" s="19"/>
      <c r="B86" s="20"/>
    </row>
    <row r="87" spans="1:2" ht="14.25" customHeight="1" x14ac:dyDescent="0.25">
      <c r="A87" s="19"/>
      <c r="B87" s="20"/>
    </row>
    <row r="88" spans="1:2" ht="14.25" customHeight="1" x14ac:dyDescent="0.25">
      <c r="A88" s="19"/>
      <c r="B88" s="20"/>
    </row>
    <row r="89" spans="1:2" ht="14.25" customHeight="1" x14ac:dyDescent="0.25">
      <c r="A89" s="19"/>
      <c r="B89" s="20"/>
    </row>
    <row r="90" spans="1:2" ht="14.25" customHeight="1" x14ac:dyDescent="0.25">
      <c r="A90" s="19"/>
      <c r="B90" s="20"/>
    </row>
    <row r="91" spans="1:2" ht="14.25" customHeight="1" x14ac:dyDescent="0.25">
      <c r="A91" s="19"/>
      <c r="B91" s="20"/>
    </row>
    <row r="92" spans="1:2" ht="14.25" customHeight="1" x14ac:dyDescent="0.25">
      <c r="A92" s="19"/>
      <c r="B92" s="20"/>
    </row>
    <row r="93" spans="1:2" ht="14.25" customHeight="1" x14ac:dyDescent="0.25">
      <c r="A93" s="19"/>
      <c r="B93" s="20"/>
    </row>
    <row r="94" spans="1:2" ht="14.25" customHeight="1" x14ac:dyDescent="0.25">
      <c r="A94" s="19"/>
      <c r="B94" s="20"/>
    </row>
    <row r="95" spans="1:2" ht="14.25" customHeight="1" x14ac:dyDescent="0.25">
      <c r="A95" s="19"/>
      <c r="B95" s="20"/>
    </row>
    <row r="96" spans="1:2" ht="14.25" customHeight="1" x14ac:dyDescent="0.25">
      <c r="A96" s="19"/>
      <c r="B96" s="20"/>
    </row>
    <row r="97" spans="1:2" ht="14.25" customHeight="1" x14ac:dyDescent="0.25">
      <c r="A97" s="19"/>
      <c r="B97" s="20"/>
    </row>
    <row r="98" spans="1:2" ht="14.25" customHeight="1" x14ac:dyDescent="0.25">
      <c r="A98" s="19"/>
      <c r="B98" s="20"/>
    </row>
    <row r="99" spans="1:2" ht="14.25" customHeight="1" x14ac:dyDescent="0.25">
      <c r="A99" s="19"/>
      <c r="B99" s="20"/>
    </row>
    <row r="100" spans="1:2" ht="14.25" customHeight="1" x14ac:dyDescent="0.25">
      <c r="A100" s="19"/>
      <c r="B100" s="20"/>
    </row>
    <row r="101" spans="1:2" ht="14.25" customHeight="1" x14ac:dyDescent="0.25">
      <c r="A101" s="19"/>
      <c r="B101" s="20"/>
    </row>
    <row r="102" spans="1:2" ht="14.25" customHeight="1" x14ac:dyDescent="0.25">
      <c r="A102" s="19"/>
      <c r="B102" s="20"/>
    </row>
    <row r="103" spans="1:2" ht="14.25" customHeight="1" x14ac:dyDescent="0.25">
      <c r="A103" s="19"/>
      <c r="B103" s="20"/>
    </row>
    <row r="104" spans="1:2" ht="14.25" customHeight="1" x14ac:dyDescent="0.25">
      <c r="A104" s="19"/>
      <c r="B104" s="20"/>
    </row>
    <row r="105" spans="1:2" ht="14.25" customHeight="1" x14ac:dyDescent="0.25">
      <c r="A105" s="19"/>
      <c r="B105" s="20"/>
    </row>
    <row r="106" spans="1:2" ht="14.25" customHeight="1" x14ac:dyDescent="0.25">
      <c r="A106" s="19"/>
      <c r="B106" s="20"/>
    </row>
    <row r="107" spans="1:2" ht="14.25" customHeight="1" x14ac:dyDescent="0.25">
      <c r="A107" s="19"/>
      <c r="B107" s="20"/>
    </row>
    <row r="108" spans="1:2" ht="14.25" customHeight="1" x14ac:dyDescent="0.25">
      <c r="A108" s="19"/>
      <c r="B108" s="20"/>
    </row>
    <row r="109" spans="1:2" ht="14.25" customHeight="1" x14ac:dyDescent="0.25">
      <c r="A109" s="19"/>
      <c r="B109" s="20"/>
    </row>
    <row r="110" spans="1:2" ht="14.25" customHeight="1" x14ac:dyDescent="0.25">
      <c r="A110" s="19"/>
      <c r="B110" s="20"/>
    </row>
    <row r="111" spans="1:2" ht="14.25" customHeight="1" x14ac:dyDescent="0.25">
      <c r="A111" s="19"/>
      <c r="B111" s="20"/>
    </row>
    <row r="112" spans="1:2" ht="14.25" customHeight="1" x14ac:dyDescent="0.25">
      <c r="A112" s="19"/>
      <c r="B112" s="20"/>
    </row>
    <row r="113" spans="1:2" ht="14.25" customHeight="1" x14ac:dyDescent="0.25">
      <c r="A113" s="19"/>
      <c r="B113" s="20"/>
    </row>
    <row r="114" spans="1:2" ht="14.25" customHeight="1" x14ac:dyDescent="0.25">
      <c r="A114" s="19"/>
      <c r="B114" s="20"/>
    </row>
    <row r="115" spans="1:2" ht="14.25" customHeight="1" x14ac:dyDescent="0.25">
      <c r="A115" s="19"/>
      <c r="B115" s="20"/>
    </row>
    <row r="116" spans="1:2" ht="14.25" customHeight="1" x14ac:dyDescent="0.25">
      <c r="A116" s="19"/>
      <c r="B116" s="20"/>
    </row>
    <row r="117" spans="1:2" ht="14.25" customHeight="1" x14ac:dyDescent="0.25">
      <c r="A117" s="19"/>
      <c r="B117" s="20"/>
    </row>
    <row r="118" spans="1:2" ht="14.25" customHeight="1" x14ac:dyDescent="0.25">
      <c r="A118" s="19"/>
      <c r="B118" s="20"/>
    </row>
    <row r="119" spans="1:2" ht="14.25" customHeight="1" x14ac:dyDescent="0.25">
      <c r="A119" s="19"/>
      <c r="B119" s="20"/>
    </row>
    <row r="120" spans="1:2" ht="14.25" customHeight="1" x14ac:dyDescent="0.25">
      <c r="A120" s="19"/>
      <c r="B120" s="20"/>
    </row>
    <row r="121" spans="1:2" ht="14.25" customHeight="1" x14ac:dyDescent="0.25">
      <c r="A121" s="19"/>
      <c r="B121" s="20"/>
    </row>
    <row r="122" spans="1:2" ht="14.25" customHeight="1" x14ac:dyDescent="0.25">
      <c r="A122" s="19"/>
      <c r="B122" s="20"/>
    </row>
    <row r="123" spans="1:2" ht="14.25" customHeight="1" x14ac:dyDescent="0.25">
      <c r="A123" s="19"/>
      <c r="B123" s="20"/>
    </row>
    <row r="124" spans="1:2" ht="14.25" customHeight="1" x14ac:dyDescent="0.25">
      <c r="A124" s="19"/>
      <c r="B124" s="20"/>
    </row>
    <row r="125" spans="1:2" ht="14.25" customHeight="1" x14ac:dyDescent="0.25">
      <c r="A125" s="19"/>
      <c r="B125" s="20"/>
    </row>
    <row r="126" spans="1:2" ht="14.25" customHeight="1" x14ac:dyDescent="0.25">
      <c r="A126" s="19"/>
      <c r="B126" s="20"/>
    </row>
    <row r="127" spans="1:2" ht="14.25" customHeight="1" x14ac:dyDescent="0.25">
      <c r="A127" s="19"/>
      <c r="B127" s="20"/>
    </row>
    <row r="128" spans="1:2" ht="14.25" customHeight="1" x14ac:dyDescent="0.25">
      <c r="A128" s="19"/>
      <c r="B128" s="20"/>
    </row>
    <row r="129" spans="1:2" ht="14.25" customHeight="1" x14ac:dyDescent="0.25">
      <c r="A129" s="19"/>
      <c r="B129" s="20"/>
    </row>
    <row r="130" spans="1:2" ht="14.25" customHeight="1" x14ac:dyDescent="0.25">
      <c r="A130" s="19"/>
      <c r="B130" s="20"/>
    </row>
    <row r="131" spans="1:2" ht="14.25" customHeight="1" x14ac:dyDescent="0.25">
      <c r="A131" s="19"/>
      <c r="B131" s="20"/>
    </row>
    <row r="132" spans="1:2" ht="14.25" customHeight="1" x14ac:dyDescent="0.25">
      <c r="A132" s="19"/>
      <c r="B132" s="20"/>
    </row>
    <row r="133" spans="1:2" ht="14.25" customHeight="1" x14ac:dyDescent="0.25">
      <c r="A133" s="19"/>
      <c r="B133" s="20"/>
    </row>
    <row r="134" spans="1:2" ht="14.25" customHeight="1" x14ac:dyDescent="0.25">
      <c r="A134" s="19"/>
      <c r="B134" s="20"/>
    </row>
    <row r="135" spans="1:2" ht="14.25" customHeight="1" x14ac:dyDescent="0.25">
      <c r="A135" s="19"/>
      <c r="B135" s="20"/>
    </row>
    <row r="136" spans="1:2" ht="14.25" customHeight="1" x14ac:dyDescent="0.25">
      <c r="A136" s="19"/>
      <c r="B136" s="20"/>
    </row>
    <row r="137" spans="1:2" ht="14.25" customHeight="1" x14ac:dyDescent="0.25">
      <c r="A137" s="19"/>
      <c r="B137" s="20"/>
    </row>
    <row r="138" spans="1:2" ht="14.25" customHeight="1" x14ac:dyDescent="0.25">
      <c r="A138" s="19"/>
      <c r="B138" s="20"/>
    </row>
    <row r="139" spans="1:2" ht="14.25" customHeight="1" x14ac:dyDescent="0.25">
      <c r="A139" s="19"/>
      <c r="B139" s="20"/>
    </row>
    <row r="140" spans="1:2" ht="14.25" customHeight="1" x14ac:dyDescent="0.25">
      <c r="A140" s="19"/>
      <c r="B140" s="20"/>
    </row>
    <row r="141" spans="1:2" ht="14.25" customHeight="1" x14ac:dyDescent="0.25">
      <c r="A141" s="19"/>
      <c r="B141" s="20"/>
    </row>
    <row r="142" spans="1:2" ht="14.25" customHeight="1" x14ac:dyDescent="0.25">
      <c r="A142" s="19"/>
      <c r="B142" s="20"/>
    </row>
    <row r="143" spans="1:2" ht="14.25" customHeight="1" x14ac:dyDescent="0.25">
      <c r="A143" s="19"/>
      <c r="B143" s="20"/>
    </row>
    <row r="144" spans="1:2" ht="14.25" customHeight="1" x14ac:dyDescent="0.25">
      <c r="A144" s="19"/>
      <c r="B144" s="20"/>
    </row>
    <row r="145" spans="1:2" ht="14.25" customHeight="1" x14ac:dyDescent="0.25">
      <c r="A145" s="19"/>
      <c r="B145" s="20"/>
    </row>
    <row r="146" spans="1:2" ht="14.25" customHeight="1" x14ac:dyDescent="0.25">
      <c r="A146" s="19"/>
      <c r="B146" s="20"/>
    </row>
    <row r="147" spans="1:2" ht="14.25" customHeight="1" x14ac:dyDescent="0.25">
      <c r="A147" s="19"/>
      <c r="B147" s="20"/>
    </row>
    <row r="148" spans="1:2" ht="14.25" customHeight="1" x14ac:dyDescent="0.25">
      <c r="A148" s="19"/>
      <c r="B148" s="20"/>
    </row>
    <row r="149" spans="1:2" ht="14.25" customHeight="1" x14ac:dyDescent="0.25">
      <c r="A149" s="19"/>
      <c r="B149" s="20"/>
    </row>
    <row r="150" spans="1:2" ht="14.25" customHeight="1" x14ac:dyDescent="0.25">
      <c r="A150" s="19"/>
      <c r="B150" s="20"/>
    </row>
    <row r="151" spans="1:2" ht="14.25" customHeight="1" x14ac:dyDescent="0.25">
      <c r="A151" s="19"/>
      <c r="B151" s="20"/>
    </row>
    <row r="152" spans="1:2" ht="14.25" customHeight="1" x14ac:dyDescent="0.25">
      <c r="A152" s="19"/>
      <c r="B152" s="20"/>
    </row>
    <row r="153" spans="1:2" ht="14.25" customHeight="1" x14ac:dyDescent="0.25">
      <c r="A153" s="19"/>
      <c r="B153" s="20"/>
    </row>
    <row r="154" spans="1:2" ht="14.25" customHeight="1" x14ac:dyDescent="0.25">
      <c r="A154" s="19"/>
      <c r="B154" s="20"/>
    </row>
    <row r="155" spans="1:2" ht="14.25" customHeight="1" x14ac:dyDescent="0.25">
      <c r="A155" s="19"/>
      <c r="B155" s="20"/>
    </row>
    <row r="156" spans="1:2" ht="14.25" customHeight="1" x14ac:dyDescent="0.25">
      <c r="A156" s="19"/>
      <c r="B156" s="20"/>
    </row>
    <row r="157" spans="1:2" ht="14.25" customHeight="1" x14ac:dyDescent="0.25">
      <c r="A157" s="19"/>
      <c r="B157" s="20"/>
    </row>
    <row r="158" spans="1:2" ht="14.25" customHeight="1" x14ac:dyDescent="0.25">
      <c r="A158" s="19"/>
      <c r="B158" s="20"/>
    </row>
    <row r="159" spans="1:2" ht="14.25" customHeight="1" x14ac:dyDescent="0.25"/>
    <row r="160" spans="1:2"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2F9B-C50E-479A-9451-42CD14580941}">
  <sheetPr>
    <tabColor rgb="FFFEF2CB"/>
  </sheetPr>
  <dimension ref="A1:D96"/>
  <sheetViews>
    <sheetView workbookViewId="0"/>
  </sheetViews>
  <sheetFormatPr baseColWidth="10" defaultColWidth="10.85546875" defaultRowHeight="15" x14ac:dyDescent="0.25"/>
  <cols>
    <col min="1" max="1" width="14.42578125" style="15" customWidth="1"/>
    <col min="2" max="2" width="16" style="15" bestFit="1" customWidth="1"/>
    <col min="3" max="16384" width="10.85546875" style="15"/>
  </cols>
  <sheetData>
    <row r="1" spans="1:4" s="22" customFormat="1" ht="33" customHeight="1" x14ac:dyDescent="0.25">
      <c r="A1" s="80" t="s">
        <v>4767</v>
      </c>
      <c r="B1" s="21" t="s">
        <v>30</v>
      </c>
      <c r="C1" s="21" t="s">
        <v>84</v>
      </c>
      <c r="D1" s="21" t="s">
        <v>85</v>
      </c>
    </row>
    <row r="2" spans="1:4" x14ac:dyDescent="0.25">
      <c r="A2" s="15" t="str">
        <f>Table1[[#This Row],[Fournisseur ID]]&amp;Table1[[#This Row],[Shop ID]]</f>
        <v>125761201</v>
      </c>
      <c r="B2" s="15">
        <v>12576</v>
      </c>
      <c r="C2" s="19">
        <v>1201</v>
      </c>
      <c r="D2" s="15">
        <v>927</v>
      </c>
    </row>
    <row r="3" spans="1:4" x14ac:dyDescent="0.25">
      <c r="A3" s="15" t="str">
        <f>Table1[[#This Row],[Fournisseur ID]]&amp;Table1[[#This Row],[Shop ID]]</f>
        <v>125761202</v>
      </c>
      <c r="B3" s="15">
        <v>12576</v>
      </c>
      <c r="C3" s="19">
        <v>1202</v>
      </c>
      <c r="D3" s="15">
        <v>1155</v>
      </c>
    </row>
    <row r="4" spans="1:4" x14ac:dyDescent="0.25">
      <c r="A4" s="15" t="str">
        <f>Table1[[#This Row],[Fournisseur ID]]&amp;Table1[[#This Row],[Shop ID]]</f>
        <v>125761203</v>
      </c>
      <c r="B4" s="15">
        <v>12576</v>
      </c>
      <c r="C4" s="19">
        <v>1203</v>
      </c>
      <c r="D4" s="15">
        <v>489</v>
      </c>
    </row>
    <row r="5" spans="1:4" x14ac:dyDescent="0.25">
      <c r="A5" s="15" t="str">
        <f>Table1[[#This Row],[Fournisseur ID]]&amp;Table1[[#This Row],[Shop ID]]</f>
        <v>125761204</v>
      </c>
      <c r="B5" s="15">
        <v>12576</v>
      </c>
      <c r="C5" s="19">
        <v>1204</v>
      </c>
      <c r="D5" s="15">
        <v>787</v>
      </c>
    </row>
    <row r="6" spans="1:4" x14ac:dyDescent="0.25">
      <c r="A6" s="15" t="str">
        <f>Table1[[#This Row],[Fournisseur ID]]&amp;Table1[[#This Row],[Shop ID]]</f>
        <v>125761205</v>
      </c>
      <c r="B6" s="15">
        <v>12576</v>
      </c>
      <c r="C6" s="19">
        <v>1205</v>
      </c>
      <c r="D6" s="15">
        <v>487</v>
      </c>
    </row>
    <row r="7" spans="1:4" x14ac:dyDescent="0.25">
      <c r="A7" s="15" t="str">
        <f>Table1[[#This Row],[Fournisseur ID]]&amp;Table1[[#This Row],[Shop ID]]</f>
        <v>125761206</v>
      </c>
      <c r="B7" s="15">
        <v>12576</v>
      </c>
      <c r="C7" s="19">
        <v>1206</v>
      </c>
      <c r="D7" s="15">
        <v>483</v>
      </c>
    </row>
    <row r="8" spans="1:4" x14ac:dyDescent="0.25">
      <c r="A8" s="15" t="str">
        <f>Table1[[#This Row],[Fournisseur ID]]&amp;Table1[[#This Row],[Shop ID]]</f>
        <v>125761207</v>
      </c>
      <c r="B8" s="15">
        <v>12576</v>
      </c>
      <c r="C8" s="19">
        <v>1207</v>
      </c>
      <c r="D8" s="15">
        <v>697</v>
      </c>
    </row>
    <row r="9" spans="1:4" x14ac:dyDescent="0.25">
      <c r="A9" s="15" t="str">
        <f>Table1[[#This Row],[Fournisseur ID]]&amp;Table1[[#This Row],[Shop ID]]</f>
        <v>125761208</v>
      </c>
      <c r="B9" s="15">
        <v>12576</v>
      </c>
      <c r="C9" s="19">
        <v>1208</v>
      </c>
      <c r="D9" s="15">
        <v>721</v>
      </c>
    </row>
    <row r="10" spans="1:4" x14ac:dyDescent="0.25">
      <c r="A10" s="15" t="str">
        <f>Table1[[#This Row],[Fournisseur ID]]&amp;Table1[[#This Row],[Shop ID]]</f>
        <v>125761209</v>
      </c>
      <c r="B10" s="15">
        <v>12576</v>
      </c>
      <c r="C10" s="19">
        <v>1209</v>
      </c>
      <c r="D10" s="15">
        <v>805</v>
      </c>
    </row>
    <row r="11" spans="1:4" x14ac:dyDescent="0.25">
      <c r="A11" s="15" t="str">
        <f>Table1[[#This Row],[Fournisseur ID]]&amp;Table1[[#This Row],[Shop ID]]</f>
        <v>125761210</v>
      </c>
      <c r="B11" s="15">
        <v>12576</v>
      </c>
      <c r="C11" s="19">
        <v>1210</v>
      </c>
      <c r="D11" s="15">
        <v>3</v>
      </c>
    </row>
    <row r="12" spans="1:4" x14ac:dyDescent="0.25">
      <c r="A12" s="15" t="str">
        <f>Table1[[#This Row],[Fournisseur ID]]&amp;Table1[[#This Row],[Shop ID]]</f>
        <v>125761211</v>
      </c>
      <c r="B12" s="15">
        <v>12576</v>
      </c>
      <c r="C12" s="19">
        <v>1211</v>
      </c>
      <c r="D12" s="15">
        <v>869</v>
      </c>
    </row>
    <row r="13" spans="1:4" x14ac:dyDescent="0.25">
      <c r="A13" s="15" t="str">
        <f>Table1[[#This Row],[Fournisseur ID]]&amp;Table1[[#This Row],[Shop ID]]</f>
        <v>125761212</v>
      </c>
      <c r="B13" s="15">
        <v>12576</v>
      </c>
      <c r="C13" s="19">
        <v>1212</v>
      </c>
      <c r="D13" s="15">
        <v>635</v>
      </c>
    </row>
    <row r="14" spans="1:4" x14ac:dyDescent="0.25">
      <c r="A14" s="15" t="str">
        <f>Table1[[#This Row],[Fournisseur ID]]&amp;Table1[[#This Row],[Shop ID]]</f>
        <v>125761213</v>
      </c>
      <c r="B14" s="15">
        <v>12576</v>
      </c>
      <c r="C14" s="19">
        <v>1213</v>
      </c>
      <c r="D14" s="15">
        <v>663</v>
      </c>
    </row>
    <row r="15" spans="1:4" x14ac:dyDescent="0.25">
      <c r="A15" s="15" t="str">
        <f>Table1[[#This Row],[Fournisseur ID]]&amp;Table1[[#This Row],[Shop ID]]</f>
        <v>125761214</v>
      </c>
      <c r="B15" s="15">
        <v>12576</v>
      </c>
      <c r="C15" s="19">
        <v>1214</v>
      </c>
      <c r="D15" s="15">
        <v>156</v>
      </c>
    </row>
    <row r="16" spans="1:4" x14ac:dyDescent="0.25">
      <c r="A16" s="15" t="str">
        <f>Table1[[#This Row],[Fournisseur ID]]&amp;Table1[[#This Row],[Shop ID]]</f>
        <v>125761216</v>
      </c>
      <c r="B16" s="15">
        <v>12576</v>
      </c>
      <c r="C16" s="19">
        <v>1216</v>
      </c>
      <c r="D16" s="15">
        <v>774</v>
      </c>
    </row>
    <row r="17" spans="1:4" x14ac:dyDescent="0.25">
      <c r="A17" s="15" t="str">
        <f>Table1[[#This Row],[Fournisseur ID]]&amp;Table1[[#This Row],[Shop ID]]</f>
        <v>125761218</v>
      </c>
      <c r="B17" s="15">
        <v>12576</v>
      </c>
      <c r="C17" s="19">
        <v>1218</v>
      </c>
      <c r="D17" s="15">
        <v>334</v>
      </c>
    </row>
    <row r="18" spans="1:4" x14ac:dyDescent="0.25">
      <c r="A18" s="15" t="str">
        <f>Table1[[#This Row],[Fournisseur ID]]&amp;Table1[[#This Row],[Shop ID]]</f>
        <v>125761219</v>
      </c>
      <c r="B18" s="15">
        <v>12576</v>
      </c>
      <c r="C18" s="19">
        <v>1219</v>
      </c>
      <c r="D18" s="15">
        <v>348</v>
      </c>
    </row>
    <row r="19" spans="1:4" x14ac:dyDescent="0.25">
      <c r="A19" s="15" t="str">
        <f>Table1[[#This Row],[Fournisseur ID]]&amp;Table1[[#This Row],[Shop ID]]</f>
        <v>125761220</v>
      </c>
      <c r="B19" s="15">
        <v>12576</v>
      </c>
      <c r="C19" s="19">
        <v>1220</v>
      </c>
      <c r="D19" s="15">
        <v>737</v>
      </c>
    </row>
    <row r="20" spans="1:4" x14ac:dyDescent="0.25">
      <c r="A20" s="15" t="str">
        <f>Table1[[#This Row],[Fournisseur ID]]&amp;Table1[[#This Row],[Shop ID]]</f>
        <v>134561201</v>
      </c>
      <c r="B20" s="15">
        <v>13456</v>
      </c>
      <c r="C20" s="19">
        <v>1201</v>
      </c>
      <c r="D20" s="15">
        <v>376</v>
      </c>
    </row>
    <row r="21" spans="1:4" x14ac:dyDescent="0.25">
      <c r="A21" s="15" t="str">
        <f>Table1[[#This Row],[Fournisseur ID]]&amp;Table1[[#This Row],[Shop ID]]</f>
        <v>134561202</v>
      </c>
      <c r="B21" s="15">
        <v>13456</v>
      </c>
      <c r="C21" s="19">
        <v>1202</v>
      </c>
      <c r="D21" s="15">
        <v>671</v>
      </c>
    </row>
    <row r="22" spans="1:4" x14ac:dyDescent="0.25">
      <c r="A22" s="15" t="str">
        <f>Table1[[#This Row],[Fournisseur ID]]&amp;Table1[[#This Row],[Shop ID]]</f>
        <v>134561203</v>
      </c>
      <c r="B22" s="15">
        <v>13456</v>
      </c>
      <c r="C22" s="19">
        <v>1203</v>
      </c>
      <c r="D22" s="15">
        <v>239</v>
      </c>
    </row>
    <row r="23" spans="1:4" x14ac:dyDescent="0.25">
      <c r="A23" s="15" t="str">
        <f>Table1[[#This Row],[Fournisseur ID]]&amp;Table1[[#This Row],[Shop ID]]</f>
        <v>134561204</v>
      </c>
      <c r="B23" s="15">
        <v>13456</v>
      </c>
      <c r="C23" s="19">
        <v>1204</v>
      </c>
      <c r="D23" s="15">
        <v>816</v>
      </c>
    </row>
    <row r="24" spans="1:4" x14ac:dyDescent="0.25">
      <c r="A24" s="15" t="str">
        <f>Table1[[#This Row],[Fournisseur ID]]&amp;Table1[[#This Row],[Shop ID]]</f>
        <v>134561205</v>
      </c>
      <c r="B24" s="15">
        <v>13456</v>
      </c>
      <c r="C24" s="19">
        <v>1205</v>
      </c>
      <c r="D24" s="15">
        <v>449</v>
      </c>
    </row>
    <row r="25" spans="1:4" x14ac:dyDescent="0.25">
      <c r="A25" s="15" t="str">
        <f>Table1[[#This Row],[Fournisseur ID]]&amp;Table1[[#This Row],[Shop ID]]</f>
        <v>134561206</v>
      </c>
      <c r="B25" s="15">
        <v>13456</v>
      </c>
      <c r="C25" s="19">
        <v>1206</v>
      </c>
      <c r="D25" s="15">
        <v>311</v>
      </c>
    </row>
    <row r="26" spans="1:4" x14ac:dyDescent="0.25">
      <c r="A26" s="15" t="str">
        <f>Table1[[#This Row],[Fournisseur ID]]&amp;Table1[[#This Row],[Shop ID]]</f>
        <v>134561207</v>
      </c>
      <c r="B26" s="15">
        <v>13456</v>
      </c>
      <c r="C26" s="19">
        <v>1207</v>
      </c>
      <c r="D26" s="15">
        <v>428</v>
      </c>
    </row>
    <row r="27" spans="1:4" x14ac:dyDescent="0.25">
      <c r="A27" s="15" t="str">
        <f>Table1[[#This Row],[Fournisseur ID]]&amp;Table1[[#This Row],[Shop ID]]</f>
        <v>134561208</v>
      </c>
      <c r="B27" s="15">
        <v>13456</v>
      </c>
      <c r="C27" s="19">
        <v>1208</v>
      </c>
      <c r="D27" s="15">
        <v>564</v>
      </c>
    </row>
    <row r="28" spans="1:4" x14ac:dyDescent="0.25">
      <c r="A28" s="15" t="str">
        <f>Table1[[#This Row],[Fournisseur ID]]&amp;Table1[[#This Row],[Shop ID]]</f>
        <v>134561209</v>
      </c>
      <c r="B28" s="15">
        <v>13456</v>
      </c>
      <c r="C28" s="19">
        <v>1209</v>
      </c>
      <c r="D28" s="15">
        <v>791</v>
      </c>
    </row>
    <row r="29" spans="1:4" x14ac:dyDescent="0.25">
      <c r="A29" s="15" t="str">
        <f>Table1[[#This Row],[Fournisseur ID]]&amp;Table1[[#This Row],[Shop ID]]</f>
        <v>134561210</v>
      </c>
      <c r="B29" s="15">
        <v>13456</v>
      </c>
      <c r="C29" s="19">
        <v>1210</v>
      </c>
      <c r="D29" s="15">
        <v>625</v>
      </c>
    </row>
    <row r="30" spans="1:4" x14ac:dyDescent="0.25">
      <c r="A30" s="15" t="str">
        <f>Table1[[#This Row],[Fournisseur ID]]&amp;Table1[[#This Row],[Shop ID]]</f>
        <v>134561211</v>
      </c>
      <c r="B30" s="15">
        <v>13456</v>
      </c>
      <c r="C30" s="19">
        <v>1211</v>
      </c>
      <c r="D30" s="15">
        <v>712</v>
      </c>
    </row>
    <row r="31" spans="1:4" x14ac:dyDescent="0.25">
      <c r="A31" s="15" t="str">
        <f>Table1[[#This Row],[Fournisseur ID]]&amp;Table1[[#This Row],[Shop ID]]</f>
        <v>134561212</v>
      </c>
      <c r="B31" s="15">
        <v>13456</v>
      </c>
      <c r="C31" s="19">
        <v>1212</v>
      </c>
      <c r="D31" s="15">
        <v>367</v>
      </c>
    </row>
    <row r="32" spans="1:4" x14ac:dyDescent="0.25">
      <c r="A32" s="15" t="str">
        <f>Table1[[#This Row],[Fournisseur ID]]&amp;Table1[[#This Row],[Shop ID]]</f>
        <v>134561213</v>
      </c>
      <c r="B32" s="15">
        <v>13456</v>
      </c>
      <c r="C32" s="19">
        <v>1213</v>
      </c>
      <c r="D32" s="15">
        <v>88</v>
      </c>
    </row>
    <row r="33" spans="1:4" x14ac:dyDescent="0.25">
      <c r="A33" s="15" t="str">
        <f>Table1[[#This Row],[Fournisseur ID]]&amp;Table1[[#This Row],[Shop ID]]</f>
        <v>134561214</v>
      </c>
      <c r="B33" s="15">
        <v>13456</v>
      </c>
      <c r="C33" s="19">
        <v>1214</v>
      </c>
      <c r="D33" s="15">
        <v>485</v>
      </c>
    </row>
    <row r="34" spans="1:4" x14ac:dyDescent="0.25">
      <c r="A34" s="15" t="str">
        <f>Table1[[#This Row],[Fournisseur ID]]&amp;Table1[[#This Row],[Shop ID]]</f>
        <v>134561216</v>
      </c>
      <c r="B34" s="15">
        <v>13456</v>
      </c>
      <c r="C34" s="19">
        <v>1216</v>
      </c>
      <c r="D34" s="15">
        <v>312</v>
      </c>
    </row>
    <row r="35" spans="1:4" x14ac:dyDescent="0.25">
      <c r="A35" s="15" t="str">
        <f>Table1[[#This Row],[Fournisseur ID]]&amp;Table1[[#This Row],[Shop ID]]</f>
        <v>134561218</v>
      </c>
      <c r="B35" s="15">
        <v>13456</v>
      </c>
      <c r="C35" s="19">
        <v>1218</v>
      </c>
      <c r="D35" s="15">
        <v>246</v>
      </c>
    </row>
    <row r="36" spans="1:4" x14ac:dyDescent="0.25">
      <c r="A36" s="15" t="str">
        <f>Table1[[#This Row],[Fournisseur ID]]&amp;Table1[[#This Row],[Shop ID]]</f>
        <v>134561219</v>
      </c>
      <c r="B36" s="15">
        <v>13456</v>
      </c>
      <c r="C36" s="19">
        <v>1219</v>
      </c>
      <c r="D36" s="15">
        <v>355</v>
      </c>
    </row>
    <row r="37" spans="1:4" x14ac:dyDescent="0.25">
      <c r="A37" s="15" t="str">
        <f>Table1[[#This Row],[Fournisseur ID]]&amp;Table1[[#This Row],[Shop ID]]</f>
        <v>134561220</v>
      </c>
      <c r="B37" s="15">
        <v>13456</v>
      </c>
      <c r="C37" s="19">
        <v>1220</v>
      </c>
      <c r="D37" s="15">
        <v>223</v>
      </c>
    </row>
    <row r="38" spans="1:4" x14ac:dyDescent="0.25">
      <c r="A38" s="15" t="str">
        <f>Table1[[#This Row],[Fournisseur ID]]&amp;Table1[[#This Row],[Shop ID]]</f>
        <v>146731201</v>
      </c>
      <c r="B38" s="15">
        <v>14673</v>
      </c>
      <c r="C38" s="19">
        <v>1201</v>
      </c>
      <c r="D38" s="15">
        <v>666</v>
      </c>
    </row>
    <row r="39" spans="1:4" x14ac:dyDescent="0.25">
      <c r="A39" s="15" t="str">
        <f>Table1[[#This Row],[Fournisseur ID]]&amp;Table1[[#This Row],[Shop ID]]</f>
        <v>146731202</v>
      </c>
      <c r="B39" s="15">
        <v>14673</v>
      </c>
      <c r="C39" s="19">
        <v>1202</v>
      </c>
      <c r="D39" s="15">
        <v>532</v>
      </c>
    </row>
    <row r="40" spans="1:4" x14ac:dyDescent="0.25">
      <c r="A40" s="15" t="str">
        <f>Table1[[#This Row],[Fournisseur ID]]&amp;Table1[[#This Row],[Shop ID]]</f>
        <v>146731203</v>
      </c>
      <c r="B40" s="15">
        <v>14673</v>
      </c>
      <c r="C40" s="19">
        <v>1203</v>
      </c>
      <c r="D40" s="15">
        <v>739</v>
      </c>
    </row>
    <row r="41" spans="1:4" x14ac:dyDescent="0.25">
      <c r="A41" s="15" t="str">
        <f>Table1[[#This Row],[Fournisseur ID]]&amp;Table1[[#This Row],[Shop ID]]</f>
        <v>146731204</v>
      </c>
      <c r="B41" s="15">
        <v>14673</v>
      </c>
      <c r="C41" s="19">
        <v>1204</v>
      </c>
      <c r="D41" s="15">
        <v>338</v>
      </c>
    </row>
    <row r="42" spans="1:4" x14ac:dyDescent="0.25">
      <c r="A42" s="15" t="str">
        <f>Table1[[#This Row],[Fournisseur ID]]&amp;Table1[[#This Row],[Shop ID]]</f>
        <v>146731205</v>
      </c>
      <c r="B42" s="15">
        <v>14673</v>
      </c>
      <c r="C42" s="19">
        <v>1205</v>
      </c>
      <c r="D42" s="15">
        <v>960</v>
      </c>
    </row>
    <row r="43" spans="1:4" x14ac:dyDescent="0.25">
      <c r="A43" s="15" t="str">
        <f>Table1[[#This Row],[Fournisseur ID]]&amp;Table1[[#This Row],[Shop ID]]</f>
        <v>146731206</v>
      </c>
      <c r="B43" s="15">
        <v>14673</v>
      </c>
      <c r="C43" s="19">
        <v>1206</v>
      </c>
      <c r="D43" s="15">
        <v>805</v>
      </c>
    </row>
    <row r="44" spans="1:4" x14ac:dyDescent="0.25">
      <c r="A44" s="15" t="str">
        <f>Table1[[#This Row],[Fournisseur ID]]&amp;Table1[[#This Row],[Shop ID]]</f>
        <v>146731207</v>
      </c>
      <c r="B44" s="15">
        <v>14673</v>
      </c>
      <c r="C44" s="19">
        <v>1207</v>
      </c>
      <c r="D44" s="15">
        <v>928</v>
      </c>
    </row>
    <row r="45" spans="1:4" x14ac:dyDescent="0.25">
      <c r="A45" s="15" t="str">
        <f>Table1[[#This Row],[Fournisseur ID]]&amp;Table1[[#This Row],[Shop ID]]</f>
        <v>146731208</v>
      </c>
      <c r="B45" s="15">
        <v>14673</v>
      </c>
      <c r="C45" s="19">
        <v>1208</v>
      </c>
      <c r="D45" s="15">
        <v>97</v>
      </c>
    </row>
    <row r="46" spans="1:4" x14ac:dyDescent="0.25">
      <c r="A46" s="15" t="str">
        <f>Table1[[#This Row],[Fournisseur ID]]&amp;Table1[[#This Row],[Shop ID]]</f>
        <v>146731209</v>
      </c>
      <c r="B46" s="15">
        <v>14673</v>
      </c>
      <c r="C46" s="19">
        <v>1209</v>
      </c>
      <c r="D46" s="15">
        <v>313</v>
      </c>
    </row>
    <row r="47" spans="1:4" x14ac:dyDescent="0.25">
      <c r="A47" s="15" t="str">
        <f>Table1[[#This Row],[Fournisseur ID]]&amp;Table1[[#This Row],[Shop ID]]</f>
        <v>146731210</v>
      </c>
      <c r="B47" s="15">
        <v>14673</v>
      </c>
      <c r="C47" s="19">
        <v>1210</v>
      </c>
      <c r="D47" s="15">
        <v>797</v>
      </c>
    </row>
    <row r="48" spans="1:4" x14ac:dyDescent="0.25">
      <c r="A48" s="15" t="str">
        <f>Table1[[#This Row],[Fournisseur ID]]&amp;Table1[[#This Row],[Shop ID]]</f>
        <v>146731211</v>
      </c>
      <c r="B48" s="15">
        <v>14673</v>
      </c>
      <c r="C48" s="19">
        <v>1211</v>
      </c>
      <c r="D48" s="15">
        <v>234</v>
      </c>
    </row>
    <row r="49" spans="1:4" x14ac:dyDescent="0.25">
      <c r="A49" s="15" t="str">
        <f>Table1[[#This Row],[Fournisseur ID]]&amp;Table1[[#This Row],[Shop ID]]</f>
        <v>146731212</v>
      </c>
      <c r="B49" s="15">
        <v>14673</v>
      </c>
      <c r="C49" s="19">
        <v>1212</v>
      </c>
      <c r="D49" s="15">
        <v>867</v>
      </c>
    </row>
    <row r="50" spans="1:4" x14ac:dyDescent="0.25">
      <c r="A50" s="15" t="str">
        <f>Table1[[#This Row],[Fournisseur ID]]&amp;Table1[[#This Row],[Shop ID]]</f>
        <v>146731213</v>
      </c>
      <c r="B50" s="15">
        <v>14673</v>
      </c>
      <c r="C50" s="19">
        <v>1213</v>
      </c>
      <c r="D50" s="15">
        <v>516</v>
      </c>
    </row>
    <row r="51" spans="1:4" x14ac:dyDescent="0.25">
      <c r="A51" s="15" t="str">
        <f>Table1[[#This Row],[Fournisseur ID]]&amp;Table1[[#This Row],[Shop ID]]</f>
        <v>146731214</v>
      </c>
      <c r="B51" s="15">
        <v>14673</v>
      </c>
      <c r="C51" s="19">
        <v>1214</v>
      </c>
      <c r="D51" s="15">
        <v>703</v>
      </c>
    </row>
    <row r="52" spans="1:4" x14ac:dyDescent="0.25">
      <c r="A52" s="15" t="str">
        <f>Table1[[#This Row],[Fournisseur ID]]&amp;Table1[[#This Row],[Shop ID]]</f>
        <v>146731216</v>
      </c>
      <c r="B52" s="15">
        <v>14673</v>
      </c>
      <c r="C52" s="19">
        <v>1216</v>
      </c>
      <c r="D52" s="15">
        <v>337</v>
      </c>
    </row>
    <row r="53" spans="1:4" x14ac:dyDescent="0.25">
      <c r="A53" s="15" t="str">
        <f>Table1[[#This Row],[Fournisseur ID]]&amp;Table1[[#This Row],[Shop ID]]</f>
        <v>146731218</v>
      </c>
      <c r="B53" s="15">
        <v>14673</v>
      </c>
      <c r="C53" s="19">
        <v>1218</v>
      </c>
      <c r="D53" s="15">
        <v>494</v>
      </c>
    </row>
    <row r="54" spans="1:4" x14ac:dyDescent="0.25">
      <c r="A54" s="15" t="str">
        <f>Table1[[#This Row],[Fournisseur ID]]&amp;Table1[[#This Row],[Shop ID]]</f>
        <v>146731219</v>
      </c>
      <c r="B54" s="15">
        <v>14673</v>
      </c>
      <c r="C54" s="19">
        <v>1219</v>
      </c>
      <c r="D54" s="15">
        <v>789</v>
      </c>
    </row>
    <row r="55" spans="1:4" x14ac:dyDescent="0.25">
      <c r="A55" s="15" t="str">
        <f>Table1[[#This Row],[Fournisseur ID]]&amp;Table1[[#This Row],[Shop ID]]</f>
        <v>146731220</v>
      </c>
      <c r="B55" s="15">
        <v>14673</v>
      </c>
      <c r="C55" s="19">
        <v>1220</v>
      </c>
      <c r="D55" s="15">
        <v>427</v>
      </c>
    </row>
    <row r="56" spans="1:4" x14ac:dyDescent="0.25">
      <c r="A56" s="15" t="str">
        <f>Table1[[#This Row],[Fournisseur ID]]&amp;Table1[[#This Row],[Shop ID]]</f>
        <v>154611201</v>
      </c>
      <c r="B56" s="15">
        <v>15461</v>
      </c>
      <c r="C56" s="19">
        <v>1201</v>
      </c>
      <c r="D56" s="15">
        <v>615</v>
      </c>
    </row>
    <row r="57" spans="1:4" x14ac:dyDescent="0.25">
      <c r="A57" s="15" t="str">
        <f>Table1[[#This Row],[Fournisseur ID]]&amp;Table1[[#This Row],[Shop ID]]</f>
        <v>154611202</v>
      </c>
      <c r="B57" s="15">
        <v>15461</v>
      </c>
      <c r="C57" s="19">
        <v>1202</v>
      </c>
      <c r="D57" s="15">
        <v>734</v>
      </c>
    </row>
    <row r="58" spans="1:4" x14ac:dyDescent="0.25">
      <c r="A58" s="15" t="str">
        <f>Table1[[#This Row],[Fournisseur ID]]&amp;Table1[[#This Row],[Shop ID]]</f>
        <v>154611203</v>
      </c>
      <c r="B58" s="15">
        <v>15461</v>
      </c>
      <c r="C58" s="19">
        <v>1203</v>
      </c>
      <c r="D58" s="15">
        <v>457</v>
      </c>
    </row>
    <row r="59" spans="1:4" x14ac:dyDescent="0.25">
      <c r="A59" s="15" t="str">
        <f>Table1[[#This Row],[Fournisseur ID]]&amp;Table1[[#This Row],[Shop ID]]</f>
        <v>154611204</v>
      </c>
      <c r="B59" s="15">
        <v>15461</v>
      </c>
      <c r="C59" s="19">
        <v>1204</v>
      </c>
      <c r="D59" s="15">
        <v>482</v>
      </c>
    </row>
    <row r="60" spans="1:4" x14ac:dyDescent="0.25">
      <c r="A60" s="15" t="str">
        <f>Table1[[#This Row],[Fournisseur ID]]&amp;Table1[[#This Row],[Shop ID]]</f>
        <v>154611205</v>
      </c>
      <c r="B60" s="15">
        <v>15461</v>
      </c>
      <c r="C60" s="19">
        <v>1205</v>
      </c>
      <c r="D60" s="15">
        <v>661</v>
      </c>
    </row>
    <row r="61" spans="1:4" x14ac:dyDescent="0.25">
      <c r="A61" s="15" t="str">
        <f>Table1[[#This Row],[Fournisseur ID]]&amp;Table1[[#This Row],[Shop ID]]</f>
        <v>154611206</v>
      </c>
      <c r="B61" s="15">
        <v>15461</v>
      </c>
      <c r="C61" s="19">
        <v>1206</v>
      </c>
      <c r="D61" s="15">
        <v>523</v>
      </c>
    </row>
    <row r="62" spans="1:4" x14ac:dyDescent="0.25">
      <c r="A62" s="15" t="str">
        <f>Table1[[#This Row],[Fournisseur ID]]&amp;Table1[[#This Row],[Shop ID]]</f>
        <v>154611207</v>
      </c>
      <c r="B62" s="15">
        <v>15461</v>
      </c>
      <c r="C62" s="19">
        <v>1207</v>
      </c>
      <c r="D62" s="15">
        <v>656</v>
      </c>
    </row>
    <row r="63" spans="1:4" x14ac:dyDescent="0.25">
      <c r="A63" s="15" t="str">
        <f>Table1[[#This Row],[Fournisseur ID]]&amp;Table1[[#This Row],[Shop ID]]</f>
        <v>154611208</v>
      </c>
      <c r="B63" s="15">
        <v>15461</v>
      </c>
      <c r="C63" s="19">
        <v>1208</v>
      </c>
      <c r="D63" s="15">
        <v>230</v>
      </c>
    </row>
    <row r="64" spans="1:4" x14ac:dyDescent="0.25">
      <c r="A64" s="15" t="str">
        <f>Table1[[#This Row],[Fournisseur ID]]&amp;Table1[[#This Row],[Shop ID]]</f>
        <v>154611209</v>
      </c>
      <c r="B64" s="15">
        <v>15461</v>
      </c>
      <c r="C64" s="19">
        <v>1209</v>
      </c>
      <c r="D64" s="15">
        <v>457</v>
      </c>
    </row>
    <row r="65" spans="1:4" x14ac:dyDescent="0.25">
      <c r="A65" s="15" t="str">
        <f>Table1[[#This Row],[Fournisseur ID]]&amp;Table1[[#This Row],[Shop ID]]</f>
        <v>154611210</v>
      </c>
      <c r="B65" s="15">
        <v>15461</v>
      </c>
      <c r="C65" s="19">
        <v>1210</v>
      </c>
      <c r="D65" s="15">
        <v>498</v>
      </c>
    </row>
    <row r="66" spans="1:4" x14ac:dyDescent="0.25">
      <c r="A66" s="15" t="str">
        <f>Table1[[#This Row],[Fournisseur ID]]&amp;Table1[[#This Row],[Shop ID]]</f>
        <v>154611211</v>
      </c>
      <c r="B66" s="15">
        <v>15461</v>
      </c>
      <c r="C66" s="19">
        <v>1211</v>
      </c>
      <c r="D66" s="15">
        <v>378</v>
      </c>
    </row>
    <row r="67" spans="1:4" x14ac:dyDescent="0.25">
      <c r="A67" s="15" t="str">
        <f>Table1[[#This Row],[Fournisseur ID]]&amp;Table1[[#This Row],[Shop ID]]</f>
        <v>154611212</v>
      </c>
      <c r="B67" s="15">
        <v>15461</v>
      </c>
      <c r="C67" s="19">
        <v>1212</v>
      </c>
      <c r="D67" s="15">
        <v>594</v>
      </c>
    </row>
    <row r="68" spans="1:4" x14ac:dyDescent="0.25">
      <c r="A68" s="15" t="str">
        <f>Table1[[#This Row],[Fournisseur ID]]&amp;Table1[[#This Row],[Shop ID]]</f>
        <v>154611213</v>
      </c>
      <c r="B68" s="15">
        <v>15461</v>
      </c>
      <c r="C68" s="19">
        <v>1213</v>
      </c>
      <c r="D68" s="15">
        <v>343</v>
      </c>
    </row>
    <row r="69" spans="1:4" x14ac:dyDescent="0.25">
      <c r="A69" s="15" t="str">
        <f>Table1[[#This Row],[Fournisseur ID]]&amp;Table1[[#This Row],[Shop ID]]</f>
        <v>154611214</v>
      </c>
      <c r="B69" s="15">
        <v>15461</v>
      </c>
      <c r="C69" s="19">
        <v>1214</v>
      </c>
      <c r="D69" s="15">
        <v>404</v>
      </c>
    </row>
    <row r="70" spans="1:4" x14ac:dyDescent="0.25">
      <c r="A70" s="15" t="str">
        <f>Table1[[#This Row],[Fournisseur ID]]&amp;Table1[[#This Row],[Shop ID]]</f>
        <v>154611216</v>
      </c>
      <c r="B70" s="15">
        <v>15461</v>
      </c>
      <c r="C70" s="19">
        <v>1216</v>
      </c>
      <c r="D70" s="15">
        <v>360</v>
      </c>
    </row>
    <row r="71" spans="1:4" x14ac:dyDescent="0.25">
      <c r="A71" s="15" t="str">
        <f>Table1[[#This Row],[Fournisseur ID]]&amp;Table1[[#This Row],[Shop ID]]</f>
        <v>154611218</v>
      </c>
      <c r="B71" s="15">
        <v>15461</v>
      </c>
      <c r="C71" s="19">
        <v>1218</v>
      </c>
      <c r="D71" s="15">
        <v>195</v>
      </c>
    </row>
    <row r="72" spans="1:4" x14ac:dyDescent="0.25">
      <c r="A72" s="15" t="str">
        <f>Table1[[#This Row],[Fournisseur ID]]&amp;Table1[[#This Row],[Shop ID]]</f>
        <v>154611219</v>
      </c>
      <c r="B72" s="15">
        <v>15461</v>
      </c>
      <c r="C72" s="19">
        <v>1219</v>
      </c>
      <c r="D72" s="15">
        <v>489</v>
      </c>
    </row>
    <row r="73" spans="1:4" x14ac:dyDescent="0.25">
      <c r="A73" s="15" t="str">
        <f>Table1[[#This Row],[Fournisseur ID]]&amp;Table1[[#This Row],[Shop ID]]</f>
        <v>154611220</v>
      </c>
      <c r="B73" s="15">
        <v>15461</v>
      </c>
      <c r="C73" s="19">
        <v>1220</v>
      </c>
      <c r="D73" s="15">
        <v>412</v>
      </c>
    </row>
    <row r="74" spans="1:4" x14ac:dyDescent="0.25">
      <c r="A74" s="15" t="str">
        <f>Table1[[#This Row],[Fournisseur ID]]&amp;Table1[[#This Row],[Shop ID]]</f>
        <v>167831201</v>
      </c>
      <c r="B74" s="15">
        <v>16783</v>
      </c>
      <c r="C74" s="19">
        <v>1201</v>
      </c>
      <c r="D74" s="15">
        <v>511</v>
      </c>
    </row>
    <row r="75" spans="1:4" x14ac:dyDescent="0.25">
      <c r="A75" s="15" t="str">
        <f>Table1[[#This Row],[Fournisseur ID]]&amp;Table1[[#This Row],[Shop ID]]</f>
        <v>167831202</v>
      </c>
      <c r="B75" s="15">
        <v>16783</v>
      </c>
      <c r="C75" s="19">
        <v>1202</v>
      </c>
      <c r="D75" s="15">
        <v>806</v>
      </c>
    </row>
    <row r="76" spans="1:4" x14ac:dyDescent="0.25">
      <c r="A76" s="15" t="str">
        <f>Table1[[#This Row],[Fournisseur ID]]&amp;Table1[[#This Row],[Shop ID]]</f>
        <v>167831203</v>
      </c>
      <c r="B76" s="15">
        <v>16783</v>
      </c>
      <c r="C76" s="19">
        <v>1203</v>
      </c>
      <c r="D76" s="15">
        <v>161</v>
      </c>
    </row>
    <row r="77" spans="1:4" x14ac:dyDescent="0.25">
      <c r="A77" s="15" t="str">
        <f>Table1[[#This Row],[Fournisseur ID]]&amp;Table1[[#This Row],[Shop ID]]</f>
        <v>167831204</v>
      </c>
      <c r="B77" s="15">
        <v>16783</v>
      </c>
      <c r="C77" s="19">
        <v>1204</v>
      </c>
      <c r="D77" s="15">
        <v>779</v>
      </c>
    </row>
    <row r="78" spans="1:4" x14ac:dyDescent="0.25">
      <c r="A78" s="15" t="str">
        <f>Table1[[#This Row],[Fournisseur ID]]&amp;Table1[[#This Row],[Shop ID]]</f>
        <v>167831205</v>
      </c>
      <c r="B78" s="15">
        <v>16783</v>
      </c>
      <c r="C78" s="19">
        <v>1205</v>
      </c>
      <c r="D78" s="15">
        <v>371</v>
      </c>
    </row>
    <row r="79" spans="1:4" x14ac:dyDescent="0.25">
      <c r="A79" s="15" t="str">
        <f>Table1[[#This Row],[Fournisseur ID]]&amp;Table1[[#This Row],[Shop ID]]</f>
        <v>167831206</v>
      </c>
      <c r="B79" s="15">
        <v>16783</v>
      </c>
      <c r="C79" s="19">
        <v>1206</v>
      </c>
      <c r="D79" s="15">
        <v>227</v>
      </c>
    </row>
    <row r="80" spans="1:4" x14ac:dyDescent="0.25">
      <c r="A80" s="15" t="str">
        <f>Table1[[#This Row],[Fournisseur ID]]&amp;Table1[[#This Row],[Shop ID]]</f>
        <v>167831207</v>
      </c>
      <c r="B80" s="15">
        <v>16783</v>
      </c>
      <c r="C80" s="19">
        <v>1207</v>
      </c>
      <c r="D80" s="15">
        <v>359</v>
      </c>
    </row>
    <row r="81" spans="1:4" x14ac:dyDescent="0.25">
      <c r="A81" s="15" t="str">
        <f>Table1[[#This Row],[Fournisseur ID]]&amp;Table1[[#This Row],[Shop ID]]</f>
        <v>167831208</v>
      </c>
      <c r="B81" s="15">
        <v>16783</v>
      </c>
      <c r="C81" s="19">
        <v>1208</v>
      </c>
      <c r="D81" s="15">
        <v>527</v>
      </c>
    </row>
    <row r="82" spans="1:4" x14ac:dyDescent="0.25">
      <c r="A82" s="15" t="str">
        <f>Table1[[#This Row],[Fournisseur ID]]&amp;Table1[[#This Row],[Shop ID]]</f>
        <v>167831209</v>
      </c>
      <c r="B82" s="15">
        <v>16783</v>
      </c>
      <c r="C82" s="19">
        <v>1209</v>
      </c>
      <c r="D82" s="15">
        <v>754</v>
      </c>
    </row>
    <row r="83" spans="1:4" x14ac:dyDescent="0.25">
      <c r="A83" s="15" t="str">
        <f>Table1[[#This Row],[Fournisseur ID]]&amp;Table1[[#This Row],[Shop ID]]</f>
        <v>167831210</v>
      </c>
      <c r="B83" s="15">
        <v>16783</v>
      </c>
      <c r="C83" s="19">
        <v>1210</v>
      </c>
      <c r="D83" s="15">
        <v>489</v>
      </c>
    </row>
    <row r="84" spans="1:4" x14ac:dyDescent="0.25">
      <c r="A84" s="15" t="str">
        <f>Table1[[#This Row],[Fournisseur ID]]&amp;Table1[[#This Row],[Shop ID]]</f>
        <v>167831211</v>
      </c>
      <c r="B84" s="15">
        <v>16783</v>
      </c>
      <c r="C84" s="19">
        <v>1211</v>
      </c>
      <c r="D84" s="15">
        <v>675</v>
      </c>
    </row>
    <row r="85" spans="1:4" x14ac:dyDescent="0.25">
      <c r="A85" s="15" t="str">
        <f>Table1[[#This Row],[Fournisseur ID]]&amp;Table1[[#This Row],[Shop ID]]</f>
        <v>167831212</v>
      </c>
      <c r="B85" s="15">
        <v>16783</v>
      </c>
      <c r="C85" s="19">
        <v>1212</v>
      </c>
      <c r="D85" s="15">
        <v>297</v>
      </c>
    </row>
    <row r="86" spans="1:4" x14ac:dyDescent="0.25">
      <c r="A86" s="15" t="str">
        <f>Table1[[#This Row],[Fournisseur ID]]&amp;Table1[[#This Row],[Shop ID]]</f>
        <v>167831213</v>
      </c>
      <c r="B86" s="15">
        <v>16783</v>
      </c>
      <c r="C86" s="19">
        <v>1213</v>
      </c>
      <c r="D86" s="15">
        <v>238</v>
      </c>
    </row>
    <row r="87" spans="1:4" x14ac:dyDescent="0.25">
      <c r="A87" s="15" t="str">
        <f>Table1[[#This Row],[Fournisseur ID]]&amp;Table1[[#This Row],[Shop ID]]</f>
        <v>167831214</v>
      </c>
      <c r="B87" s="15">
        <v>16783</v>
      </c>
      <c r="C87" s="19">
        <v>1214</v>
      </c>
      <c r="D87" s="15">
        <v>301</v>
      </c>
    </row>
    <row r="88" spans="1:4" x14ac:dyDescent="0.25">
      <c r="A88" s="15" t="str">
        <f>Table1[[#This Row],[Fournisseur ID]]&amp;Table1[[#This Row],[Shop ID]]</f>
        <v>167831216</v>
      </c>
      <c r="B88" s="15">
        <v>16783</v>
      </c>
      <c r="C88" s="19">
        <v>1216</v>
      </c>
      <c r="D88" s="15">
        <v>414</v>
      </c>
    </row>
    <row r="89" spans="1:4" x14ac:dyDescent="0.25">
      <c r="A89" s="15" t="str">
        <f>Table1[[#This Row],[Fournisseur ID]]&amp;Table1[[#This Row],[Shop ID]]</f>
        <v>167831218</v>
      </c>
      <c r="B89" s="15">
        <v>16783</v>
      </c>
      <c r="C89" s="19">
        <v>1218</v>
      </c>
      <c r="D89" s="15">
        <v>150</v>
      </c>
    </row>
    <row r="90" spans="1:4" x14ac:dyDescent="0.25">
      <c r="A90" s="15" t="str">
        <f>Table1[[#This Row],[Fournisseur ID]]&amp;Table1[[#This Row],[Shop ID]]</f>
        <v>167831219</v>
      </c>
      <c r="B90" s="15">
        <v>16783</v>
      </c>
      <c r="C90" s="19">
        <v>1219</v>
      </c>
      <c r="D90" s="15">
        <v>204</v>
      </c>
    </row>
    <row r="91" spans="1:4" x14ac:dyDescent="0.25">
      <c r="A91" s="15" t="str">
        <f>Table1[[#This Row],[Fournisseur ID]]&amp;Table1[[#This Row],[Shop ID]]</f>
        <v>167831220</v>
      </c>
      <c r="B91" s="15">
        <v>16783</v>
      </c>
      <c r="C91" s="19">
        <v>1220</v>
      </c>
      <c r="D91" s="15">
        <v>325</v>
      </c>
    </row>
    <row r="92" spans="1:4" x14ac:dyDescent="0.25">
      <c r="A92" s="15" t="str">
        <f>Table1[[#This Row],[Fournisseur ID]]&amp;Table1[[#This Row],[Shop ID]]</f>
        <v>125761500</v>
      </c>
      <c r="B92" s="15">
        <v>12576</v>
      </c>
      <c r="C92" s="15">
        <v>1500</v>
      </c>
      <c r="D92" s="15">
        <v>504</v>
      </c>
    </row>
    <row r="93" spans="1:4" x14ac:dyDescent="0.25">
      <c r="A93" s="15" t="str">
        <f>Table1[[#This Row],[Fournisseur ID]]&amp;Table1[[#This Row],[Shop ID]]</f>
        <v>134561500</v>
      </c>
      <c r="B93" s="15">
        <v>13456</v>
      </c>
      <c r="C93" s="15">
        <v>1500</v>
      </c>
      <c r="D93" s="15">
        <v>197</v>
      </c>
    </row>
    <row r="94" spans="1:4" x14ac:dyDescent="0.25">
      <c r="A94" s="15" t="str">
        <f>Table1[[#This Row],[Fournisseur ID]]&amp;Table1[[#This Row],[Shop ID]]</f>
        <v>146731500</v>
      </c>
      <c r="B94" s="15">
        <v>14673</v>
      </c>
      <c r="C94" s="15">
        <v>1500</v>
      </c>
      <c r="D94" s="15">
        <v>735</v>
      </c>
    </row>
    <row r="95" spans="1:4" x14ac:dyDescent="0.25">
      <c r="A95" s="15" t="str">
        <f>Table1[[#This Row],[Fournisseur ID]]&amp;Table1[[#This Row],[Shop ID]]</f>
        <v>154611500</v>
      </c>
      <c r="B95" s="15">
        <v>15461</v>
      </c>
      <c r="C95" s="15">
        <v>1500</v>
      </c>
      <c r="D95" s="15">
        <v>429</v>
      </c>
    </row>
    <row r="96" spans="1:4" x14ac:dyDescent="0.25">
      <c r="A96" s="15" t="str">
        <f>Table1[[#This Row],[Fournisseur ID]]&amp;Table1[[#This Row],[Shop ID]]</f>
        <v>167831500</v>
      </c>
      <c r="B96" s="15">
        <v>16783</v>
      </c>
      <c r="C96" s="15">
        <v>1500</v>
      </c>
      <c r="D96" s="15">
        <v>134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F4F6E-A453-4AD6-83C2-C24ADD02FE73}">
  <sheetPr>
    <tabColor rgb="FFFEF2CB"/>
  </sheetPr>
  <dimension ref="A1:I16"/>
  <sheetViews>
    <sheetView workbookViewId="0"/>
  </sheetViews>
  <sheetFormatPr baseColWidth="10" defaultColWidth="10.85546875" defaultRowHeight="15" x14ac:dyDescent="0.25"/>
  <cols>
    <col min="1" max="1" width="18.140625" style="15" customWidth="1"/>
    <col min="2" max="2" width="16.28515625" style="15" customWidth="1"/>
    <col min="3" max="4" width="21.7109375" style="15" customWidth="1"/>
    <col min="5" max="5" width="24.28515625" style="15" bestFit="1" customWidth="1"/>
    <col min="6" max="16384" width="10.85546875" style="15"/>
  </cols>
  <sheetData>
    <row r="1" spans="1:9" s="22" customFormat="1" ht="27.75" customHeight="1" x14ac:dyDescent="0.25">
      <c r="A1" s="21" t="s">
        <v>86</v>
      </c>
      <c r="B1" s="21" t="s">
        <v>87</v>
      </c>
      <c r="C1" s="21" t="s">
        <v>88</v>
      </c>
      <c r="D1" s="80" t="s">
        <v>4763</v>
      </c>
      <c r="E1" s="80" t="s">
        <v>4764</v>
      </c>
      <c r="F1" s="21"/>
    </row>
    <row r="2" spans="1:9" x14ac:dyDescent="0.25">
      <c r="A2" s="15" t="s">
        <v>89</v>
      </c>
      <c r="B2" s="23">
        <v>60</v>
      </c>
      <c r="C2" s="23">
        <v>1.03</v>
      </c>
      <c r="D2" s="23">
        <f>Table3[[#This Row],[Prix Fixe €]]+Table3[[#This Row],[€/km au-delà fixe]]*'DRP V2'!$C$18</f>
        <v>745.98</v>
      </c>
      <c r="E2" s="81">
        <f>IF(Table3[[#This Row],[Prix transport DRP V2]]=MIN(D:D),1,0)</f>
        <v>0</v>
      </c>
      <c r="F2" s="23"/>
      <c r="H2" s="79"/>
    </row>
    <row r="3" spans="1:9" x14ac:dyDescent="0.25">
      <c r="A3" s="15" t="s">
        <v>90</v>
      </c>
      <c r="B3" s="23">
        <v>75</v>
      </c>
      <c r="C3" s="23">
        <v>1</v>
      </c>
      <c r="D3" s="23">
        <f>Table3[[#This Row],[Prix Fixe €]]+Table3[[#This Row],[€/km au-delà fixe]]*'DRP V2'!$C$18</f>
        <v>741</v>
      </c>
      <c r="E3" s="81">
        <f>IF(Table3[[#This Row],[Prix transport DRP V2]]=MIN(D:D),1,0)</f>
        <v>0</v>
      </c>
      <c r="F3" s="23"/>
      <c r="H3" s="79"/>
    </row>
    <row r="4" spans="1:9" x14ac:dyDescent="0.25">
      <c r="A4" s="15" t="s">
        <v>91</v>
      </c>
      <c r="B4" s="23">
        <v>34</v>
      </c>
      <c r="C4" s="23">
        <v>1.22</v>
      </c>
      <c r="D4" s="23">
        <f>Table3[[#This Row],[Prix Fixe €]]+Table3[[#This Row],[€/km au-delà fixe]]*'DRP V2'!$C$18</f>
        <v>846.52</v>
      </c>
      <c r="E4" s="81">
        <f>IF(Table3[[#This Row],[Prix transport DRP V2]]=MIN(D:D),1,0)</f>
        <v>0</v>
      </c>
      <c r="F4" s="23"/>
      <c r="H4" s="79"/>
    </row>
    <row r="5" spans="1:9" x14ac:dyDescent="0.25">
      <c r="A5" s="15" t="s">
        <v>92</v>
      </c>
      <c r="B5" s="23">
        <v>55</v>
      </c>
      <c r="C5" s="23">
        <v>1.04</v>
      </c>
      <c r="D5" s="23">
        <f>Table3[[#This Row],[Prix Fixe €]]+Table3[[#This Row],[€/km au-delà fixe]]*'DRP V2'!$C$18</f>
        <v>747.64</v>
      </c>
      <c r="E5" s="81">
        <f>IF(Table3[[#This Row],[Prix transport DRP V2]]=MIN(D:D),1,0)</f>
        <v>0</v>
      </c>
      <c r="F5" s="23"/>
      <c r="H5" s="79"/>
    </row>
    <row r="6" spans="1:9" x14ac:dyDescent="0.25">
      <c r="A6" s="15" t="s">
        <v>93</v>
      </c>
      <c r="B6" s="23">
        <v>45</v>
      </c>
      <c r="C6" s="23">
        <v>1.2</v>
      </c>
      <c r="D6" s="23">
        <f>Table3[[#This Row],[Prix Fixe €]]+Table3[[#This Row],[€/km au-delà fixe]]*'DRP V2'!$C$18</f>
        <v>844.19999999999993</v>
      </c>
      <c r="E6" s="81">
        <f>IF(Table3[[#This Row],[Prix transport DRP V2]]=MIN(D:D),1,0)</f>
        <v>0</v>
      </c>
      <c r="F6" s="23"/>
      <c r="H6" s="79"/>
    </row>
    <row r="7" spans="1:9" x14ac:dyDescent="0.25">
      <c r="A7" s="15" t="s">
        <v>94</v>
      </c>
      <c r="B7" s="23">
        <v>68</v>
      </c>
      <c r="C7" s="23">
        <v>1.01</v>
      </c>
      <c r="D7" s="23">
        <f>Table3[[#This Row],[Prix Fixe €]]+Table3[[#This Row],[€/km au-delà fixe]]*'DRP V2'!$C$18</f>
        <v>740.66</v>
      </c>
      <c r="E7" s="81">
        <f>IF(Table3[[#This Row],[Prix transport DRP V2]]=MIN(D:D),1,0)</f>
        <v>1</v>
      </c>
      <c r="F7" s="23"/>
      <c r="H7" s="79"/>
    </row>
    <row r="8" spans="1:9" x14ac:dyDescent="0.25">
      <c r="A8" s="15" t="s">
        <v>95</v>
      </c>
      <c r="B8" s="23">
        <v>0</v>
      </c>
      <c r="C8" s="23">
        <v>1.2</v>
      </c>
      <c r="D8" s="23">
        <f>Table3[[#This Row],[Prix Fixe €]]+Table3[[#This Row],[€/km au-delà fixe]]*'DRP V2'!$C$18</f>
        <v>799.19999999999993</v>
      </c>
      <c r="E8" s="81">
        <f>IF(Table3[[#This Row],[Prix transport DRP V2]]=MIN(D:D),1,0)</f>
        <v>0</v>
      </c>
      <c r="F8" s="23"/>
      <c r="H8" s="79"/>
    </row>
    <row r="9" spans="1:9" x14ac:dyDescent="0.25">
      <c r="A9" s="15" t="s">
        <v>96</v>
      </c>
      <c r="B9" s="23">
        <v>15</v>
      </c>
      <c r="C9" s="23">
        <v>1.23</v>
      </c>
      <c r="D9" s="23">
        <f>Table3[[#This Row],[Prix Fixe €]]+Table3[[#This Row],[€/km au-delà fixe]]*'DRP V2'!$C$18</f>
        <v>834.18</v>
      </c>
      <c r="E9" s="81">
        <f>IF(Table3[[#This Row],[Prix transport DRP V2]]=MIN(D:D),1,0)</f>
        <v>0</v>
      </c>
      <c r="F9" s="23"/>
      <c r="H9" s="79"/>
    </row>
    <row r="15" spans="1:9" x14ac:dyDescent="0.25">
      <c r="I15" s="82"/>
    </row>
    <row r="16" spans="1:9" x14ac:dyDescent="0.25">
      <c r="I16" s="82"/>
    </row>
  </sheetData>
  <phoneticPr fontId="2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5C35D-9D89-4BD1-A317-8C2913136CAD}">
  <sheetPr>
    <tabColor rgb="FFD9E2F3"/>
  </sheetPr>
  <dimension ref="A1:AA4102"/>
  <sheetViews>
    <sheetView workbookViewId="0"/>
  </sheetViews>
  <sheetFormatPr baseColWidth="10" defaultColWidth="14.42578125" defaultRowHeight="15" customHeight="1" x14ac:dyDescent="0.25"/>
  <cols>
    <col min="1" max="1" width="16.28515625" style="15" customWidth="1"/>
    <col min="2" max="2" width="15.140625" style="15" customWidth="1"/>
    <col min="3" max="3" width="16.42578125" style="15" customWidth="1"/>
    <col min="4" max="4" width="18.140625" style="15" customWidth="1"/>
    <col min="5" max="5" width="26.85546875" style="15" customWidth="1"/>
    <col min="6" max="6" width="16.28515625" style="15" customWidth="1"/>
    <col min="7" max="27" width="8.7109375" style="15" customWidth="1"/>
    <col min="28" max="16384" width="14.42578125" style="15"/>
  </cols>
  <sheetData>
    <row r="1" spans="1:27" ht="30.75" customHeight="1" x14ac:dyDescent="0.25">
      <c r="A1" s="26" t="s">
        <v>99</v>
      </c>
      <c r="B1" s="24" t="s">
        <v>5</v>
      </c>
      <c r="C1" s="24" t="s">
        <v>4</v>
      </c>
      <c r="D1" s="25" t="s">
        <v>97</v>
      </c>
      <c r="E1" s="24" t="s">
        <v>98</v>
      </c>
      <c r="F1" s="26" t="s">
        <v>99</v>
      </c>
      <c r="G1" s="26"/>
      <c r="H1" s="26"/>
      <c r="I1" s="26"/>
      <c r="J1" s="26"/>
      <c r="K1" s="26"/>
      <c r="L1" s="26"/>
      <c r="M1" s="26"/>
      <c r="N1" s="26"/>
      <c r="O1" s="26"/>
      <c r="P1" s="26"/>
      <c r="Q1" s="26"/>
      <c r="R1" s="26"/>
      <c r="S1" s="26"/>
      <c r="T1" s="26"/>
      <c r="U1" s="26"/>
      <c r="V1" s="26"/>
      <c r="W1" s="26"/>
      <c r="X1" s="26"/>
      <c r="Y1" s="26"/>
      <c r="Z1" s="26"/>
      <c r="AA1" s="26"/>
    </row>
    <row r="2" spans="1:27" ht="14.25" customHeight="1" x14ac:dyDescent="0.25">
      <c r="A2" s="15" t="s">
        <v>142</v>
      </c>
      <c r="B2" s="27">
        <v>1201</v>
      </c>
      <c r="C2" s="27">
        <v>23393</v>
      </c>
      <c r="D2" s="28">
        <v>44739</v>
      </c>
      <c r="E2" s="29">
        <v>102</v>
      </c>
      <c r="F2" s="15" t="str">
        <f>B2&amp;"-"&amp;C2&amp;"-"&amp;INT(D2)</f>
        <v>1201-23393-44739</v>
      </c>
    </row>
    <row r="3" spans="1:27" ht="14.25" customHeight="1" x14ac:dyDescent="0.25">
      <c r="A3" s="15" t="s">
        <v>143</v>
      </c>
      <c r="B3" s="27">
        <v>1201</v>
      </c>
      <c r="C3" s="27">
        <v>23393</v>
      </c>
      <c r="D3" s="28">
        <v>44746</v>
      </c>
      <c r="E3" s="29">
        <v>354</v>
      </c>
      <c r="F3" s="15" t="str">
        <f t="shared" ref="F3:F66" si="0">B3&amp;"-"&amp;C3&amp;"-"&amp;INT(D3)</f>
        <v>1201-23393-44746</v>
      </c>
    </row>
    <row r="4" spans="1:27" ht="14.25" customHeight="1" x14ac:dyDescent="0.25">
      <c r="A4" s="15" t="s">
        <v>144</v>
      </c>
      <c r="B4" s="27">
        <v>1201</v>
      </c>
      <c r="C4" s="27">
        <v>23393</v>
      </c>
      <c r="D4" s="28">
        <v>44753</v>
      </c>
      <c r="E4" s="29">
        <v>168</v>
      </c>
      <c r="F4" s="15" t="str">
        <f t="shared" si="0"/>
        <v>1201-23393-44753</v>
      </c>
    </row>
    <row r="5" spans="1:27" ht="14.25" customHeight="1" x14ac:dyDescent="0.25">
      <c r="A5" s="15" t="s">
        <v>145</v>
      </c>
      <c r="B5" s="27">
        <v>1201</v>
      </c>
      <c r="C5" s="27">
        <v>23393</v>
      </c>
      <c r="D5" s="28">
        <v>44760</v>
      </c>
      <c r="E5" s="29">
        <v>296</v>
      </c>
      <c r="F5" s="15" t="str">
        <f t="shared" si="0"/>
        <v>1201-23393-44760</v>
      </c>
    </row>
    <row r="6" spans="1:27" ht="14.25" customHeight="1" x14ac:dyDescent="0.25">
      <c r="A6" s="15" t="s">
        <v>146</v>
      </c>
      <c r="B6" s="27">
        <v>1201</v>
      </c>
      <c r="C6" s="27">
        <v>23393</v>
      </c>
      <c r="D6" s="28">
        <v>44767</v>
      </c>
      <c r="E6" s="29">
        <v>110</v>
      </c>
      <c r="F6" s="15" t="str">
        <f t="shared" si="0"/>
        <v>1201-23393-44767</v>
      </c>
    </row>
    <row r="7" spans="1:27" ht="14.25" customHeight="1" x14ac:dyDescent="0.25">
      <c r="A7" s="15" t="s">
        <v>147</v>
      </c>
      <c r="B7" s="27">
        <v>1201</v>
      </c>
      <c r="C7" s="27">
        <v>23393</v>
      </c>
      <c r="D7" s="28">
        <v>44774</v>
      </c>
      <c r="E7" s="29">
        <v>100</v>
      </c>
      <c r="F7" s="15" t="str">
        <f t="shared" si="0"/>
        <v>1201-23393-44774</v>
      </c>
    </row>
    <row r="8" spans="1:27" ht="14.25" customHeight="1" x14ac:dyDescent="0.25">
      <c r="A8" s="15" t="s">
        <v>148</v>
      </c>
      <c r="B8" s="27">
        <v>1201</v>
      </c>
      <c r="C8" s="27">
        <v>23393</v>
      </c>
      <c r="D8" s="28">
        <v>44781</v>
      </c>
      <c r="E8" s="29">
        <v>105</v>
      </c>
      <c r="F8" s="15" t="str">
        <f t="shared" si="0"/>
        <v>1201-23393-44781</v>
      </c>
    </row>
    <row r="9" spans="1:27" ht="14.25" customHeight="1" x14ac:dyDescent="0.25">
      <c r="A9" s="15" t="s">
        <v>149</v>
      </c>
      <c r="B9" s="27">
        <v>1201</v>
      </c>
      <c r="C9" s="27">
        <v>23393</v>
      </c>
      <c r="D9" s="28">
        <v>44788</v>
      </c>
      <c r="E9" s="29">
        <v>246</v>
      </c>
      <c r="F9" s="15" t="str">
        <f t="shared" si="0"/>
        <v>1201-23393-44788</v>
      </c>
    </row>
    <row r="10" spans="1:27" ht="14.25" customHeight="1" x14ac:dyDescent="0.25">
      <c r="A10" s="15" t="s">
        <v>150</v>
      </c>
      <c r="B10" s="27">
        <v>1201</v>
      </c>
      <c r="C10" s="27">
        <v>26764</v>
      </c>
      <c r="D10" s="28">
        <v>44739</v>
      </c>
      <c r="E10" s="29">
        <v>111</v>
      </c>
      <c r="F10" s="15" t="str">
        <f t="shared" si="0"/>
        <v>1201-26764-44739</v>
      </c>
    </row>
    <row r="11" spans="1:27" ht="14.25" customHeight="1" x14ac:dyDescent="0.25">
      <c r="A11" s="15" t="s">
        <v>151</v>
      </c>
      <c r="B11" s="27">
        <v>1201</v>
      </c>
      <c r="C11" s="27">
        <v>26764</v>
      </c>
      <c r="D11" s="28">
        <v>44746</v>
      </c>
      <c r="E11" s="29">
        <v>106</v>
      </c>
      <c r="F11" s="15" t="str">
        <f t="shared" si="0"/>
        <v>1201-26764-44746</v>
      </c>
    </row>
    <row r="12" spans="1:27" ht="14.25" customHeight="1" x14ac:dyDescent="0.25">
      <c r="A12" s="15" t="s">
        <v>152</v>
      </c>
      <c r="B12" s="27">
        <v>1201</v>
      </c>
      <c r="C12" s="27">
        <v>26764</v>
      </c>
      <c r="D12" s="28">
        <v>44753</v>
      </c>
      <c r="E12" s="29">
        <v>138</v>
      </c>
      <c r="F12" s="15" t="str">
        <f t="shared" si="0"/>
        <v>1201-26764-44753</v>
      </c>
    </row>
    <row r="13" spans="1:27" ht="14.25" customHeight="1" x14ac:dyDescent="0.25">
      <c r="A13" s="15" t="s">
        <v>153</v>
      </c>
      <c r="B13" s="27">
        <v>1201</v>
      </c>
      <c r="C13" s="27">
        <v>26764</v>
      </c>
      <c r="D13" s="28">
        <v>44760</v>
      </c>
      <c r="E13" s="29">
        <v>107</v>
      </c>
      <c r="F13" s="15" t="str">
        <f t="shared" si="0"/>
        <v>1201-26764-44760</v>
      </c>
    </row>
    <row r="14" spans="1:27" ht="14.25" customHeight="1" x14ac:dyDescent="0.25">
      <c r="A14" s="15" t="s">
        <v>154</v>
      </c>
      <c r="B14" s="27">
        <v>1201</v>
      </c>
      <c r="C14" s="27">
        <v>26764</v>
      </c>
      <c r="D14" s="28">
        <v>44767</v>
      </c>
      <c r="E14" s="29">
        <v>112</v>
      </c>
      <c r="F14" s="15" t="str">
        <f t="shared" si="0"/>
        <v>1201-26764-44767</v>
      </c>
    </row>
    <row r="15" spans="1:27" ht="14.25" customHeight="1" x14ac:dyDescent="0.25">
      <c r="A15" s="15" t="s">
        <v>155</v>
      </c>
      <c r="B15" s="27">
        <v>1201</v>
      </c>
      <c r="C15" s="27">
        <v>26764</v>
      </c>
      <c r="D15" s="28">
        <v>44774</v>
      </c>
      <c r="E15" s="29">
        <v>497</v>
      </c>
      <c r="F15" s="15" t="str">
        <f t="shared" si="0"/>
        <v>1201-26764-44774</v>
      </c>
    </row>
    <row r="16" spans="1:27" ht="14.25" customHeight="1" x14ac:dyDescent="0.25">
      <c r="A16" s="15" t="s">
        <v>156</v>
      </c>
      <c r="B16" s="27">
        <v>1201</v>
      </c>
      <c r="C16" s="27">
        <v>26764</v>
      </c>
      <c r="D16" s="28">
        <v>44781</v>
      </c>
      <c r="E16" s="29">
        <v>597</v>
      </c>
      <c r="F16" s="15" t="str">
        <f t="shared" si="0"/>
        <v>1201-26764-44781</v>
      </c>
    </row>
    <row r="17" spans="1:6" ht="14.25" customHeight="1" x14ac:dyDescent="0.25">
      <c r="A17" s="15" t="s">
        <v>157</v>
      </c>
      <c r="B17" s="27">
        <v>1201</v>
      </c>
      <c r="C17" s="27">
        <v>26764</v>
      </c>
      <c r="D17" s="28">
        <v>44788</v>
      </c>
      <c r="E17" s="29">
        <v>109</v>
      </c>
      <c r="F17" s="15" t="str">
        <f t="shared" si="0"/>
        <v>1201-26764-44788</v>
      </c>
    </row>
    <row r="18" spans="1:6" ht="14.25" customHeight="1" x14ac:dyDescent="0.25">
      <c r="A18" s="15" t="s">
        <v>158</v>
      </c>
      <c r="B18" s="27">
        <v>1201</v>
      </c>
      <c r="C18" s="27">
        <v>53934</v>
      </c>
      <c r="D18" s="28">
        <v>44739</v>
      </c>
      <c r="E18" s="29">
        <v>363</v>
      </c>
      <c r="F18" s="15" t="str">
        <f t="shared" si="0"/>
        <v>1201-53934-44739</v>
      </c>
    </row>
    <row r="19" spans="1:6" ht="14.25" customHeight="1" x14ac:dyDescent="0.25">
      <c r="A19" s="15" t="s">
        <v>159</v>
      </c>
      <c r="B19" s="27">
        <v>1201</v>
      </c>
      <c r="C19" s="27">
        <v>53934</v>
      </c>
      <c r="D19" s="28">
        <v>44746</v>
      </c>
      <c r="E19" s="29">
        <v>411</v>
      </c>
      <c r="F19" s="15" t="str">
        <f t="shared" si="0"/>
        <v>1201-53934-44746</v>
      </c>
    </row>
    <row r="20" spans="1:6" ht="14.25" customHeight="1" x14ac:dyDescent="0.25">
      <c r="A20" s="15" t="s">
        <v>160</v>
      </c>
      <c r="B20" s="27">
        <v>1201</v>
      </c>
      <c r="C20" s="27">
        <v>53934</v>
      </c>
      <c r="D20" s="28">
        <v>44753</v>
      </c>
      <c r="E20" s="29">
        <v>459</v>
      </c>
      <c r="F20" s="15" t="str">
        <f t="shared" si="0"/>
        <v>1201-53934-44753</v>
      </c>
    </row>
    <row r="21" spans="1:6" ht="14.25" customHeight="1" x14ac:dyDescent="0.25">
      <c r="A21" s="15" t="s">
        <v>161</v>
      </c>
      <c r="B21" s="27">
        <v>1201</v>
      </c>
      <c r="C21" s="27">
        <v>53934</v>
      </c>
      <c r="D21" s="28">
        <v>44760</v>
      </c>
      <c r="E21" s="29">
        <v>450</v>
      </c>
      <c r="F21" s="15" t="str">
        <f t="shared" si="0"/>
        <v>1201-53934-44760</v>
      </c>
    </row>
    <row r="22" spans="1:6" ht="14.25" customHeight="1" x14ac:dyDescent="0.25">
      <c r="A22" s="15" t="s">
        <v>162</v>
      </c>
      <c r="B22" s="27">
        <v>1201</v>
      </c>
      <c r="C22" s="27">
        <v>53934</v>
      </c>
      <c r="D22" s="28">
        <v>44767</v>
      </c>
      <c r="E22" s="29">
        <v>448</v>
      </c>
      <c r="F22" s="15" t="str">
        <f t="shared" si="0"/>
        <v>1201-53934-44767</v>
      </c>
    </row>
    <row r="23" spans="1:6" ht="14.25" customHeight="1" x14ac:dyDescent="0.25">
      <c r="A23" s="15" t="s">
        <v>163</v>
      </c>
      <c r="B23" s="27">
        <v>1201</v>
      </c>
      <c r="C23" s="27">
        <v>53934</v>
      </c>
      <c r="D23" s="28">
        <v>44774</v>
      </c>
      <c r="E23" s="29">
        <v>523</v>
      </c>
      <c r="F23" s="15" t="str">
        <f t="shared" si="0"/>
        <v>1201-53934-44774</v>
      </c>
    </row>
    <row r="24" spans="1:6" ht="14.25" customHeight="1" x14ac:dyDescent="0.25">
      <c r="A24" s="15" t="s">
        <v>164</v>
      </c>
      <c r="B24" s="27">
        <v>1201</v>
      </c>
      <c r="C24" s="27">
        <v>53934</v>
      </c>
      <c r="D24" s="28">
        <v>44781</v>
      </c>
      <c r="E24" s="29">
        <v>310</v>
      </c>
      <c r="F24" s="15" t="str">
        <f t="shared" si="0"/>
        <v>1201-53934-44781</v>
      </c>
    </row>
    <row r="25" spans="1:6" ht="14.25" customHeight="1" x14ac:dyDescent="0.25">
      <c r="A25" s="15" t="s">
        <v>165</v>
      </c>
      <c r="B25" s="27">
        <v>1201</v>
      </c>
      <c r="C25" s="27">
        <v>53934</v>
      </c>
      <c r="D25" s="28">
        <v>44788</v>
      </c>
      <c r="E25" s="29">
        <v>463</v>
      </c>
      <c r="F25" s="15" t="str">
        <f t="shared" si="0"/>
        <v>1201-53934-44788</v>
      </c>
    </row>
    <row r="26" spans="1:6" ht="14.25" customHeight="1" x14ac:dyDescent="0.25">
      <c r="A26" s="15" t="s">
        <v>166</v>
      </c>
      <c r="B26" s="27">
        <v>1201</v>
      </c>
      <c r="C26" s="27">
        <v>78699</v>
      </c>
      <c r="D26" s="28">
        <v>44739</v>
      </c>
      <c r="E26" s="29">
        <v>17</v>
      </c>
      <c r="F26" s="15" t="str">
        <f t="shared" si="0"/>
        <v>1201-78699-44739</v>
      </c>
    </row>
    <row r="27" spans="1:6" ht="14.25" customHeight="1" x14ac:dyDescent="0.25">
      <c r="A27" s="15" t="s">
        <v>167</v>
      </c>
      <c r="B27" s="27">
        <v>1201</v>
      </c>
      <c r="C27" s="27">
        <v>78699</v>
      </c>
      <c r="D27" s="28">
        <v>44746</v>
      </c>
      <c r="E27" s="29">
        <v>27</v>
      </c>
      <c r="F27" s="15" t="str">
        <f t="shared" si="0"/>
        <v>1201-78699-44746</v>
      </c>
    </row>
    <row r="28" spans="1:6" ht="14.25" customHeight="1" x14ac:dyDescent="0.25">
      <c r="A28" s="15" t="s">
        <v>168</v>
      </c>
      <c r="B28" s="27">
        <v>1201</v>
      </c>
      <c r="C28" s="27">
        <v>78699</v>
      </c>
      <c r="D28" s="28">
        <v>44753</v>
      </c>
      <c r="E28" s="29">
        <v>24</v>
      </c>
      <c r="F28" s="15" t="str">
        <f t="shared" si="0"/>
        <v>1201-78699-44753</v>
      </c>
    </row>
    <row r="29" spans="1:6" ht="14.25" customHeight="1" x14ac:dyDescent="0.25">
      <c r="A29" s="15" t="s">
        <v>169</v>
      </c>
      <c r="B29" s="27">
        <v>1201</v>
      </c>
      <c r="C29" s="27">
        <v>78699</v>
      </c>
      <c r="D29" s="28">
        <v>44760</v>
      </c>
      <c r="E29" s="29">
        <v>24</v>
      </c>
      <c r="F29" s="15" t="str">
        <f t="shared" si="0"/>
        <v>1201-78699-44760</v>
      </c>
    </row>
    <row r="30" spans="1:6" ht="14.25" customHeight="1" x14ac:dyDescent="0.25">
      <c r="A30" s="15" t="s">
        <v>170</v>
      </c>
      <c r="B30" s="27">
        <v>1201</v>
      </c>
      <c r="C30" s="27">
        <v>78699</v>
      </c>
      <c r="D30" s="28">
        <v>44767</v>
      </c>
      <c r="E30" s="29">
        <v>21</v>
      </c>
      <c r="F30" s="15" t="str">
        <f t="shared" si="0"/>
        <v>1201-78699-44767</v>
      </c>
    </row>
    <row r="31" spans="1:6" ht="14.25" customHeight="1" x14ac:dyDescent="0.25">
      <c r="A31" s="15" t="s">
        <v>171</v>
      </c>
      <c r="B31" s="27">
        <v>1201</v>
      </c>
      <c r="C31" s="27">
        <v>78699</v>
      </c>
      <c r="D31" s="28">
        <v>44774</v>
      </c>
      <c r="E31" s="29">
        <v>32</v>
      </c>
      <c r="F31" s="15" t="str">
        <f t="shared" si="0"/>
        <v>1201-78699-44774</v>
      </c>
    </row>
    <row r="32" spans="1:6" ht="14.25" customHeight="1" x14ac:dyDescent="0.25">
      <c r="A32" s="15" t="s">
        <v>172</v>
      </c>
      <c r="B32" s="27">
        <v>1201</v>
      </c>
      <c r="C32" s="27">
        <v>78699</v>
      </c>
      <c r="D32" s="28">
        <v>44781</v>
      </c>
      <c r="E32" s="29">
        <v>27</v>
      </c>
      <c r="F32" s="15" t="str">
        <f t="shared" si="0"/>
        <v>1201-78699-44781</v>
      </c>
    </row>
    <row r="33" spans="1:6" ht="14.25" customHeight="1" x14ac:dyDescent="0.25">
      <c r="A33" s="15" t="s">
        <v>173</v>
      </c>
      <c r="B33" s="27">
        <v>1201</v>
      </c>
      <c r="C33" s="27">
        <v>78699</v>
      </c>
      <c r="D33" s="28">
        <v>44788</v>
      </c>
      <c r="E33" s="29">
        <v>18</v>
      </c>
      <c r="F33" s="15" t="str">
        <f t="shared" si="0"/>
        <v>1201-78699-44788</v>
      </c>
    </row>
    <row r="34" spans="1:6" ht="14.25" customHeight="1" x14ac:dyDescent="0.25">
      <c r="A34" s="15" t="s">
        <v>174</v>
      </c>
      <c r="B34" s="27">
        <v>1201</v>
      </c>
      <c r="C34" s="27">
        <v>78869</v>
      </c>
      <c r="D34" s="28">
        <v>44739</v>
      </c>
      <c r="E34" s="29">
        <v>68</v>
      </c>
      <c r="F34" s="15" t="str">
        <f t="shared" si="0"/>
        <v>1201-78869-44739</v>
      </c>
    </row>
    <row r="35" spans="1:6" ht="14.25" customHeight="1" x14ac:dyDescent="0.25">
      <c r="A35" s="15" t="s">
        <v>175</v>
      </c>
      <c r="B35" s="27">
        <v>1201</v>
      </c>
      <c r="C35" s="27">
        <v>78869</v>
      </c>
      <c r="D35" s="28">
        <v>44746</v>
      </c>
      <c r="E35" s="29">
        <v>58</v>
      </c>
      <c r="F35" s="15" t="str">
        <f t="shared" si="0"/>
        <v>1201-78869-44746</v>
      </c>
    </row>
    <row r="36" spans="1:6" ht="14.25" customHeight="1" x14ac:dyDescent="0.25">
      <c r="A36" s="15" t="s">
        <v>176</v>
      </c>
      <c r="B36" s="27">
        <v>1201</v>
      </c>
      <c r="C36" s="27">
        <v>78869</v>
      </c>
      <c r="D36" s="28">
        <v>44753</v>
      </c>
      <c r="E36" s="29">
        <v>147</v>
      </c>
      <c r="F36" s="15" t="str">
        <f t="shared" si="0"/>
        <v>1201-78869-44753</v>
      </c>
    </row>
    <row r="37" spans="1:6" ht="14.25" customHeight="1" x14ac:dyDescent="0.25">
      <c r="A37" s="15" t="s">
        <v>177</v>
      </c>
      <c r="B37" s="27">
        <v>1201</v>
      </c>
      <c r="C37" s="27">
        <v>78869</v>
      </c>
      <c r="D37" s="28">
        <v>44760</v>
      </c>
      <c r="E37" s="29">
        <v>77</v>
      </c>
      <c r="F37" s="15" t="str">
        <f t="shared" si="0"/>
        <v>1201-78869-44760</v>
      </c>
    </row>
    <row r="38" spans="1:6" ht="14.25" customHeight="1" x14ac:dyDescent="0.25">
      <c r="A38" s="15" t="s">
        <v>178</v>
      </c>
      <c r="B38" s="27">
        <v>1201</v>
      </c>
      <c r="C38" s="27">
        <v>78869</v>
      </c>
      <c r="D38" s="28">
        <v>44767</v>
      </c>
      <c r="E38" s="29">
        <v>68</v>
      </c>
      <c r="F38" s="15" t="str">
        <f t="shared" si="0"/>
        <v>1201-78869-44767</v>
      </c>
    </row>
    <row r="39" spans="1:6" ht="14.25" customHeight="1" x14ac:dyDescent="0.25">
      <c r="A39" s="15" t="s">
        <v>179</v>
      </c>
      <c r="B39" s="27">
        <v>1201</v>
      </c>
      <c r="C39" s="27">
        <v>78869</v>
      </c>
      <c r="D39" s="28">
        <v>44774</v>
      </c>
      <c r="E39" s="29">
        <v>112</v>
      </c>
      <c r="F39" s="15" t="str">
        <f t="shared" si="0"/>
        <v>1201-78869-44774</v>
      </c>
    </row>
    <row r="40" spans="1:6" ht="14.25" customHeight="1" x14ac:dyDescent="0.25">
      <c r="A40" s="15" t="s">
        <v>180</v>
      </c>
      <c r="B40" s="27">
        <v>1201</v>
      </c>
      <c r="C40" s="27">
        <v>78869</v>
      </c>
      <c r="D40" s="28">
        <v>44781</v>
      </c>
      <c r="E40" s="29">
        <v>127</v>
      </c>
      <c r="F40" s="15" t="str">
        <f t="shared" si="0"/>
        <v>1201-78869-44781</v>
      </c>
    </row>
    <row r="41" spans="1:6" ht="14.25" customHeight="1" x14ac:dyDescent="0.25">
      <c r="A41" s="15" t="s">
        <v>181</v>
      </c>
      <c r="B41" s="27">
        <v>1201</v>
      </c>
      <c r="C41" s="27">
        <v>78869</v>
      </c>
      <c r="D41" s="28">
        <v>44788</v>
      </c>
      <c r="E41" s="29">
        <v>152</v>
      </c>
      <c r="F41" s="15" t="str">
        <f t="shared" si="0"/>
        <v>1201-78869-44788</v>
      </c>
    </row>
    <row r="42" spans="1:6" ht="14.25" customHeight="1" x14ac:dyDescent="0.25">
      <c r="A42" s="15" t="s">
        <v>182</v>
      </c>
      <c r="B42" s="27">
        <v>1201</v>
      </c>
      <c r="C42" s="27">
        <v>115600</v>
      </c>
      <c r="D42" s="28">
        <v>44739</v>
      </c>
      <c r="E42" s="29">
        <v>13</v>
      </c>
      <c r="F42" s="15" t="str">
        <f t="shared" si="0"/>
        <v>1201-115600-44739</v>
      </c>
    </row>
    <row r="43" spans="1:6" ht="14.25" customHeight="1" x14ac:dyDescent="0.25">
      <c r="A43" s="15" t="s">
        <v>183</v>
      </c>
      <c r="B43" s="27">
        <v>1201</v>
      </c>
      <c r="C43" s="27">
        <v>115600</v>
      </c>
      <c r="D43" s="28">
        <v>44746</v>
      </c>
      <c r="E43" s="29">
        <v>18</v>
      </c>
      <c r="F43" s="15" t="str">
        <f t="shared" si="0"/>
        <v>1201-115600-44746</v>
      </c>
    </row>
    <row r="44" spans="1:6" ht="14.25" customHeight="1" x14ac:dyDescent="0.25">
      <c r="A44" s="15" t="s">
        <v>184</v>
      </c>
      <c r="B44" s="27">
        <v>1201</v>
      </c>
      <c r="C44" s="27">
        <v>115600</v>
      </c>
      <c r="D44" s="28">
        <v>44753</v>
      </c>
      <c r="E44" s="29">
        <v>15</v>
      </c>
      <c r="F44" s="15" t="str">
        <f t="shared" si="0"/>
        <v>1201-115600-44753</v>
      </c>
    </row>
    <row r="45" spans="1:6" ht="14.25" customHeight="1" x14ac:dyDescent="0.25">
      <c r="A45" s="15" t="s">
        <v>185</v>
      </c>
      <c r="B45" s="27">
        <v>1201</v>
      </c>
      <c r="C45" s="27">
        <v>115600</v>
      </c>
      <c r="D45" s="28">
        <v>44760</v>
      </c>
      <c r="E45" s="29">
        <v>42</v>
      </c>
      <c r="F45" s="15" t="str">
        <f t="shared" si="0"/>
        <v>1201-115600-44760</v>
      </c>
    </row>
    <row r="46" spans="1:6" ht="14.25" customHeight="1" x14ac:dyDescent="0.25">
      <c r="A46" s="15" t="s">
        <v>186</v>
      </c>
      <c r="B46" s="27">
        <v>1201</v>
      </c>
      <c r="C46" s="27">
        <v>115600</v>
      </c>
      <c r="D46" s="28">
        <v>44767</v>
      </c>
      <c r="E46" s="29">
        <v>36</v>
      </c>
      <c r="F46" s="15" t="str">
        <f t="shared" si="0"/>
        <v>1201-115600-44767</v>
      </c>
    </row>
    <row r="47" spans="1:6" ht="14.25" customHeight="1" x14ac:dyDescent="0.25">
      <c r="A47" s="15" t="s">
        <v>187</v>
      </c>
      <c r="B47" s="27">
        <v>1201</v>
      </c>
      <c r="C47" s="27">
        <v>115600</v>
      </c>
      <c r="D47" s="28">
        <v>44774</v>
      </c>
      <c r="E47" s="29">
        <v>11</v>
      </c>
      <c r="F47" s="15" t="str">
        <f t="shared" si="0"/>
        <v>1201-115600-44774</v>
      </c>
    </row>
    <row r="48" spans="1:6" ht="14.25" customHeight="1" x14ac:dyDescent="0.25">
      <c r="A48" s="15" t="s">
        <v>188</v>
      </c>
      <c r="B48" s="27">
        <v>1201</v>
      </c>
      <c r="C48" s="27">
        <v>115600</v>
      </c>
      <c r="D48" s="28">
        <v>44781</v>
      </c>
      <c r="E48" s="29">
        <v>39</v>
      </c>
      <c r="F48" s="15" t="str">
        <f t="shared" si="0"/>
        <v>1201-115600-44781</v>
      </c>
    </row>
    <row r="49" spans="1:6" ht="14.25" customHeight="1" x14ac:dyDescent="0.25">
      <c r="A49" s="15" t="s">
        <v>189</v>
      </c>
      <c r="B49" s="27">
        <v>1201</v>
      </c>
      <c r="C49" s="27">
        <v>115600</v>
      </c>
      <c r="D49" s="28">
        <v>44788</v>
      </c>
      <c r="E49" s="29">
        <v>26</v>
      </c>
      <c r="F49" s="15" t="str">
        <f t="shared" si="0"/>
        <v>1201-115600-44788</v>
      </c>
    </row>
    <row r="50" spans="1:6" ht="14.25" customHeight="1" x14ac:dyDescent="0.25">
      <c r="A50" s="15" t="s">
        <v>190</v>
      </c>
      <c r="B50" s="27">
        <v>1201</v>
      </c>
      <c r="C50" s="27">
        <v>129208</v>
      </c>
      <c r="D50" s="28">
        <v>44739</v>
      </c>
      <c r="E50" s="29">
        <v>54</v>
      </c>
      <c r="F50" s="15" t="str">
        <f t="shared" si="0"/>
        <v>1201-129208-44739</v>
      </c>
    </row>
    <row r="51" spans="1:6" ht="14.25" customHeight="1" x14ac:dyDescent="0.25">
      <c r="A51" s="15" t="s">
        <v>191</v>
      </c>
      <c r="B51" s="27">
        <v>1201</v>
      </c>
      <c r="C51" s="27">
        <v>129208</v>
      </c>
      <c r="D51" s="28">
        <v>44746</v>
      </c>
      <c r="E51" s="29">
        <v>13</v>
      </c>
      <c r="F51" s="15" t="str">
        <f t="shared" si="0"/>
        <v>1201-129208-44746</v>
      </c>
    </row>
    <row r="52" spans="1:6" ht="14.25" customHeight="1" x14ac:dyDescent="0.25">
      <c r="A52" s="15" t="s">
        <v>192</v>
      </c>
      <c r="B52" s="27">
        <v>1201</v>
      </c>
      <c r="C52" s="27">
        <v>129208</v>
      </c>
      <c r="D52" s="28">
        <v>44753</v>
      </c>
      <c r="E52" s="29">
        <v>30</v>
      </c>
      <c r="F52" s="15" t="str">
        <f t="shared" si="0"/>
        <v>1201-129208-44753</v>
      </c>
    </row>
    <row r="53" spans="1:6" ht="14.25" customHeight="1" x14ac:dyDescent="0.25">
      <c r="A53" s="15" t="s">
        <v>193</v>
      </c>
      <c r="B53" s="27">
        <v>1201</v>
      </c>
      <c r="C53" s="27">
        <v>129208</v>
      </c>
      <c r="D53" s="28">
        <v>44760</v>
      </c>
      <c r="E53" s="29">
        <v>40</v>
      </c>
      <c r="F53" s="15" t="str">
        <f t="shared" si="0"/>
        <v>1201-129208-44760</v>
      </c>
    </row>
    <row r="54" spans="1:6" ht="14.25" customHeight="1" x14ac:dyDescent="0.25">
      <c r="A54" s="15" t="s">
        <v>194</v>
      </c>
      <c r="B54" s="27">
        <v>1201</v>
      </c>
      <c r="C54" s="27">
        <v>129208</v>
      </c>
      <c r="D54" s="28">
        <v>44767</v>
      </c>
      <c r="E54" s="29">
        <v>12</v>
      </c>
      <c r="F54" s="15" t="str">
        <f t="shared" si="0"/>
        <v>1201-129208-44767</v>
      </c>
    </row>
    <row r="55" spans="1:6" ht="14.25" customHeight="1" x14ac:dyDescent="0.25">
      <c r="A55" s="15" t="s">
        <v>195</v>
      </c>
      <c r="B55" s="27">
        <v>1201</v>
      </c>
      <c r="C55" s="27">
        <v>129208</v>
      </c>
      <c r="D55" s="28">
        <v>44774</v>
      </c>
      <c r="E55" s="29">
        <v>38</v>
      </c>
      <c r="F55" s="15" t="str">
        <f t="shared" si="0"/>
        <v>1201-129208-44774</v>
      </c>
    </row>
    <row r="56" spans="1:6" ht="14.25" customHeight="1" x14ac:dyDescent="0.25">
      <c r="A56" s="15" t="s">
        <v>196</v>
      </c>
      <c r="B56" s="27">
        <v>1201</v>
      </c>
      <c r="C56" s="27">
        <v>129208</v>
      </c>
      <c r="D56" s="28">
        <v>44781</v>
      </c>
      <c r="E56" s="29">
        <v>42</v>
      </c>
      <c r="F56" s="15" t="str">
        <f t="shared" si="0"/>
        <v>1201-129208-44781</v>
      </c>
    </row>
    <row r="57" spans="1:6" ht="14.25" customHeight="1" x14ac:dyDescent="0.25">
      <c r="A57" s="15" t="s">
        <v>197</v>
      </c>
      <c r="B57" s="27">
        <v>1201</v>
      </c>
      <c r="C57" s="27">
        <v>129208</v>
      </c>
      <c r="D57" s="28">
        <v>44788</v>
      </c>
      <c r="E57" s="29">
        <v>38</v>
      </c>
      <c r="F57" s="15" t="str">
        <f t="shared" si="0"/>
        <v>1201-129208-44788</v>
      </c>
    </row>
    <row r="58" spans="1:6" ht="14.25" customHeight="1" x14ac:dyDescent="0.25">
      <c r="A58" s="15" t="s">
        <v>198</v>
      </c>
      <c r="B58" s="27">
        <v>1201</v>
      </c>
      <c r="C58" s="27">
        <v>141622</v>
      </c>
      <c r="D58" s="28">
        <v>44739</v>
      </c>
      <c r="E58" s="29">
        <v>10</v>
      </c>
      <c r="F58" s="15" t="str">
        <f t="shared" si="0"/>
        <v>1201-141622-44739</v>
      </c>
    </row>
    <row r="59" spans="1:6" ht="14.25" customHeight="1" x14ac:dyDescent="0.25">
      <c r="A59" s="15" t="s">
        <v>199</v>
      </c>
      <c r="B59" s="27">
        <v>1201</v>
      </c>
      <c r="C59" s="27">
        <v>141622</v>
      </c>
      <c r="D59" s="28">
        <v>44746</v>
      </c>
      <c r="E59" s="29">
        <v>42</v>
      </c>
      <c r="F59" s="15" t="str">
        <f t="shared" si="0"/>
        <v>1201-141622-44746</v>
      </c>
    </row>
    <row r="60" spans="1:6" ht="14.25" customHeight="1" x14ac:dyDescent="0.25">
      <c r="A60" s="15" t="s">
        <v>200</v>
      </c>
      <c r="B60" s="27">
        <v>1201</v>
      </c>
      <c r="C60" s="27">
        <v>141622</v>
      </c>
      <c r="D60" s="28">
        <v>44753</v>
      </c>
      <c r="E60" s="29">
        <v>10</v>
      </c>
      <c r="F60" s="15" t="str">
        <f t="shared" si="0"/>
        <v>1201-141622-44753</v>
      </c>
    </row>
    <row r="61" spans="1:6" ht="14.25" customHeight="1" x14ac:dyDescent="0.25">
      <c r="A61" s="15" t="s">
        <v>201</v>
      </c>
      <c r="B61" s="27">
        <v>1201</v>
      </c>
      <c r="C61" s="27">
        <v>141622</v>
      </c>
      <c r="D61" s="28">
        <v>44760</v>
      </c>
      <c r="E61" s="29">
        <v>57</v>
      </c>
      <c r="F61" s="15" t="str">
        <f t="shared" si="0"/>
        <v>1201-141622-44760</v>
      </c>
    </row>
    <row r="62" spans="1:6" ht="14.25" customHeight="1" x14ac:dyDescent="0.25">
      <c r="A62" s="15" t="s">
        <v>202</v>
      </c>
      <c r="B62" s="27">
        <v>1201</v>
      </c>
      <c r="C62" s="27">
        <v>141622</v>
      </c>
      <c r="D62" s="28">
        <v>44767</v>
      </c>
      <c r="E62" s="29">
        <v>52</v>
      </c>
      <c r="F62" s="15" t="str">
        <f t="shared" si="0"/>
        <v>1201-141622-44767</v>
      </c>
    </row>
    <row r="63" spans="1:6" ht="14.25" customHeight="1" x14ac:dyDescent="0.25">
      <c r="A63" s="15" t="s">
        <v>203</v>
      </c>
      <c r="B63" s="27">
        <v>1201</v>
      </c>
      <c r="C63" s="27">
        <v>141622</v>
      </c>
      <c r="D63" s="28">
        <v>44774</v>
      </c>
      <c r="E63" s="29">
        <v>35</v>
      </c>
      <c r="F63" s="15" t="str">
        <f t="shared" si="0"/>
        <v>1201-141622-44774</v>
      </c>
    </row>
    <row r="64" spans="1:6" ht="14.25" customHeight="1" x14ac:dyDescent="0.25">
      <c r="A64" s="15" t="s">
        <v>204</v>
      </c>
      <c r="B64" s="27">
        <v>1201</v>
      </c>
      <c r="C64" s="27">
        <v>141622</v>
      </c>
      <c r="D64" s="28">
        <v>44781</v>
      </c>
      <c r="E64" s="29">
        <v>35</v>
      </c>
      <c r="F64" s="15" t="str">
        <f t="shared" si="0"/>
        <v>1201-141622-44781</v>
      </c>
    </row>
    <row r="65" spans="1:6" ht="14.25" customHeight="1" x14ac:dyDescent="0.25">
      <c r="A65" s="15" t="s">
        <v>205</v>
      </c>
      <c r="B65" s="27">
        <v>1201</v>
      </c>
      <c r="C65" s="27">
        <v>141622</v>
      </c>
      <c r="D65" s="28">
        <v>44788</v>
      </c>
      <c r="E65" s="29">
        <v>10</v>
      </c>
      <c r="F65" s="15" t="str">
        <f t="shared" si="0"/>
        <v>1201-141622-44788</v>
      </c>
    </row>
    <row r="66" spans="1:6" ht="14.25" customHeight="1" x14ac:dyDescent="0.25">
      <c r="A66" s="15" t="s">
        <v>206</v>
      </c>
      <c r="B66" s="27">
        <v>1201</v>
      </c>
      <c r="C66" s="27">
        <v>141626</v>
      </c>
      <c r="D66" s="28">
        <v>44739</v>
      </c>
      <c r="E66" s="29">
        <v>332</v>
      </c>
      <c r="F66" s="15" t="str">
        <f t="shared" si="0"/>
        <v>1201-141626-44739</v>
      </c>
    </row>
    <row r="67" spans="1:6" ht="14.25" customHeight="1" x14ac:dyDescent="0.25">
      <c r="A67" s="15" t="s">
        <v>207</v>
      </c>
      <c r="B67" s="27">
        <v>1201</v>
      </c>
      <c r="C67" s="27">
        <v>141626</v>
      </c>
      <c r="D67" s="28">
        <v>44746</v>
      </c>
      <c r="E67" s="29">
        <v>732</v>
      </c>
      <c r="F67" s="15" t="str">
        <f t="shared" ref="F67:F130" si="1">B67&amp;"-"&amp;C67&amp;"-"&amp;INT(D67)</f>
        <v>1201-141626-44746</v>
      </c>
    </row>
    <row r="68" spans="1:6" ht="14.25" customHeight="1" x14ac:dyDescent="0.25">
      <c r="A68" s="15" t="s">
        <v>208</v>
      </c>
      <c r="B68" s="27">
        <v>1201</v>
      </c>
      <c r="C68" s="27">
        <v>141626</v>
      </c>
      <c r="D68" s="28">
        <v>44753</v>
      </c>
      <c r="E68" s="29">
        <v>794</v>
      </c>
      <c r="F68" s="15" t="str">
        <f t="shared" si="1"/>
        <v>1201-141626-44753</v>
      </c>
    </row>
    <row r="69" spans="1:6" ht="14.25" customHeight="1" x14ac:dyDescent="0.25">
      <c r="A69" s="15" t="s">
        <v>209</v>
      </c>
      <c r="B69" s="27">
        <v>1201</v>
      </c>
      <c r="C69" s="27">
        <v>141626</v>
      </c>
      <c r="D69" s="28">
        <v>44760</v>
      </c>
      <c r="E69" s="29">
        <v>504</v>
      </c>
      <c r="F69" s="15" t="str">
        <f t="shared" si="1"/>
        <v>1201-141626-44760</v>
      </c>
    </row>
    <row r="70" spans="1:6" ht="14.25" customHeight="1" x14ac:dyDescent="0.25">
      <c r="A70" s="15" t="s">
        <v>210</v>
      </c>
      <c r="B70" s="27">
        <v>1201</v>
      </c>
      <c r="C70" s="27">
        <v>141626</v>
      </c>
      <c r="D70" s="28">
        <v>44767</v>
      </c>
      <c r="E70" s="29">
        <v>468</v>
      </c>
      <c r="F70" s="15" t="str">
        <f t="shared" si="1"/>
        <v>1201-141626-44767</v>
      </c>
    </row>
    <row r="71" spans="1:6" ht="14.25" customHeight="1" x14ac:dyDescent="0.25">
      <c r="A71" s="15" t="s">
        <v>211</v>
      </c>
      <c r="B71" s="27">
        <v>1201</v>
      </c>
      <c r="C71" s="27">
        <v>141626</v>
      </c>
      <c r="D71" s="28">
        <v>44774</v>
      </c>
      <c r="E71" s="29">
        <v>885</v>
      </c>
      <c r="F71" s="15" t="str">
        <f t="shared" si="1"/>
        <v>1201-141626-44774</v>
      </c>
    </row>
    <row r="72" spans="1:6" ht="14.25" customHeight="1" x14ac:dyDescent="0.25">
      <c r="A72" s="15" t="s">
        <v>212</v>
      </c>
      <c r="B72" s="27">
        <v>1201</v>
      </c>
      <c r="C72" s="27">
        <v>141626</v>
      </c>
      <c r="D72" s="28">
        <v>44781</v>
      </c>
      <c r="E72" s="29">
        <v>675</v>
      </c>
      <c r="F72" s="15" t="str">
        <f t="shared" si="1"/>
        <v>1201-141626-44781</v>
      </c>
    </row>
    <row r="73" spans="1:6" ht="14.25" customHeight="1" x14ac:dyDescent="0.25">
      <c r="A73" s="15" t="s">
        <v>213</v>
      </c>
      <c r="B73" s="27">
        <v>1201</v>
      </c>
      <c r="C73" s="27">
        <v>141626</v>
      </c>
      <c r="D73" s="28">
        <v>44788</v>
      </c>
      <c r="E73" s="29">
        <v>678</v>
      </c>
      <c r="F73" s="15" t="str">
        <f t="shared" si="1"/>
        <v>1201-141626-44788</v>
      </c>
    </row>
    <row r="74" spans="1:6" ht="14.25" customHeight="1" x14ac:dyDescent="0.25">
      <c r="A74" s="15" t="s">
        <v>214</v>
      </c>
      <c r="B74" s="27">
        <v>1201</v>
      </c>
      <c r="C74" s="27">
        <v>141791</v>
      </c>
      <c r="D74" s="28">
        <v>44739</v>
      </c>
      <c r="E74" s="29">
        <v>22</v>
      </c>
      <c r="F74" s="15" t="str">
        <f t="shared" si="1"/>
        <v>1201-141791-44739</v>
      </c>
    </row>
    <row r="75" spans="1:6" ht="14.25" customHeight="1" x14ac:dyDescent="0.25">
      <c r="A75" s="15" t="s">
        <v>215</v>
      </c>
      <c r="B75" s="27">
        <v>1201</v>
      </c>
      <c r="C75" s="27">
        <v>141791</v>
      </c>
      <c r="D75" s="28">
        <v>44746</v>
      </c>
      <c r="E75" s="29">
        <v>59</v>
      </c>
      <c r="F75" s="15" t="str">
        <f t="shared" si="1"/>
        <v>1201-141791-44746</v>
      </c>
    </row>
    <row r="76" spans="1:6" ht="14.25" customHeight="1" x14ac:dyDescent="0.25">
      <c r="A76" s="15" t="s">
        <v>216</v>
      </c>
      <c r="B76" s="27">
        <v>1201</v>
      </c>
      <c r="C76" s="27">
        <v>141791</v>
      </c>
      <c r="D76" s="28">
        <v>44753</v>
      </c>
      <c r="E76" s="29">
        <v>60</v>
      </c>
      <c r="F76" s="15" t="str">
        <f t="shared" si="1"/>
        <v>1201-141791-44753</v>
      </c>
    </row>
    <row r="77" spans="1:6" ht="14.25" customHeight="1" x14ac:dyDescent="0.25">
      <c r="A77" s="15" t="s">
        <v>217</v>
      </c>
      <c r="B77" s="27">
        <v>1201</v>
      </c>
      <c r="C77" s="27">
        <v>141791</v>
      </c>
      <c r="D77" s="28">
        <v>44760</v>
      </c>
      <c r="E77" s="29">
        <v>21</v>
      </c>
      <c r="F77" s="15" t="str">
        <f t="shared" si="1"/>
        <v>1201-141791-44760</v>
      </c>
    </row>
    <row r="78" spans="1:6" ht="14.25" customHeight="1" x14ac:dyDescent="0.25">
      <c r="A78" s="15" t="s">
        <v>218</v>
      </c>
      <c r="B78" s="27">
        <v>1201</v>
      </c>
      <c r="C78" s="27">
        <v>141791</v>
      </c>
      <c r="D78" s="28">
        <v>44767</v>
      </c>
      <c r="E78" s="29">
        <v>54</v>
      </c>
      <c r="F78" s="15" t="str">
        <f t="shared" si="1"/>
        <v>1201-141791-44767</v>
      </c>
    </row>
    <row r="79" spans="1:6" ht="14.25" customHeight="1" x14ac:dyDescent="0.25">
      <c r="A79" s="15" t="s">
        <v>219</v>
      </c>
      <c r="B79" s="27">
        <v>1201</v>
      </c>
      <c r="C79" s="27">
        <v>141791</v>
      </c>
      <c r="D79" s="28">
        <v>44774</v>
      </c>
      <c r="E79" s="29">
        <v>23</v>
      </c>
      <c r="F79" s="15" t="str">
        <f t="shared" si="1"/>
        <v>1201-141791-44774</v>
      </c>
    </row>
    <row r="80" spans="1:6" ht="14.25" customHeight="1" x14ac:dyDescent="0.25">
      <c r="A80" s="15" t="s">
        <v>220</v>
      </c>
      <c r="B80" s="27">
        <v>1201</v>
      </c>
      <c r="C80" s="27">
        <v>141791</v>
      </c>
      <c r="D80" s="28">
        <v>44781</v>
      </c>
      <c r="E80" s="29">
        <v>36</v>
      </c>
      <c r="F80" s="15" t="str">
        <f t="shared" si="1"/>
        <v>1201-141791-44781</v>
      </c>
    </row>
    <row r="81" spans="1:6" ht="14.25" customHeight="1" x14ac:dyDescent="0.25">
      <c r="A81" s="15" t="s">
        <v>221</v>
      </c>
      <c r="B81" s="27">
        <v>1201</v>
      </c>
      <c r="C81" s="27">
        <v>141791</v>
      </c>
      <c r="D81" s="28">
        <v>44788</v>
      </c>
      <c r="E81" s="29">
        <v>67</v>
      </c>
      <c r="F81" s="15" t="str">
        <f t="shared" si="1"/>
        <v>1201-141791-44788</v>
      </c>
    </row>
    <row r="82" spans="1:6" ht="14.25" customHeight="1" x14ac:dyDescent="0.25">
      <c r="A82" s="15" t="s">
        <v>222</v>
      </c>
      <c r="B82" s="27">
        <v>1201</v>
      </c>
      <c r="C82" s="27">
        <v>141846</v>
      </c>
      <c r="D82" s="28">
        <v>44739</v>
      </c>
      <c r="E82" s="29">
        <v>18</v>
      </c>
      <c r="F82" s="15" t="str">
        <f t="shared" si="1"/>
        <v>1201-141846-44739</v>
      </c>
    </row>
    <row r="83" spans="1:6" ht="14.25" customHeight="1" x14ac:dyDescent="0.25">
      <c r="A83" s="15" t="s">
        <v>223</v>
      </c>
      <c r="B83" s="27">
        <v>1201</v>
      </c>
      <c r="C83" s="27">
        <v>141846</v>
      </c>
      <c r="D83" s="28">
        <v>44746</v>
      </c>
      <c r="E83" s="29">
        <v>30</v>
      </c>
      <c r="F83" s="15" t="str">
        <f t="shared" si="1"/>
        <v>1201-141846-44746</v>
      </c>
    </row>
    <row r="84" spans="1:6" ht="14.25" customHeight="1" x14ac:dyDescent="0.25">
      <c r="A84" s="15" t="s">
        <v>224</v>
      </c>
      <c r="B84" s="27">
        <v>1201</v>
      </c>
      <c r="C84" s="27">
        <v>141846</v>
      </c>
      <c r="D84" s="28">
        <v>44753</v>
      </c>
      <c r="E84" s="29">
        <v>20</v>
      </c>
      <c r="F84" s="15" t="str">
        <f t="shared" si="1"/>
        <v>1201-141846-44753</v>
      </c>
    </row>
    <row r="85" spans="1:6" ht="14.25" customHeight="1" x14ac:dyDescent="0.25">
      <c r="A85" s="15" t="s">
        <v>225</v>
      </c>
      <c r="B85" s="27">
        <v>1201</v>
      </c>
      <c r="C85" s="27">
        <v>141846</v>
      </c>
      <c r="D85" s="28">
        <v>44760</v>
      </c>
      <c r="E85" s="29">
        <v>4</v>
      </c>
      <c r="F85" s="15" t="str">
        <f t="shared" si="1"/>
        <v>1201-141846-44760</v>
      </c>
    </row>
    <row r="86" spans="1:6" ht="14.25" customHeight="1" x14ac:dyDescent="0.25">
      <c r="A86" s="15" t="s">
        <v>226</v>
      </c>
      <c r="B86" s="27">
        <v>1201</v>
      </c>
      <c r="C86" s="27">
        <v>141846</v>
      </c>
      <c r="D86" s="28">
        <v>44767</v>
      </c>
      <c r="E86" s="29">
        <v>6</v>
      </c>
      <c r="F86" s="15" t="str">
        <f t="shared" si="1"/>
        <v>1201-141846-44767</v>
      </c>
    </row>
    <row r="87" spans="1:6" ht="14.25" customHeight="1" x14ac:dyDescent="0.25">
      <c r="A87" s="15" t="s">
        <v>227</v>
      </c>
      <c r="B87" s="27">
        <v>1201</v>
      </c>
      <c r="C87" s="27">
        <v>141846</v>
      </c>
      <c r="D87" s="28">
        <v>44774</v>
      </c>
      <c r="E87" s="29">
        <v>10</v>
      </c>
      <c r="F87" s="15" t="str">
        <f t="shared" si="1"/>
        <v>1201-141846-44774</v>
      </c>
    </row>
    <row r="88" spans="1:6" ht="14.25" customHeight="1" x14ac:dyDescent="0.25">
      <c r="A88" s="15" t="s">
        <v>228</v>
      </c>
      <c r="B88" s="27">
        <v>1201</v>
      </c>
      <c r="C88" s="27">
        <v>141846</v>
      </c>
      <c r="D88" s="28">
        <v>44781</v>
      </c>
      <c r="E88" s="29">
        <v>24</v>
      </c>
      <c r="F88" s="15" t="str">
        <f t="shared" si="1"/>
        <v>1201-141846-44781</v>
      </c>
    </row>
    <row r="89" spans="1:6" ht="14.25" customHeight="1" x14ac:dyDescent="0.25">
      <c r="A89" s="15" t="s">
        <v>229</v>
      </c>
      <c r="B89" s="27">
        <v>1201</v>
      </c>
      <c r="C89" s="27">
        <v>141846</v>
      </c>
      <c r="D89" s="28">
        <v>44788</v>
      </c>
      <c r="E89" s="29">
        <v>8</v>
      </c>
      <c r="F89" s="15" t="str">
        <f t="shared" si="1"/>
        <v>1201-141846-44788</v>
      </c>
    </row>
    <row r="90" spans="1:6" ht="14.25" customHeight="1" x14ac:dyDescent="0.25">
      <c r="A90" s="15" t="s">
        <v>230</v>
      </c>
      <c r="B90" s="27">
        <v>1201</v>
      </c>
      <c r="C90" s="27">
        <v>141967</v>
      </c>
      <c r="D90" s="28">
        <v>44739</v>
      </c>
      <c r="E90" s="29">
        <v>109</v>
      </c>
      <c r="F90" s="15" t="str">
        <f t="shared" si="1"/>
        <v>1201-141967-44739</v>
      </c>
    </row>
    <row r="91" spans="1:6" ht="14.25" customHeight="1" x14ac:dyDescent="0.25">
      <c r="A91" s="15" t="s">
        <v>231</v>
      </c>
      <c r="B91" s="27">
        <v>1201</v>
      </c>
      <c r="C91" s="27">
        <v>141967</v>
      </c>
      <c r="D91" s="28">
        <v>44746</v>
      </c>
      <c r="E91" s="29">
        <v>148</v>
      </c>
      <c r="F91" s="15" t="str">
        <f t="shared" si="1"/>
        <v>1201-141967-44746</v>
      </c>
    </row>
    <row r="92" spans="1:6" ht="14.25" customHeight="1" x14ac:dyDescent="0.25">
      <c r="A92" s="15" t="s">
        <v>232</v>
      </c>
      <c r="B92" s="27">
        <v>1201</v>
      </c>
      <c r="C92" s="27">
        <v>141967</v>
      </c>
      <c r="D92" s="28">
        <v>44753</v>
      </c>
      <c r="E92" s="29">
        <v>113</v>
      </c>
      <c r="F92" s="15" t="str">
        <f t="shared" si="1"/>
        <v>1201-141967-44753</v>
      </c>
    </row>
    <row r="93" spans="1:6" ht="14.25" customHeight="1" x14ac:dyDescent="0.25">
      <c r="A93" s="15" t="s">
        <v>233</v>
      </c>
      <c r="B93" s="27">
        <v>1201</v>
      </c>
      <c r="C93" s="27">
        <v>141967</v>
      </c>
      <c r="D93" s="28">
        <v>44760</v>
      </c>
      <c r="E93" s="29">
        <v>36</v>
      </c>
      <c r="F93" s="15" t="str">
        <f t="shared" si="1"/>
        <v>1201-141967-44760</v>
      </c>
    </row>
    <row r="94" spans="1:6" ht="14.25" customHeight="1" x14ac:dyDescent="0.25">
      <c r="A94" s="15" t="s">
        <v>234</v>
      </c>
      <c r="B94" s="27">
        <v>1201</v>
      </c>
      <c r="C94" s="27">
        <v>141967</v>
      </c>
      <c r="D94" s="28">
        <v>44767</v>
      </c>
      <c r="E94" s="29">
        <v>125</v>
      </c>
      <c r="F94" s="15" t="str">
        <f t="shared" si="1"/>
        <v>1201-141967-44767</v>
      </c>
    </row>
    <row r="95" spans="1:6" ht="14.25" customHeight="1" x14ac:dyDescent="0.25">
      <c r="A95" s="15" t="s">
        <v>235</v>
      </c>
      <c r="B95" s="27">
        <v>1201</v>
      </c>
      <c r="C95" s="27">
        <v>141967</v>
      </c>
      <c r="D95" s="28">
        <v>44774</v>
      </c>
      <c r="E95" s="29">
        <v>147</v>
      </c>
      <c r="F95" s="15" t="str">
        <f t="shared" si="1"/>
        <v>1201-141967-44774</v>
      </c>
    </row>
    <row r="96" spans="1:6" ht="14.25" customHeight="1" x14ac:dyDescent="0.25">
      <c r="A96" s="15" t="s">
        <v>236</v>
      </c>
      <c r="B96" s="27">
        <v>1201</v>
      </c>
      <c r="C96" s="27">
        <v>141967</v>
      </c>
      <c r="D96" s="28">
        <v>44781</v>
      </c>
      <c r="E96" s="29">
        <v>50</v>
      </c>
      <c r="F96" s="15" t="str">
        <f t="shared" si="1"/>
        <v>1201-141967-44781</v>
      </c>
    </row>
    <row r="97" spans="1:6" ht="14.25" customHeight="1" x14ac:dyDescent="0.25">
      <c r="A97" s="15" t="s">
        <v>237</v>
      </c>
      <c r="B97" s="27">
        <v>1201</v>
      </c>
      <c r="C97" s="27">
        <v>141967</v>
      </c>
      <c r="D97" s="28">
        <v>44788</v>
      </c>
      <c r="E97" s="29">
        <v>72</v>
      </c>
      <c r="F97" s="15" t="str">
        <f t="shared" si="1"/>
        <v>1201-141967-44788</v>
      </c>
    </row>
    <row r="98" spans="1:6" ht="14.25" customHeight="1" x14ac:dyDescent="0.25">
      <c r="A98" s="15" t="s">
        <v>238</v>
      </c>
      <c r="B98" s="27">
        <v>1201</v>
      </c>
      <c r="C98" s="27">
        <v>142194</v>
      </c>
      <c r="D98" s="28">
        <v>44739</v>
      </c>
      <c r="E98" s="29">
        <v>59</v>
      </c>
      <c r="F98" s="15" t="str">
        <f t="shared" si="1"/>
        <v>1201-142194-44739</v>
      </c>
    </row>
    <row r="99" spans="1:6" ht="14.25" customHeight="1" x14ac:dyDescent="0.25">
      <c r="A99" s="15" t="s">
        <v>239</v>
      </c>
      <c r="B99" s="27">
        <v>1201</v>
      </c>
      <c r="C99" s="27">
        <v>142194</v>
      </c>
      <c r="D99" s="28">
        <v>44746</v>
      </c>
      <c r="E99" s="29">
        <v>52</v>
      </c>
      <c r="F99" s="15" t="str">
        <f t="shared" si="1"/>
        <v>1201-142194-44746</v>
      </c>
    </row>
    <row r="100" spans="1:6" ht="14.25" customHeight="1" x14ac:dyDescent="0.25">
      <c r="A100" s="15" t="s">
        <v>240</v>
      </c>
      <c r="B100" s="27">
        <v>1201</v>
      </c>
      <c r="C100" s="27">
        <v>142194</v>
      </c>
      <c r="D100" s="28">
        <v>44753</v>
      </c>
      <c r="E100" s="29">
        <v>77</v>
      </c>
      <c r="F100" s="15" t="str">
        <f t="shared" si="1"/>
        <v>1201-142194-44753</v>
      </c>
    </row>
    <row r="101" spans="1:6" ht="14.25" customHeight="1" x14ac:dyDescent="0.25">
      <c r="A101" s="15" t="s">
        <v>241</v>
      </c>
      <c r="B101" s="27">
        <v>1201</v>
      </c>
      <c r="C101" s="27">
        <v>142194</v>
      </c>
      <c r="D101" s="28">
        <v>44760</v>
      </c>
      <c r="E101" s="29">
        <v>66</v>
      </c>
      <c r="F101" s="15" t="str">
        <f t="shared" si="1"/>
        <v>1201-142194-44760</v>
      </c>
    </row>
    <row r="102" spans="1:6" ht="14.25" customHeight="1" x14ac:dyDescent="0.25">
      <c r="A102" s="15" t="s">
        <v>242</v>
      </c>
      <c r="B102" s="27">
        <v>1201</v>
      </c>
      <c r="C102" s="27">
        <v>142194</v>
      </c>
      <c r="D102" s="28">
        <v>44767</v>
      </c>
      <c r="E102" s="29">
        <v>81</v>
      </c>
      <c r="F102" s="15" t="str">
        <f t="shared" si="1"/>
        <v>1201-142194-44767</v>
      </c>
    </row>
    <row r="103" spans="1:6" ht="14.25" customHeight="1" x14ac:dyDescent="0.25">
      <c r="A103" s="15" t="s">
        <v>243</v>
      </c>
      <c r="B103" s="27">
        <v>1201</v>
      </c>
      <c r="C103" s="27">
        <v>142194</v>
      </c>
      <c r="D103" s="28">
        <v>44774</v>
      </c>
      <c r="E103" s="29">
        <v>29</v>
      </c>
      <c r="F103" s="15" t="str">
        <f t="shared" si="1"/>
        <v>1201-142194-44774</v>
      </c>
    </row>
    <row r="104" spans="1:6" ht="14.25" customHeight="1" x14ac:dyDescent="0.25">
      <c r="A104" s="15" t="s">
        <v>244</v>
      </c>
      <c r="B104" s="27">
        <v>1201</v>
      </c>
      <c r="C104" s="27">
        <v>142194</v>
      </c>
      <c r="D104" s="28">
        <v>44781</v>
      </c>
      <c r="E104" s="29">
        <v>39</v>
      </c>
      <c r="F104" s="15" t="str">
        <f t="shared" si="1"/>
        <v>1201-142194-44781</v>
      </c>
    </row>
    <row r="105" spans="1:6" ht="14.25" customHeight="1" x14ac:dyDescent="0.25">
      <c r="A105" s="15" t="s">
        <v>245</v>
      </c>
      <c r="B105" s="27">
        <v>1201</v>
      </c>
      <c r="C105" s="27">
        <v>142194</v>
      </c>
      <c r="D105" s="28">
        <v>44788</v>
      </c>
      <c r="E105" s="29">
        <v>39</v>
      </c>
      <c r="F105" s="15" t="str">
        <f t="shared" si="1"/>
        <v>1201-142194-44788</v>
      </c>
    </row>
    <row r="106" spans="1:6" ht="14.25" customHeight="1" x14ac:dyDescent="0.25">
      <c r="A106" s="15" t="s">
        <v>246</v>
      </c>
      <c r="B106" s="27">
        <v>1201</v>
      </c>
      <c r="C106" s="27">
        <v>149729</v>
      </c>
      <c r="D106" s="28">
        <v>44739</v>
      </c>
      <c r="E106" s="29">
        <v>934</v>
      </c>
      <c r="F106" s="15" t="str">
        <f t="shared" si="1"/>
        <v>1201-149729-44739</v>
      </c>
    </row>
    <row r="107" spans="1:6" ht="14.25" customHeight="1" x14ac:dyDescent="0.25">
      <c r="A107" s="15" t="s">
        <v>247</v>
      </c>
      <c r="B107" s="27">
        <v>1201</v>
      </c>
      <c r="C107" s="27">
        <v>149729</v>
      </c>
      <c r="D107" s="28">
        <v>44746</v>
      </c>
      <c r="E107" s="29">
        <v>276</v>
      </c>
      <c r="F107" s="15" t="str">
        <f t="shared" si="1"/>
        <v>1201-149729-44746</v>
      </c>
    </row>
    <row r="108" spans="1:6" ht="14.25" customHeight="1" x14ac:dyDescent="0.25">
      <c r="A108" s="15" t="s">
        <v>248</v>
      </c>
      <c r="B108" s="27">
        <v>1201</v>
      </c>
      <c r="C108" s="27">
        <v>149729</v>
      </c>
      <c r="D108" s="28">
        <v>44753</v>
      </c>
      <c r="E108" s="29">
        <v>1032</v>
      </c>
      <c r="F108" s="15" t="str">
        <f t="shared" si="1"/>
        <v>1201-149729-44753</v>
      </c>
    </row>
    <row r="109" spans="1:6" ht="14.25" customHeight="1" x14ac:dyDescent="0.25">
      <c r="A109" s="15" t="s">
        <v>249</v>
      </c>
      <c r="B109" s="27">
        <v>1201</v>
      </c>
      <c r="C109" s="27">
        <v>149729</v>
      </c>
      <c r="D109" s="28">
        <v>44760</v>
      </c>
      <c r="E109" s="29">
        <v>280</v>
      </c>
      <c r="F109" s="15" t="str">
        <f t="shared" si="1"/>
        <v>1201-149729-44760</v>
      </c>
    </row>
    <row r="110" spans="1:6" ht="14.25" customHeight="1" x14ac:dyDescent="0.25">
      <c r="A110" s="15" t="s">
        <v>250</v>
      </c>
      <c r="B110" s="27">
        <v>1201</v>
      </c>
      <c r="C110" s="27">
        <v>149729</v>
      </c>
      <c r="D110" s="28">
        <v>44767</v>
      </c>
      <c r="E110" s="29">
        <v>270</v>
      </c>
      <c r="F110" s="15" t="str">
        <f t="shared" si="1"/>
        <v>1201-149729-44767</v>
      </c>
    </row>
    <row r="111" spans="1:6" ht="14.25" customHeight="1" x14ac:dyDescent="0.25">
      <c r="A111" s="15" t="s">
        <v>251</v>
      </c>
      <c r="B111" s="27">
        <v>1201</v>
      </c>
      <c r="C111" s="27">
        <v>149729</v>
      </c>
      <c r="D111" s="28">
        <v>44774</v>
      </c>
      <c r="E111" s="29">
        <v>876</v>
      </c>
      <c r="F111" s="15" t="str">
        <f t="shared" si="1"/>
        <v>1201-149729-44774</v>
      </c>
    </row>
    <row r="112" spans="1:6" ht="14.25" customHeight="1" x14ac:dyDescent="0.25">
      <c r="A112" s="15" t="s">
        <v>252</v>
      </c>
      <c r="B112" s="27">
        <v>1201</v>
      </c>
      <c r="C112" s="27">
        <v>149729</v>
      </c>
      <c r="D112" s="28">
        <v>44781</v>
      </c>
      <c r="E112" s="29">
        <v>813</v>
      </c>
      <c r="F112" s="15" t="str">
        <f t="shared" si="1"/>
        <v>1201-149729-44781</v>
      </c>
    </row>
    <row r="113" spans="1:6" ht="14.25" customHeight="1" x14ac:dyDescent="0.25">
      <c r="A113" s="15" t="s">
        <v>253</v>
      </c>
      <c r="B113" s="27">
        <v>1201</v>
      </c>
      <c r="C113" s="27">
        <v>149729</v>
      </c>
      <c r="D113" s="28">
        <v>44788</v>
      </c>
      <c r="E113" s="29">
        <v>212</v>
      </c>
      <c r="F113" s="15" t="str">
        <f t="shared" si="1"/>
        <v>1201-149729-44788</v>
      </c>
    </row>
    <row r="114" spans="1:6" ht="14.25" customHeight="1" x14ac:dyDescent="0.25">
      <c r="A114" s="15" t="s">
        <v>254</v>
      </c>
      <c r="B114" s="27">
        <v>1201</v>
      </c>
      <c r="C114" s="27">
        <v>149779</v>
      </c>
      <c r="D114" s="28">
        <v>44739</v>
      </c>
      <c r="E114" s="29">
        <v>1101</v>
      </c>
      <c r="F114" s="15" t="str">
        <f t="shared" si="1"/>
        <v>1201-149779-44739</v>
      </c>
    </row>
    <row r="115" spans="1:6" ht="14.25" customHeight="1" x14ac:dyDescent="0.25">
      <c r="A115" s="15" t="s">
        <v>255</v>
      </c>
      <c r="B115" s="27">
        <v>1201</v>
      </c>
      <c r="C115" s="27">
        <v>149779</v>
      </c>
      <c r="D115" s="28">
        <v>44746</v>
      </c>
      <c r="E115" s="29">
        <v>1479</v>
      </c>
      <c r="F115" s="15" t="str">
        <f t="shared" si="1"/>
        <v>1201-149779-44746</v>
      </c>
    </row>
    <row r="116" spans="1:6" ht="14.25" customHeight="1" x14ac:dyDescent="0.25">
      <c r="A116" s="15" t="s">
        <v>256</v>
      </c>
      <c r="B116" s="27">
        <v>1201</v>
      </c>
      <c r="C116" s="27">
        <v>149779</v>
      </c>
      <c r="D116" s="28">
        <v>44753</v>
      </c>
      <c r="E116" s="29">
        <v>1246</v>
      </c>
      <c r="F116" s="15" t="str">
        <f t="shared" si="1"/>
        <v>1201-149779-44753</v>
      </c>
    </row>
    <row r="117" spans="1:6" ht="14.25" customHeight="1" x14ac:dyDescent="0.25">
      <c r="A117" s="15" t="s">
        <v>257</v>
      </c>
      <c r="B117" s="27">
        <v>1201</v>
      </c>
      <c r="C117" s="27">
        <v>149779</v>
      </c>
      <c r="D117" s="28">
        <v>44760</v>
      </c>
      <c r="E117" s="29">
        <v>949</v>
      </c>
      <c r="F117" s="15" t="str">
        <f t="shared" si="1"/>
        <v>1201-149779-44760</v>
      </c>
    </row>
    <row r="118" spans="1:6" ht="14.25" customHeight="1" x14ac:dyDescent="0.25">
      <c r="A118" s="15" t="s">
        <v>258</v>
      </c>
      <c r="B118" s="27">
        <v>1201</v>
      </c>
      <c r="C118" s="27">
        <v>149779</v>
      </c>
      <c r="D118" s="28">
        <v>44767</v>
      </c>
      <c r="E118" s="29">
        <v>1134</v>
      </c>
      <c r="F118" s="15" t="str">
        <f t="shared" si="1"/>
        <v>1201-149779-44767</v>
      </c>
    </row>
    <row r="119" spans="1:6" ht="14.25" customHeight="1" x14ac:dyDescent="0.25">
      <c r="A119" s="15" t="s">
        <v>259</v>
      </c>
      <c r="B119" s="27">
        <v>1201</v>
      </c>
      <c r="C119" s="27">
        <v>149779</v>
      </c>
      <c r="D119" s="28">
        <v>44774</v>
      </c>
      <c r="E119" s="29">
        <v>308</v>
      </c>
      <c r="F119" s="15" t="str">
        <f t="shared" si="1"/>
        <v>1201-149779-44774</v>
      </c>
    </row>
    <row r="120" spans="1:6" ht="14.25" customHeight="1" x14ac:dyDescent="0.25">
      <c r="A120" s="15" t="s">
        <v>260</v>
      </c>
      <c r="B120" s="27">
        <v>1201</v>
      </c>
      <c r="C120" s="27">
        <v>149779</v>
      </c>
      <c r="D120" s="28">
        <v>44781</v>
      </c>
      <c r="E120" s="29">
        <v>304</v>
      </c>
      <c r="F120" s="15" t="str">
        <f t="shared" si="1"/>
        <v>1201-149779-44781</v>
      </c>
    </row>
    <row r="121" spans="1:6" ht="14.25" customHeight="1" x14ac:dyDescent="0.25">
      <c r="A121" s="15" t="s">
        <v>261</v>
      </c>
      <c r="B121" s="27">
        <v>1201</v>
      </c>
      <c r="C121" s="27">
        <v>149779</v>
      </c>
      <c r="D121" s="28">
        <v>44788</v>
      </c>
      <c r="E121" s="29">
        <v>303</v>
      </c>
      <c r="F121" s="15" t="str">
        <f t="shared" si="1"/>
        <v>1201-149779-44788</v>
      </c>
    </row>
    <row r="122" spans="1:6" ht="14.25" customHeight="1" x14ac:dyDescent="0.25">
      <c r="A122" s="15" t="s">
        <v>262</v>
      </c>
      <c r="B122" s="27">
        <v>1201</v>
      </c>
      <c r="C122" s="27">
        <v>189933</v>
      </c>
      <c r="D122" s="28">
        <v>44739</v>
      </c>
      <c r="E122" s="29">
        <v>96</v>
      </c>
      <c r="F122" s="15" t="str">
        <f t="shared" si="1"/>
        <v>1201-189933-44739</v>
      </c>
    </row>
    <row r="123" spans="1:6" ht="14.25" customHeight="1" x14ac:dyDescent="0.25">
      <c r="A123" s="15" t="s">
        <v>263</v>
      </c>
      <c r="B123" s="27">
        <v>1201</v>
      </c>
      <c r="C123" s="27">
        <v>189933</v>
      </c>
      <c r="D123" s="28">
        <v>44746</v>
      </c>
      <c r="E123" s="29">
        <v>42</v>
      </c>
      <c r="F123" s="15" t="str">
        <f t="shared" si="1"/>
        <v>1201-189933-44746</v>
      </c>
    </row>
    <row r="124" spans="1:6" ht="14.25" customHeight="1" x14ac:dyDescent="0.25">
      <c r="A124" s="15" t="s">
        <v>264</v>
      </c>
      <c r="B124" s="27">
        <v>1201</v>
      </c>
      <c r="C124" s="27">
        <v>189933</v>
      </c>
      <c r="D124" s="28">
        <v>44753</v>
      </c>
      <c r="E124" s="29">
        <v>100</v>
      </c>
      <c r="F124" s="15" t="str">
        <f t="shared" si="1"/>
        <v>1201-189933-44753</v>
      </c>
    </row>
    <row r="125" spans="1:6" ht="14.25" customHeight="1" x14ac:dyDescent="0.25">
      <c r="A125" s="15" t="s">
        <v>265</v>
      </c>
      <c r="B125" s="27">
        <v>1201</v>
      </c>
      <c r="C125" s="27">
        <v>189933</v>
      </c>
      <c r="D125" s="28">
        <v>44760</v>
      </c>
      <c r="E125" s="29">
        <v>43</v>
      </c>
      <c r="F125" s="15" t="str">
        <f t="shared" si="1"/>
        <v>1201-189933-44760</v>
      </c>
    </row>
    <row r="126" spans="1:6" ht="14.25" customHeight="1" x14ac:dyDescent="0.25">
      <c r="A126" s="15" t="s">
        <v>266</v>
      </c>
      <c r="B126" s="27">
        <v>1201</v>
      </c>
      <c r="C126" s="27">
        <v>189933</v>
      </c>
      <c r="D126" s="28">
        <v>44767</v>
      </c>
      <c r="E126" s="29">
        <v>88</v>
      </c>
      <c r="F126" s="15" t="str">
        <f t="shared" si="1"/>
        <v>1201-189933-44767</v>
      </c>
    </row>
    <row r="127" spans="1:6" ht="14.25" customHeight="1" x14ac:dyDescent="0.25">
      <c r="A127" s="15" t="s">
        <v>267</v>
      </c>
      <c r="B127" s="27">
        <v>1201</v>
      </c>
      <c r="C127" s="27">
        <v>189933</v>
      </c>
      <c r="D127" s="28">
        <v>44774</v>
      </c>
      <c r="E127" s="29">
        <v>88</v>
      </c>
      <c r="F127" s="15" t="str">
        <f t="shared" si="1"/>
        <v>1201-189933-44774</v>
      </c>
    </row>
    <row r="128" spans="1:6" ht="14.25" customHeight="1" x14ac:dyDescent="0.25">
      <c r="A128" s="15" t="s">
        <v>268</v>
      </c>
      <c r="B128" s="27">
        <v>1201</v>
      </c>
      <c r="C128" s="27">
        <v>189933</v>
      </c>
      <c r="D128" s="28">
        <v>44781</v>
      </c>
      <c r="E128" s="29">
        <v>38</v>
      </c>
      <c r="F128" s="15" t="str">
        <f t="shared" si="1"/>
        <v>1201-189933-44781</v>
      </c>
    </row>
    <row r="129" spans="1:6" ht="14.25" customHeight="1" x14ac:dyDescent="0.25">
      <c r="A129" s="15" t="s">
        <v>269</v>
      </c>
      <c r="B129" s="27">
        <v>1201</v>
      </c>
      <c r="C129" s="27">
        <v>189933</v>
      </c>
      <c r="D129" s="28">
        <v>44788</v>
      </c>
      <c r="E129" s="29">
        <v>38</v>
      </c>
      <c r="F129" s="15" t="str">
        <f t="shared" si="1"/>
        <v>1201-189933-44788</v>
      </c>
    </row>
    <row r="130" spans="1:6" ht="14.25" customHeight="1" x14ac:dyDescent="0.25">
      <c r="A130" s="15" t="s">
        <v>270</v>
      </c>
      <c r="B130" s="27">
        <v>1201</v>
      </c>
      <c r="C130" s="27">
        <v>202577</v>
      </c>
      <c r="D130" s="28">
        <v>44739</v>
      </c>
      <c r="E130" s="29">
        <v>714</v>
      </c>
      <c r="F130" s="15" t="str">
        <f t="shared" si="1"/>
        <v>1201-202577-44739</v>
      </c>
    </row>
    <row r="131" spans="1:6" ht="14.25" customHeight="1" x14ac:dyDescent="0.25">
      <c r="A131" s="15" t="s">
        <v>271</v>
      </c>
      <c r="B131" s="27">
        <v>1201</v>
      </c>
      <c r="C131" s="27">
        <v>202577</v>
      </c>
      <c r="D131" s="28">
        <v>44746</v>
      </c>
      <c r="E131" s="29">
        <v>208</v>
      </c>
      <c r="F131" s="15" t="str">
        <f t="shared" ref="F131:F194" si="2">B131&amp;"-"&amp;C131&amp;"-"&amp;INT(D131)</f>
        <v>1201-202577-44746</v>
      </c>
    </row>
    <row r="132" spans="1:6" ht="14.25" customHeight="1" x14ac:dyDescent="0.25">
      <c r="A132" s="15" t="s">
        <v>272</v>
      </c>
      <c r="B132" s="27">
        <v>1201</v>
      </c>
      <c r="C132" s="27">
        <v>202577</v>
      </c>
      <c r="D132" s="28">
        <v>44753</v>
      </c>
      <c r="E132" s="29">
        <v>498</v>
      </c>
      <c r="F132" s="15" t="str">
        <f t="shared" si="2"/>
        <v>1201-202577-44753</v>
      </c>
    </row>
    <row r="133" spans="1:6" ht="14.25" customHeight="1" x14ac:dyDescent="0.25">
      <c r="A133" s="15" t="s">
        <v>273</v>
      </c>
      <c r="B133" s="27">
        <v>1201</v>
      </c>
      <c r="C133" s="27">
        <v>202577</v>
      </c>
      <c r="D133" s="28">
        <v>44760</v>
      </c>
      <c r="E133" s="29">
        <v>119</v>
      </c>
      <c r="F133" s="15" t="str">
        <f t="shared" si="2"/>
        <v>1201-202577-44760</v>
      </c>
    </row>
    <row r="134" spans="1:6" ht="14.25" customHeight="1" x14ac:dyDescent="0.25">
      <c r="A134" s="15" t="s">
        <v>274</v>
      </c>
      <c r="B134" s="27">
        <v>1201</v>
      </c>
      <c r="C134" s="27">
        <v>202577</v>
      </c>
      <c r="D134" s="28">
        <v>44767</v>
      </c>
      <c r="E134" s="29">
        <v>126</v>
      </c>
      <c r="F134" s="15" t="str">
        <f t="shared" si="2"/>
        <v>1201-202577-44767</v>
      </c>
    </row>
    <row r="135" spans="1:6" ht="14.25" customHeight="1" x14ac:dyDescent="0.25">
      <c r="A135" s="15" t="s">
        <v>275</v>
      </c>
      <c r="B135" s="27">
        <v>1201</v>
      </c>
      <c r="C135" s="27">
        <v>202577</v>
      </c>
      <c r="D135" s="28">
        <v>44774</v>
      </c>
      <c r="E135" s="29">
        <v>795</v>
      </c>
      <c r="F135" s="15" t="str">
        <f t="shared" si="2"/>
        <v>1201-202577-44774</v>
      </c>
    </row>
    <row r="136" spans="1:6" ht="14.25" customHeight="1" x14ac:dyDescent="0.25">
      <c r="A136" s="15" t="s">
        <v>276</v>
      </c>
      <c r="B136" s="27">
        <v>1201</v>
      </c>
      <c r="C136" s="27">
        <v>202577</v>
      </c>
      <c r="D136" s="28">
        <v>44781</v>
      </c>
      <c r="E136" s="29">
        <v>606</v>
      </c>
      <c r="F136" s="15" t="str">
        <f t="shared" si="2"/>
        <v>1201-202577-44781</v>
      </c>
    </row>
    <row r="137" spans="1:6" ht="14.25" customHeight="1" x14ac:dyDescent="0.25">
      <c r="A137" s="15" t="s">
        <v>277</v>
      </c>
      <c r="B137" s="27">
        <v>1201</v>
      </c>
      <c r="C137" s="27">
        <v>202577</v>
      </c>
      <c r="D137" s="28">
        <v>44788</v>
      </c>
      <c r="E137" s="29">
        <v>238</v>
      </c>
      <c r="F137" s="15" t="str">
        <f t="shared" si="2"/>
        <v>1201-202577-44788</v>
      </c>
    </row>
    <row r="138" spans="1:6" ht="14.25" customHeight="1" x14ac:dyDescent="0.25">
      <c r="A138" s="15" t="s">
        <v>278</v>
      </c>
      <c r="B138" s="27">
        <v>1201</v>
      </c>
      <c r="C138" s="27">
        <v>234334</v>
      </c>
      <c r="D138" s="28">
        <v>44739</v>
      </c>
      <c r="E138" s="29">
        <v>8</v>
      </c>
      <c r="F138" s="15" t="str">
        <f t="shared" si="2"/>
        <v>1201-234334-44739</v>
      </c>
    </row>
    <row r="139" spans="1:6" ht="14.25" customHeight="1" x14ac:dyDescent="0.25">
      <c r="A139" s="15" t="s">
        <v>279</v>
      </c>
      <c r="B139" s="27">
        <v>1201</v>
      </c>
      <c r="C139" s="27">
        <v>234334</v>
      </c>
      <c r="D139" s="28">
        <v>44746</v>
      </c>
      <c r="E139" s="29">
        <v>59</v>
      </c>
      <c r="F139" s="15" t="str">
        <f t="shared" si="2"/>
        <v>1201-234334-44746</v>
      </c>
    </row>
    <row r="140" spans="1:6" ht="14.25" customHeight="1" x14ac:dyDescent="0.25">
      <c r="A140" s="15" t="s">
        <v>280</v>
      </c>
      <c r="B140" s="27">
        <v>1201</v>
      </c>
      <c r="C140" s="27">
        <v>234334</v>
      </c>
      <c r="D140" s="28">
        <v>44753</v>
      </c>
      <c r="E140" s="29">
        <v>8</v>
      </c>
      <c r="F140" s="15" t="str">
        <f t="shared" si="2"/>
        <v>1201-234334-44753</v>
      </c>
    </row>
    <row r="141" spans="1:6" ht="14.25" customHeight="1" x14ac:dyDescent="0.25">
      <c r="A141" s="15" t="s">
        <v>281</v>
      </c>
      <c r="B141" s="27">
        <v>1201</v>
      </c>
      <c r="C141" s="27">
        <v>234334</v>
      </c>
      <c r="D141" s="28">
        <v>44760</v>
      </c>
      <c r="E141" s="29">
        <v>37</v>
      </c>
      <c r="F141" s="15" t="str">
        <f t="shared" si="2"/>
        <v>1201-234334-44760</v>
      </c>
    </row>
    <row r="142" spans="1:6" ht="14.25" customHeight="1" x14ac:dyDescent="0.25">
      <c r="A142" s="15" t="s">
        <v>282</v>
      </c>
      <c r="B142" s="27">
        <v>1201</v>
      </c>
      <c r="C142" s="27">
        <v>234334</v>
      </c>
      <c r="D142" s="28">
        <v>44767</v>
      </c>
      <c r="E142" s="29">
        <v>65</v>
      </c>
      <c r="F142" s="15" t="str">
        <f t="shared" si="2"/>
        <v>1201-234334-44767</v>
      </c>
    </row>
    <row r="143" spans="1:6" ht="14.25" customHeight="1" x14ac:dyDescent="0.25">
      <c r="A143" s="15" t="s">
        <v>283</v>
      </c>
      <c r="B143" s="27">
        <v>1201</v>
      </c>
      <c r="C143" s="27">
        <v>234334</v>
      </c>
      <c r="D143" s="28">
        <v>44774</v>
      </c>
      <c r="E143" s="29">
        <v>41</v>
      </c>
      <c r="F143" s="15" t="str">
        <f t="shared" si="2"/>
        <v>1201-234334-44774</v>
      </c>
    </row>
    <row r="144" spans="1:6" ht="14.25" customHeight="1" x14ac:dyDescent="0.25">
      <c r="A144" s="15" t="s">
        <v>284</v>
      </c>
      <c r="B144" s="27">
        <v>1201</v>
      </c>
      <c r="C144" s="27">
        <v>234334</v>
      </c>
      <c r="D144" s="28">
        <v>44781</v>
      </c>
      <c r="E144" s="29">
        <v>42</v>
      </c>
      <c r="F144" s="15" t="str">
        <f t="shared" si="2"/>
        <v>1201-234334-44781</v>
      </c>
    </row>
    <row r="145" spans="1:6" ht="14.25" customHeight="1" x14ac:dyDescent="0.25">
      <c r="A145" s="15" t="s">
        <v>285</v>
      </c>
      <c r="B145" s="27">
        <v>1201</v>
      </c>
      <c r="C145" s="27">
        <v>234334</v>
      </c>
      <c r="D145" s="28">
        <v>44788</v>
      </c>
      <c r="E145" s="29">
        <v>52</v>
      </c>
      <c r="F145" s="15" t="str">
        <f t="shared" si="2"/>
        <v>1201-234334-44788</v>
      </c>
    </row>
    <row r="146" spans="1:6" ht="14.25" customHeight="1" x14ac:dyDescent="0.25">
      <c r="A146" s="15" t="s">
        <v>286</v>
      </c>
      <c r="B146" s="27">
        <v>1201</v>
      </c>
      <c r="C146" s="27">
        <v>249444</v>
      </c>
      <c r="D146" s="28">
        <v>44739</v>
      </c>
      <c r="E146" s="29">
        <v>3962</v>
      </c>
      <c r="F146" s="15" t="str">
        <f t="shared" si="2"/>
        <v>1201-249444-44739</v>
      </c>
    </row>
    <row r="147" spans="1:6" ht="14.25" customHeight="1" x14ac:dyDescent="0.25">
      <c r="A147" s="15" t="s">
        <v>287</v>
      </c>
      <c r="B147" s="27">
        <v>1201</v>
      </c>
      <c r="C147" s="27">
        <v>249444</v>
      </c>
      <c r="D147" s="28">
        <v>44746</v>
      </c>
      <c r="E147" s="29">
        <v>2153</v>
      </c>
      <c r="F147" s="15" t="str">
        <f t="shared" si="2"/>
        <v>1201-249444-44746</v>
      </c>
    </row>
    <row r="148" spans="1:6" ht="14.25" customHeight="1" x14ac:dyDescent="0.25">
      <c r="A148" s="15" t="s">
        <v>288</v>
      </c>
      <c r="B148" s="27">
        <v>1201</v>
      </c>
      <c r="C148" s="27">
        <v>249444</v>
      </c>
      <c r="D148" s="28">
        <v>44753</v>
      </c>
      <c r="E148" s="29">
        <v>3511</v>
      </c>
      <c r="F148" s="15" t="str">
        <f t="shared" si="2"/>
        <v>1201-249444-44753</v>
      </c>
    </row>
    <row r="149" spans="1:6" ht="14.25" customHeight="1" x14ac:dyDescent="0.25">
      <c r="A149" s="15" t="s">
        <v>289</v>
      </c>
      <c r="B149" s="27">
        <v>1201</v>
      </c>
      <c r="C149" s="27">
        <v>249444</v>
      </c>
      <c r="D149" s="28">
        <v>44760</v>
      </c>
      <c r="E149" s="29">
        <v>4847</v>
      </c>
      <c r="F149" s="15" t="str">
        <f t="shared" si="2"/>
        <v>1201-249444-44760</v>
      </c>
    </row>
    <row r="150" spans="1:6" ht="14.25" customHeight="1" x14ac:dyDescent="0.25">
      <c r="A150" s="15" t="s">
        <v>290</v>
      </c>
      <c r="B150" s="30">
        <v>1201</v>
      </c>
      <c r="C150" s="27">
        <v>249444</v>
      </c>
      <c r="D150" s="28">
        <v>44767</v>
      </c>
      <c r="E150" s="29">
        <v>1119</v>
      </c>
      <c r="F150" s="15" t="str">
        <f t="shared" si="2"/>
        <v>1201-249444-44767</v>
      </c>
    </row>
    <row r="151" spans="1:6" ht="14.25" customHeight="1" x14ac:dyDescent="0.25">
      <c r="A151" s="15" t="s">
        <v>291</v>
      </c>
      <c r="B151" s="27">
        <v>1201</v>
      </c>
      <c r="C151" s="27">
        <v>249444</v>
      </c>
      <c r="D151" s="28">
        <v>44774</v>
      </c>
      <c r="E151" s="29">
        <v>4012</v>
      </c>
      <c r="F151" s="15" t="str">
        <f t="shared" si="2"/>
        <v>1201-249444-44774</v>
      </c>
    </row>
    <row r="152" spans="1:6" ht="14.25" customHeight="1" x14ac:dyDescent="0.25">
      <c r="A152" s="15" t="s">
        <v>292</v>
      </c>
      <c r="B152" s="27">
        <v>1201</v>
      </c>
      <c r="C152" s="27">
        <v>249444</v>
      </c>
      <c r="D152" s="28">
        <v>44781</v>
      </c>
      <c r="E152" s="29">
        <v>1745</v>
      </c>
      <c r="F152" s="15" t="str">
        <f t="shared" si="2"/>
        <v>1201-249444-44781</v>
      </c>
    </row>
    <row r="153" spans="1:6" ht="14.25" customHeight="1" x14ac:dyDescent="0.25">
      <c r="A153" s="15" t="s">
        <v>293</v>
      </c>
      <c r="B153" s="27">
        <v>1201</v>
      </c>
      <c r="C153" s="27">
        <v>249444</v>
      </c>
      <c r="D153" s="28">
        <v>44788</v>
      </c>
      <c r="E153" s="29">
        <v>1123</v>
      </c>
      <c r="F153" s="15" t="str">
        <f t="shared" si="2"/>
        <v>1201-249444-44788</v>
      </c>
    </row>
    <row r="154" spans="1:6" ht="14.25" customHeight="1" x14ac:dyDescent="0.25">
      <c r="A154" s="15" t="s">
        <v>294</v>
      </c>
      <c r="B154" s="27">
        <v>1201</v>
      </c>
      <c r="C154" s="27">
        <v>249795</v>
      </c>
      <c r="D154" s="28">
        <v>44739</v>
      </c>
      <c r="E154" s="29">
        <v>210</v>
      </c>
      <c r="F154" s="15" t="str">
        <f t="shared" si="2"/>
        <v>1201-249795-44739</v>
      </c>
    </row>
    <row r="155" spans="1:6" ht="14.25" customHeight="1" x14ac:dyDescent="0.25">
      <c r="A155" s="15" t="s">
        <v>295</v>
      </c>
      <c r="B155" s="27">
        <v>1201</v>
      </c>
      <c r="C155" s="27">
        <v>249795</v>
      </c>
      <c r="D155" s="28">
        <v>44746</v>
      </c>
      <c r="E155" s="29">
        <v>44</v>
      </c>
      <c r="F155" s="15" t="str">
        <f t="shared" si="2"/>
        <v>1201-249795-44746</v>
      </c>
    </row>
    <row r="156" spans="1:6" ht="14.25" customHeight="1" x14ac:dyDescent="0.25">
      <c r="A156" s="15" t="s">
        <v>296</v>
      </c>
      <c r="B156" s="27">
        <v>1201</v>
      </c>
      <c r="C156" s="27">
        <v>249795</v>
      </c>
      <c r="D156" s="28">
        <v>44753</v>
      </c>
      <c r="E156" s="29">
        <v>132</v>
      </c>
      <c r="F156" s="15" t="str">
        <f t="shared" si="2"/>
        <v>1201-249795-44753</v>
      </c>
    </row>
    <row r="157" spans="1:6" ht="14.25" customHeight="1" x14ac:dyDescent="0.25">
      <c r="A157" s="15" t="s">
        <v>297</v>
      </c>
      <c r="B157" s="27">
        <v>1201</v>
      </c>
      <c r="C157" s="27">
        <v>249795</v>
      </c>
      <c r="D157" s="28">
        <v>44760</v>
      </c>
      <c r="E157" s="29">
        <v>78</v>
      </c>
      <c r="F157" s="15" t="str">
        <f t="shared" si="2"/>
        <v>1201-249795-44760</v>
      </c>
    </row>
    <row r="158" spans="1:6" ht="14.25" customHeight="1" x14ac:dyDescent="0.25">
      <c r="A158" s="15" t="s">
        <v>298</v>
      </c>
      <c r="B158" s="27">
        <v>1201</v>
      </c>
      <c r="C158" s="27">
        <v>249795</v>
      </c>
      <c r="D158" s="28">
        <v>44767</v>
      </c>
      <c r="E158" s="29">
        <v>190</v>
      </c>
      <c r="F158" s="15" t="str">
        <f t="shared" si="2"/>
        <v>1201-249795-44767</v>
      </c>
    </row>
    <row r="159" spans="1:6" ht="14.25" customHeight="1" x14ac:dyDescent="0.25">
      <c r="A159" s="15" t="s">
        <v>299</v>
      </c>
      <c r="B159" s="27">
        <v>1201</v>
      </c>
      <c r="C159" s="27">
        <v>249795</v>
      </c>
      <c r="D159" s="28">
        <v>44774</v>
      </c>
      <c r="E159" s="29">
        <v>156</v>
      </c>
      <c r="F159" s="15" t="str">
        <f t="shared" si="2"/>
        <v>1201-249795-44774</v>
      </c>
    </row>
    <row r="160" spans="1:6" ht="14.25" customHeight="1" x14ac:dyDescent="0.25">
      <c r="A160" s="15" t="s">
        <v>300</v>
      </c>
      <c r="B160" s="27">
        <v>1201</v>
      </c>
      <c r="C160" s="27">
        <v>249795</v>
      </c>
      <c r="D160" s="28">
        <v>44781</v>
      </c>
      <c r="E160" s="29">
        <v>69</v>
      </c>
      <c r="F160" s="15" t="str">
        <f t="shared" si="2"/>
        <v>1201-249795-44781</v>
      </c>
    </row>
    <row r="161" spans="1:6" ht="14.25" customHeight="1" x14ac:dyDescent="0.25">
      <c r="A161" s="15" t="s">
        <v>301</v>
      </c>
      <c r="B161" s="27">
        <v>1201</v>
      </c>
      <c r="C161" s="27">
        <v>249795</v>
      </c>
      <c r="D161" s="28">
        <v>44788</v>
      </c>
      <c r="E161" s="29">
        <v>169</v>
      </c>
      <c r="F161" s="15" t="str">
        <f t="shared" si="2"/>
        <v>1201-249795-44788</v>
      </c>
    </row>
    <row r="162" spans="1:6" ht="14.25" customHeight="1" x14ac:dyDescent="0.25">
      <c r="A162" s="15" t="s">
        <v>302</v>
      </c>
      <c r="B162" s="27">
        <v>1201</v>
      </c>
      <c r="C162" s="27">
        <v>250979</v>
      </c>
      <c r="D162" s="28">
        <v>44739</v>
      </c>
      <c r="E162" s="29">
        <v>152</v>
      </c>
      <c r="F162" s="15" t="str">
        <f t="shared" si="2"/>
        <v>1201-250979-44739</v>
      </c>
    </row>
    <row r="163" spans="1:6" ht="14.25" customHeight="1" x14ac:dyDescent="0.25">
      <c r="A163" s="15" t="s">
        <v>303</v>
      </c>
      <c r="B163" s="27">
        <v>1201</v>
      </c>
      <c r="C163" s="27">
        <v>250979</v>
      </c>
      <c r="D163" s="28">
        <v>44746</v>
      </c>
      <c r="E163" s="29">
        <v>96</v>
      </c>
      <c r="F163" s="15" t="str">
        <f t="shared" si="2"/>
        <v>1201-250979-44746</v>
      </c>
    </row>
    <row r="164" spans="1:6" ht="14.25" customHeight="1" x14ac:dyDescent="0.25">
      <c r="A164" s="15" t="s">
        <v>304</v>
      </c>
      <c r="B164" s="27">
        <v>1201</v>
      </c>
      <c r="C164" s="27">
        <v>250979</v>
      </c>
      <c r="D164" s="28">
        <v>44753</v>
      </c>
      <c r="E164" s="29">
        <v>183</v>
      </c>
      <c r="F164" s="15" t="str">
        <f t="shared" si="2"/>
        <v>1201-250979-44753</v>
      </c>
    </row>
    <row r="165" spans="1:6" ht="14.25" customHeight="1" x14ac:dyDescent="0.25">
      <c r="A165" s="15" t="s">
        <v>305</v>
      </c>
      <c r="B165" s="27">
        <v>1201</v>
      </c>
      <c r="C165" s="27">
        <v>250979</v>
      </c>
      <c r="D165" s="28">
        <v>44760</v>
      </c>
      <c r="E165" s="29">
        <v>169</v>
      </c>
      <c r="F165" s="15" t="str">
        <f t="shared" si="2"/>
        <v>1201-250979-44760</v>
      </c>
    </row>
    <row r="166" spans="1:6" ht="14.25" customHeight="1" x14ac:dyDescent="0.25">
      <c r="A166" s="15" t="s">
        <v>306</v>
      </c>
      <c r="B166" s="27">
        <v>1201</v>
      </c>
      <c r="C166" s="27">
        <v>250979</v>
      </c>
      <c r="D166" s="28">
        <v>44767</v>
      </c>
      <c r="E166" s="29">
        <v>75</v>
      </c>
      <c r="F166" s="15" t="str">
        <f t="shared" si="2"/>
        <v>1201-250979-44767</v>
      </c>
    </row>
    <row r="167" spans="1:6" ht="14.25" customHeight="1" x14ac:dyDescent="0.25">
      <c r="A167" s="15" t="s">
        <v>307</v>
      </c>
      <c r="B167" s="27">
        <v>1201</v>
      </c>
      <c r="C167" s="27">
        <v>250979</v>
      </c>
      <c r="D167" s="28">
        <v>44774</v>
      </c>
      <c r="E167" s="29">
        <v>226</v>
      </c>
      <c r="F167" s="15" t="str">
        <f t="shared" si="2"/>
        <v>1201-250979-44774</v>
      </c>
    </row>
    <row r="168" spans="1:6" ht="14.25" customHeight="1" x14ac:dyDescent="0.25">
      <c r="A168" s="15" t="s">
        <v>308</v>
      </c>
      <c r="B168" s="27">
        <v>1201</v>
      </c>
      <c r="C168" s="27">
        <v>250979</v>
      </c>
      <c r="D168" s="28">
        <v>44781</v>
      </c>
      <c r="E168" s="29">
        <v>176</v>
      </c>
      <c r="F168" s="15" t="str">
        <f t="shared" si="2"/>
        <v>1201-250979-44781</v>
      </c>
    </row>
    <row r="169" spans="1:6" ht="14.25" customHeight="1" x14ac:dyDescent="0.25">
      <c r="A169" s="15" t="s">
        <v>309</v>
      </c>
      <c r="B169" s="27">
        <v>1201</v>
      </c>
      <c r="C169" s="27">
        <v>250979</v>
      </c>
      <c r="D169" s="28">
        <v>44788</v>
      </c>
      <c r="E169" s="29">
        <v>137</v>
      </c>
      <c r="F169" s="15" t="str">
        <f t="shared" si="2"/>
        <v>1201-250979-44788</v>
      </c>
    </row>
    <row r="170" spans="1:6" ht="14.25" customHeight="1" x14ac:dyDescent="0.25">
      <c r="A170" s="15" t="s">
        <v>310</v>
      </c>
      <c r="B170" s="27">
        <v>1201</v>
      </c>
      <c r="C170" s="27">
        <v>250981</v>
      </c>
      <c r="D170" s="28">
        <v>44739</v>
      </c>
      <c r="E170" s="29">
        <v>48</v>
      </c>
      <c r="F170" s="15" t="str">
        <f t="shared" si="2"/>
        <v>1201-250981-44739</v>
      </c>
    </row>
    <row r="171" spans="1:6" ht="14.25" customHeight="1" x14ac:dyDescent="0.25">
      <c r="A171" s="15" t="s">
        <v>311</v>
      </c>
      <c r="B171" s="27">
        <v>1201</v>
      </c>
      <c r="C171" s="27">
        <v>250981</v>
      </c>
      <c r="D171" s="28">
        <v>44746</v>
      </c>
      <c r="E171" s="29">
        <v>30</v>
      </c>
      <c r="F171" s="15" t="str">
        <f t="shared" si="2"/>
        <v>1201-250981-44746</v>
      </c>
    </row>
    <row r="172" spans="1:6" ht="14.25" customHeight="1" x14ac:dyDescent="0.25">
      <c r="A172" s="15" t="s">
        <v>312</v>
      </c>
      <c r="B172" s="27">
        <v>1201</v>
      </c>
      <c r="C172" s="27">
        <v>250981</v>
      </c>
      <c r="D172" s="28">
        <v>44753</v>
      </c>
      <c r="E172" s="29">
        <v>30</v>
      </c>
      <c r="F172" s="15" t="str">
        <f t="shared" si="2"/>
        <v>1201-250981-44753</v>
      </c>
    </row>
    <row r="173" spans="1:6" ht="14.25" customHeight="1" x14ac:dyDescent="0.25">
      <c r="A173" s="15" t="s">
        <v>313</v>
      </c>
      <c r="B173" s="27">
        <v>1201</v>
      </c>
      <c r="C173" s="27">
        <v>250981</v>
      </c>
      <c r="D173" s="28">
        <v>44760</v>
      </c>
      <c r="E173" s="29">
        <v>21</v>
      </c>
      <c r="F173" s="15" t="str">
        <f t="shared" si="2"/>
        <v>1201-250981-44760</v>
      </c>
    </row>
    <row r="174" spans="1:6" ht="14.25" customHeight="1" x14ac:dyDescent="0.25">
      <c r="A174" s="15" t="s">
        <v>314</v>
      </c>
      <c r="B174" s="27">
        <v>1201</v>
      </c>
      <c r="C174" s="27">
        <v>250981</v>
      </c>
      <c r="D174" s="28">
        <v>44767</v>
      </c>
      <c r="E174" s="29">
        <v>68</v>
      </c>
      <c r="F174" s="15" t="str">
        <f t="shared" si="2"/>
        <v>1201-250981-44767</v>
      </c>
    </row>
    <row r="175" spans="1:6" ht="14.25" customHeight="1" x14ac:dyDescent="0.25">
      <c r="A175" s="15" t="s">
        <v>315</v>
      </c>
      <c r="B175" s="27">
        <v>1201</v>
      </c>
      <c r="C175" s="27">
        <v>250981</v>
      </c>
      <c r="D175" s="28">
        <v>44774</v>
      </c>
      <c r="E175" s="29">
        <v>48</v>
      </c>
      <c r="F175" s="15" t="str">
        <f t="shared" si="2"/>
        <v>1201-250981-44774</v>
      </c>
    </row>
    <row r="176" spans="1:6" ht="14.25" customHeight="1" x14ac:dyDescent="0.25">
      <c r="A176" s="15" t="s">
        <v>316</v>
      </c>
      <c r="B176" s="27">
        <v>1201</v>
      </c>
      <c r="C176" s="27">
        <v>250981</v>
      </c>
      <c r="D176" s="28">
        <v>44781</v>
      </c>
      <c r="E176" s="29">
        <v>27</v>
      </c>
      <c r="F176" s="15" t="str">
        <f t="shared" si="2"/>
        <v>1201-250981-44781</v>
      </c>
    </row>
    <row r="177" spans="1:6" ht="14.25" customHeight="1" x14ac:dyDescent="0.25">
      <c r="A177" s="15" t="s">
        <v>317</v>
      </c>
      <c r="B177" s="27">
        <v>1201</v>
      </c>
      <c r="C177" s="27">
        <v>250981</v>
      </c>
      <c r="D177" s="28">
        <v>44788</v>
      </c>
      <c r="E177" s="29">
        <v>54</v>
      </c>
      <c r="F177" s="15" t="str">
        <f t="shared" si="2"/>
        <v>1201-250981-44788</v>
      </c>
    </row>
    <row r="178" spans="1:6" ht="14.25" customHeight="1" x14ac:dyDescent="0.25">
      <c r="A178" s="15" t="s">
        <v>318</v>
      </c>
      <c r="B178" s="27">
        <v>1201</v>
      </c>
      <c r="C178" s="27">
        <v>262294</v>
      </c>
      <c r="D178" s="28">
        <v>44739</v>
      </c>
      <c r="E178" s="29">
        <v>124</v>
      </c>
      <c r="F178" s="15" t="str">
        <f t="shared" si="2"/>
        <v>1201-262294-44739</v>
      </c>
    </row>
    <row r="179" spans="1:6" ht="14.25" customHeight="1" x14ac:dyDescent="0.25">
      <c r="A179" s="15" t="s">
        <v>319</v>
      </c>
      <c r="B179" s="27">
        <v>1201</v>
      </c>
      <c r="C179" s="27">
        <v>262294</v>
      </c>
      <c r="D179" s="28">
        <v>44746</v>
      </c>
      <c r="E179" s="29">
        <v>56</v>
      </c>
      <c r="F179" s="15" t="str">
        <f t="shared" si="2"/>
        <v>1201-262294-44746</v>
      </c>
    </row>
    <row r="180" spans="1:6" ht="14.25" customHeight="1" x14ac:dyDescent="0.25">
      <c r="A180" s="15" t="s">
        <v>320</v>
      </c>
      <c r="B180" s="27">
        <v>1201</v>
      </c>
      <c r="C180" s="27">
        <v>262294</v>
      </c>
      <c r="D180" s="28">
        <v>44753</v>
      </c>
      <c r="E180" s="29">
        <v>49</v>
      </c>
      <c r="F180" s="15" t="str">
        <f t="shared" si="2"/>
        <v>1201-262294-44753</v>
      </c>
    </row>
    <row r="181" spans="1:6" ht="14.25" customHeight="1" x14ac:dyDescent="0.25">
      <c r="A181" s="15" t="s">
        <v>321</v>
      </c>
      <c r="B181" s="27">
        <v>1201</v>
      </c>
      <c r="C181" s="27">
        <v>262294</v>
      </c>
      <c r="D181" s="28">
        <v>44760</v>
      </c>
      <c r="E181" s="29">
        <v>129</v>
      </c>
      <c r="F181" s="15" t="str">
        <f t="shared" si="2"/>
        <v>1201-262294-44760</v>
      </c>
    </row>
    <row r="182" spans="1:6" ht="14.25" customHeight="1" x14ac:dyDescent="0.25">
      <c r="A182" s="15" t="s">
        <v>322</v>
      </c>
      <c r="B182" s="27">
        <v>1201</v>
      </c>
      <c r="C182" s="27">
        <v>262294</v>
      </c>
      <c r="D182" s="28">
        <v>44767</v>
      </c>
      <c r="E182" s="29">
        <v>56</v>
      </c>
      <c r="F182" s="15" t="str">
        <f t="shared" si="2"/>
        <v>1201-262294-44767</v>
      </c>
    </row>
    <row r="183" spans="1:6" ht="14.25" customHeight="1" x14ac:dyDescent="0.25">
      <c r="A183" s="15" t="s">
        <v>323</v>
      </c>
      <c r="B183" s="27">
        <v>1201</v>
      </c>
      <c r="C183" s="27">
        <v>262294</v>
      </c>
      <c r="D183" s="28">
        <v>44774</v>
      </c>
      <c r="E183" s="29">
        <v>123</v>
      </c>
      <c r="F183" s="15" t="str">
        <f t="shared" si="2"/>
        <v>1201-262294-44774</v>
      </c>
    </row>
    <row r="184" spans="1:6" ht="14.25" customHeight="1" x14ac:dyDescent="0.25">
      <c r="A184" s="15" t="s">
        <v>324</v>
      </c>
      <c r="B184" s="27">
        <v>1201</v>
      </c>
      <c r="C184" s="27">
        <v>262294</v>
      </c>
      <c r="D184" s="28">
        <v>44781</v>
      </c>
      <c r="E184" s="29">
        <v>53</v>
      </c>
      <c r="F184" s="15" t="str">
        <f t="shared" si="2"/>
        <v>1201-262294-44781</v>
      </c>
    </row>
    <row r="185" spans="1:6" ht="14.25" customHeight="1" x14ac:dyDescent="0.25">
      <c r="A185" s="15" t="s">
        <v>325</v>
      </c>
      <c r="B185" s="27">
        <v>1201</v>
      </c>
      <c r="C185" s="27">
        <v>262294</v>
      </c>
      <c r="D185" s="28">
        <v>44788</v>
      </c>
      <c r="E185" s="29">
        <v>110</v>
      </c>
      <c r="F185" s="15" t="str">
        <f t="shared" si="2"/>
        <v>1201-262294-44788</v>
      </c>
    </row>
    <row r="186" spans="1:6" ht="14.25" customHeight="1" x14ac:dyDescent="0.25">
      <c r="A186" s="15" t="s">
        <v>326</v>
      </c>
      <c r="B186" s="27">
        <v>1201</v>
      </c>
      <c r="C186" s="27">
        <v>268831</v>
      </c>
      <c r="D186" s="28">
        <v>44739</v>
      </c>
      <c r="E186" s="29">
        <v>503</v>
      </c>
      <c r="F186" s="15" t="str">
        <f t="shared" si="2"/>
        <v>1201-268831-44739</v>
      </c>
    </row>
    <row r="187" spans="1:6" ht="14.25" customHeight="1" x14ac:dyDescent="0.25">
      <c r="A187" s="15" t="s">
        <v>327</v>
      </c>
      <c r="B187" s="27">
        <v>1201</v>
      </c>
      <c r="C187" s="27">
        <v>268831</v>
      </c>
      <c r="D187" s="28">
        <v>44746</v>
      </c>
      <c r="E187" s="29">
        <v>538</v>
      </c>
      <c r="F187" s="15" t="str">
        <f t="shared" si="2"/>
        <v>1201-268831-44746</v>
      </c>
    </row>
    <row r="188" spans="1:6" ht="14.25" customHeight="1" x14ac:dyDescent="0.25">
      <c r="A188" s="15" t="s">
        <v>328</v>
      </c>
      <c r="B188" s="27">
        <v>1201</v>
      </c>
      <c r="C188" s="27">
        <v>268831</v>
      </c>
      <c r="D188" s="28">
        <v>44753</v>
      </c>
      <c r="E188" s="29">
        <v>208</v>
      </c>
      <c r="F188" s="15" t="str">
        <f t="shared" si="2"/>
        <v>1201-268831-44753</v>
      </c>
    </row>
    <row r="189" spans="1:6" ht="14.25" customHeight="1" x14ac:dyDescent="0.25">
      <c r="A189" s="15" t="s">
        <v>329</v>
      </c>
      <c r="B189" s="27">
        <v>1201</v>
      </c>
      <c r="C189" s="27">
        <v>268831</v>
      </c>
      <c r="D189" s="28">
        <v>44760</v>
      </c>
      <c r="E189" s="29">
        <v>385</v>
      </c>
      <c r="F189" s="15" t="str">
        <f t="shared" si="2"/>
        <v>1201-268831-44760</v>
      </c>
    </row>
    <row r="190" spans="1:6" ht="14.25" customHeight="1" x14ac:dyDescent="0.25">
      <c r="A190" s="15" t="s">
        <v>330</v>
      </c>
      <c r="B190" s="27">
        <v>1201</v>
      </c>
      <c r="C190" s="27">
        <v>268831</v>
      </c>
      <c r="D190" s="28">
        <v>44767</v>
      </c>
      <c r="E190" s="29">
        <v>187</v>
      </c>
      <c r="F190" s="15" t="str">
        <f t="shared" si="2"/>
        <v>1201-268831-44767</v>
      </c>
    </row>
    <row r="191" spans="1:6" ht="14.25" customHeight="1" x14ac:dyDescent="0.25">
      <c r="A191" s="15" t="s">
        <v>331</v>
      </c>
      <c r="B191" s="27">
        <v>1201</v>
      </c>
      <c r="C191" s="27">
        <v>268831</v>
      </c>
      <c r="D191" s="28">
        <v>44774</v>
      </c>
      <c r="E191" s="29">
        <v>507</v>
      </c>
      <c r="F191" s="15" t="str">
        <f t="shared" si="2"/>
        <v>1201-268831-44774</v>
      </c>
    </row>
    <row r="192" spans="1:6" ht="14.25" customHeight="1" x14ac:dyDescent="0.25">
      <c r="A192" s="15" t="s">
        <v>332</v>
      </c>
      <c r="B192" s="27">
        <v>1201</v>
      </c>
      <c r="C192" s="27">
        <v>268831</v>
      </c>
      <c r="D192" s="28">
        <v>44781</v>
      </c>
      <c r="E192" s="29">
        <v>210</v>
      </c>
      <c r="F192" s="15" t="str">
        <f t="shared" si="2"/>
        <v>1201-268831-44781</v>
      </c>
    </row>
    <row r="193" spans="1:6" ht="14.25" customHeight="1" x14ac:dyDescent="0.25">
      <c r="A193" s="15" t="s">
        <v>333</v>
      </c>
      <c r="B193" s="27">
        <v>1201</v>
      </c>
      <c r="C193" s="27">
        <v>268831</v>
      </c>
      <c r="D193" s="28">
        <v>44788</v>
      </c>
      <c r="E193" s="29">
        <v>491</v>
      </c>
      <c r="F193" s="15" t="str">
        <f t="shared" si="2"/>
        <v>1201-268831-44788</v>
      </c>
    </row>
    <row r="194" spans="1:6" ht="14.25" customHeight="1" x14ac:dyDescent="0.25">
      <c r="A194" s="15" t="s">
        <v>334</v>
      </c>
      <c r="B194" s="27">
        <v>1201</v>
      </c>
      <c r="C194" s="27">
        <v>273701</v>
      </c>
      <c r="D194" s="28">
        <v>44739</v>
      </c>
      <c r="E194" s="29">
        <v>112</v>
      </c>
      <c r="F194" s="15" t="str">
        <f t="shared" si="2"/>
        <v>1201-273701-44739</v>
      </c>
    </row>
    <row r="195" spans="1:6" ht="14.25" customHeight="1" x14ac:dyDescent="0.25">
      <c r="A195" s="15" t="s">
        <v>335</v>
      </c>
      <c r="B195" s="27">
        <v>1201</v>
      </c>
      <c r="C195" s="27">
        <v>273701</v>
      </c>
      <c r="D195" s="28">
        <v>44746</v>
      </c>
      <c r="E195" s="29">
        <v>120</v>
      </c>
      <c r="F195" s="15" t="str">
        <f t="shared" ref="F195:F258" si="3">B195&amp;"-"&amp;C195&amp;"-"&amp;INT(D195)</f>
        <v>1201-273701-44746</v>
      </c>
    </row>
    <row r="196" spans="1:6" ht="14.25" customHeight="1" x14ac:dyDescent="0.25">
      <c r="A196" s="15" t="s">
        <v>336</v>
      </c>
      <c r="B196" s="27">
        <v>1201</v>
      </c>
      <c r="C196" s="27">
        <v>273701</v>
      </c>
      <c r="D196" s="28">
        <v>44753</v>
      </c>
      <c r="E196" s="29">
        <v>37</v>
      </c>
      <c r="F196" s="15" t="str">
        <f t="shared" si="3"/>
        <v>1201-273701-44753</v>
      </c>
    </row>
    <row r="197" spans="1:6" ht="14.25" customHeight="1" x14ac:dyDescent="0.25">
      <c r="A197" s="15" t="s">
        <v>337</v>
      </c>
      <c r="B197" s="27">
        <v>1201</v>
      </c>
      <c r="C197" s="27">
        <v>273701</v>
      </c>
      <c r="D197" s="28">
        <v>44760</v>
      </c>
      <c r="E197" s="29">
        <v>124</v>
      </c>
      <c r="F197" s="15" t="str">
        <f t="shared" si="3"/>
        <v>1201-273701-44760</v>
      </c>
    </row>
    <row r="198" spans="1:6" ht="14.25" customHeight="1" x14ac:dyDescent="0.25">
      <c r="A198" s="15" t="s">
        <v>338</v>
      </c>
      <c r="B198" s="27">
        <v>1201</v>
      </c>
      <c r="C198" s="27">
        <v>273701</v>
      </c>
      <c r="D198" s="28">
        <v>44767</v>
      </c>
      <c r="E198" s="29">
        <v>48</v>
      </c>
      <c r="F198" s="15" t="str">
        <f t="shared" si="3"/>
        <v>1201-273701-44767</v>
      </c>
    </row>
    <row r="199" spans="1:6" ht="14.25" customHeight="1" x14ac:dyDescent="0.25">
      <c r="A199" s="15" t="s">
        <v>339</v>
      </c>
      <c r="B199" s="27">
        <v>1201</v>
      </c>
      <c r="C199" s="27">
        <v>273701</v>
      </c>
      <c r="D199" s="28">
        <v>44774</v>
      </c>
      <c r="E199" s="29">
        <v>126</v>
      </c>
      <c r="F199" s="15" t="str">
        <f t="shared" si="3"/>
        <v>1201-273701-44774</v>
      </c>
    </row>
    <row r="200" spans="1:6" ht="14.25" customHeight="1" x14ac:dyDescent="0.25">
      <c r="A200" s="15" t="s">
        <v>340</v>
      </c>
      <c r="B200" s="27">
        <v>1201</v>
      </c>
      <c r="C200" s="27">
        <v>273701</v>
      </c>
      <c r="D200" s="28">
        <v>44781</v>
      </c>
      <c r="E200" s="29">
        <v>126</v>
      </c>
      <c r="F200" s="15" t="str">
        <f t="shared" si="3"/>
        <v>1201-273701-44781</v>
      </c>
    </row>
    <row r="201" spans="1:6" ht="14.25" customHeight="1" x14ac:dyDescent="0.25">
      <c r="A201" s="15" t="s">
        <v>341</v>
      </c>
      <c r="B201" s="27">
        <v>1201</v>
      </c>
      <c r="C201" s="27">
        <v>273701</v>
      </c>
      <c r="D201" s="28">
        <v>44788</v>
      </c>
      <c r="E201" s="29">
        <v>31</v>
      </c>
      <c r="F201" s="15" t="str">
        <f t="shared" si="3"/>
        <v>1201-273701-44788</v>
      </c>
    </row>
    <row r="202" spans="1:6" ht="14.25" customHeight="1" x14ac:dyDescent="0.25">
      <c r="A202" s="15" t="s">
        <v>342</v>
      </c>
      <c r="B202" s="27">
        <v>1201</v>
      </c>
      <c r="C202" s="27">
        <v>291726</v>
      </c>
      <c r="D202" s="28">
        <v>44739</v>
      </c>
      <c r="E202" s="29">
        <v>58</v>
      </c>
      <c r="F202" s="15" t="str">
        <f t="shared" si="3"/>
        <v>1201-291726-44739</v>
      </c>
    </row>
    <row r="203" spans="1:6" ht="14.25" customHeight="1" x14ac:dyDescent="0.25">
      <c r="A203" s="15" t="s">
        <v>343</v>
      </c>
      <c r="B203" s="27">
        <v>1201</v>
      </c>
      <c r="C203" s="27">
        <v>291726</v>
      </c>
      <c r="D203" s="28">
        <v>44746</v>
      </c>
      <c r="E203" s="29">
        <v>60</v>
      </c>
      <c r="F203" s="15" t="str">
        <f t="shared" si="3"/>
        <v>1201-291726-44746</v>
      </c>
    </row>
    <row r="204" spans="1:6" ht="14.25" customHeight="1" x14ac:dyDescent="0.25">
      <c r="A204" s="15" t="s">
        <v>344</v>
      </c>
      <c r="B204" s="27">
        <v>1201</v>
      </c>
      <c r="C204" s="27">
        <v>291726</v>
      </c>
      <c r="D204" s="28">
        <v>44753</v>
      </c>
      <c r="E204" s="29">
        <v>50</v>
      </c>
      <c r="F204" s="15" t="str">
        <f t="shared" si="3"/>
        <v>1201-291726-44753</v>
      </c>
    </row>
    <row r="205" spans="1:6" ht="14.25" customHeight="1" x14ac:dyDescent="0.25">
      <c r="A205" s="15" t="s">
        <v>345</v>
      </c>
      <c r="B205" s="27">
        <v>1201</v>
      </c>
      <c r="C205" s="27">
        <v>291726</v>
      </c>
      <c r="D205" s="28">
        <v>44760</v>
      </c>
      <c r="E205" s="29">
        <v>60</v>
      </c>
      <c r="F205" s="15" t="str">
        <f t="shared" si="3"/>
        <v>1201-291726-44760</v>
      </c>
    </row>
    <row r="206" spans="1:6" ht="14.25" customHeight="1" x14ac:dyDescent="0.25">
      <c r="A206" s="15" t="s">
        <v>346</v>
      </c>
      <c r="B206" s="27">
        <v>1201</v>
      </c>
      <c r="C206" s="27">
        <v>291726</v>
      </c>
      <c r="D206" s="28">
        <v>44767</v>
      </c>
      <c r="E206" s="29">
        <v>57</v>
      </c>
      <c r="F206" s="15" t="str">
        <f t="shared" si="3"/>
        <v>1201-291726-44767</v>
      </c>
    </row>
    <row r="207" spans="1:6" ht="14.25" customHeight="1" x14ac:dyDescent="0.25">
      <c r="A207" s="15" t="s">
        <v>347</v>
      </c>
      <c r="B207" s="27">
        <v>1201</v>
      </c>
      <c r="C207" s="27">
        <v>291726</v>
      </c>
      <c r="D207" s="28">
        <v>44774</v>
      </c>
      <c r="E207" s="29">
        <v>62</v>
      </c>
      <c r="F207" s="15" t="str">
        <f t="shared" si="3"/>
        <v>1201-291726-44774</v>
      </c>
    </row>
    <row r="208" spans="1:6" ht="14.25" customHeight="1" x14ac:dyDescent="0.25">
      <c r="A208" s="15" t="s">
        <v>348</v>
      </c>
      <c r="B208" s="27">
        <v>1201</v>
      </c>
      <c r="C208" s="27">
        <v>291726</v>
      </c>
      <c r="D208" s="28">
        <v>44781</v>
      </c>
      <c r="E208" s="29">
        <v>60</v>
      </c>
      <c r="F208" s="15" t="str">
        <f t="shared" si="3"/>
        <v>1201-291726-44781</v>
      </c>
    </row>
    <row r="209" spans="1:6" ht="14.25" customHeight="1" x14ac:dyDescent="0.25">
      <c r="A209" s="15" t="s">
        <v>349</v>
      </c>
      <c r="B209" s="27">
        <v>1201</v>
      </c>
      <c r="C209" s="27">
        <v>291726</v>
      </c>
      <c r="D209" s="28">
        <v>44788</v>
      </c>
      <c r="E209" s="29">
        <v>58</v>
      </c>
      <c r="F209" s="15" t="str">
        <f t="shared" si="3"/>
        <v>1201-291726-44788</v>
      </c>
    </row>
    <row r="210" spans="1:6" ht="14.25" customHeight="1" x14ac:dyDescent="0.25">
      <c r="A210" s="15" t="s">
        <v>350</v>
      </c>
      <c r="B210" s="27">
        <v>1201</v>
      </c>
      <c r="C210" s="27">
        <v>291728</v>
      </c>
      <c r="D210" s="28">
        <v>44739</v>
      </c>
      <c r="E210" s="29">
        <v>40</v>
      </c>
      <c r="F210" s="15" t="str">
        <f t="shared" si="3"/>
        <v>1201-291728-44739</v>
      </c>
    </row>
    <row r="211" spans="1:6" ht="14.25" customHeight="1" x14ac:dyDescent="0.25">
      <c r="A211" s="15" t="s">
        <v>351</v>
      </c>
      <c r="B211" s="27">
        <v>1201</v>
      </c>
      <c r="C211" s="27">
        <v>291728</v>
      </c>
      <c r="D211" s="28">
        <v>44746</v>
      </c>
      <c r="E211" s="29">
        <v>8</v>
      </c>
      <c r="F211" s="15" t="str">
        <f t="shared" si="3"/>
        <v>1201-291728-44746</v>
      </c>
    </row>
    <row r="212" spans="1:6" ht="14.25" customHeight="1" x14ac:dyDescent="0.25">
      <c r="A212" s="15" t="s">
        <v>352</v>
      </c>
      <c r="B212" s="27">
        <v>1201</v>
      </c>
      <c r="C212" s="27">
        <v>291728</v>
      </c>
      <c r="D212" s="28">
        <v>44753</v>
      </c>
      <c r="E212" s="29">
        <v>45</v>
      </c>
      <c r="F212" s="15" t="str">
        <f t="shared" si="3"/>
        <v>1201-291728-44753</v>
      </c>
    </row>
    <row r="213" spans="1:6" ht="14.25" customHeight="1" x14ac:dyDescent="0.25">
      <c r="A213" s="15" t="s">
        <v>353</v>
      </c>
      <c r="B213" s="27">
        <v>1201</v>
      </c>
      <c r="C213" s="27">
        <v>291728</v>
      </c>
      <c r="D213" s="28">
        <v>44760</v>
      </c>
      <c r="E213" s="29">
        <v>2</v>
      </c>
      <c r="F213" s="15" t="str">
        <f t="shared" si="3"/>
        <v>1201-291728-44760</v>
      </c>
    </row>
    <row r="214" spans="1:6" ht="14.25" customHeight="1" x14ac:dyDescent="0.25">
      <c r="A214" s="15" t="s">
        <v>354</v>
      </c>
      <c r="B214" s="27">
        <v>1201</v>
      </c>
      <c r="C214" s="27">
        <v>291728</v>
      </c>
      <c r="D214" s="28">
        <v>44767</v>
      </c>
      <c r="E214" s="29">
        <v>35</v>
      </c>
      <c r="F214" s="15" t="str">
        <f t="shared" si="3"/>
        <v>1201-291728-44767</v>
      </c>
    </row>
    <row r="215" spans="1:6" ht="14.25" customHeight="1" x14ac:dyDescent="0.25">
      <c r="A215" s="15" t="s">
        <v>355</v>
      </c>
      <c r="B215" s="27">
        <v>1201</v>
      </c>
      <c r="C215" s="27">
        <v>291728</v>
      </c>
      <c r="D215" s="28">
        <v>44774</v>
      </c>
      <c r="E215" s="29">
        <v>38</v>
      </c>
      <c r="F215" s="15" t="str">
        <f t="shared" si="3"/>
        <v>1201-291728-44774</v>
      </c>
    </row>
    <row r="216" spans="1:6" ht="14.25" customHeight="1" x14ac:dyDescent="0.25">
      <c r="A216" s="15" t="s">
        <v>356</v>
      </c>
      <c r="B216" s="27">
        <v>1201</v>
      </c>
      <c r="C216" s="27">
        <v>291728</v>
      </c>
      <c r="D216" s="28">
        <v>44781</v>
      </c>
      <c r="E216" s="29">
        <v>37</v>
      </c>
      <c r="F216" s="15" t="str">
        <f t="shared" si="3"/>
        <v>1201-291728-44781</v>
      </c>
    </row>
    <row r="217" spans="1:6" ht="14.25" customHeight="1" x14ac:dyDescent="0.25">
      <c r="A217" s="15" t="s">
        <v>357</v>
      </c>
      <c r="B217" s="27">
        <v>1201</v>
      </c>
      <c r="C217" s="27">
        <v>291728</v>
      </c>
      <c r="D217" s="28">
        <v>44788</v>
      </c>
      <c r="E217" s="29">
        <v>32</v>
      </c>
      <c r="F217" s="15" t="str">
        <f t="shared" si="3"/>
        <v>1201-291728-44788</v>
      </c>
    </row>
    <row r="218" spans="1:6" ht="14.25" customHeight="1" x14ac:dyDescent="0.25">
      <c r="A218" s="15" t="s">
        <v>358</v>
      </c>
      <c r="B218" s="27">
        <v>1201</v>
      </c>
      <c r="C218" s="27">
        <v>300380</v>
      </c>
      <c r="D218" s="28">
        <v>32874</v>
      </c>
      <c r="E218" s="29">
        <v>29</v>
      </c>
      <c r="F218" s="15" t="str">
        <f t="shared" si="3"/>
        <v>1201-300380-32874</v>
      </c>
    </row>
    <row r="219" spans="1:6" ht="14.25" customHeight="1" x14ac:dyDescent="0.25">
      <c r="A219" s="15" t="s">
        <v>359</v>
      </c>
      <c r="B219" s="27">
        <v>1201</v>
      </c>
      <c r="C219" s="27">
        <v>300380</v>
      </c>
      <c r="D219" s="28">
        <v>44739</v>
      </c>
      <c r="E219" s="29">
        <v>79</v>
      </c>
      <c r="F219" s="15" t="str">
        <f t="shared" si="3"/>
        <v>1201-300380-44739</v>
      </c>
    </row>
    <row r="220" spans="1:6" ht="14.25" customHeight="1" x14ac:dyDescent="0.25">
      <c r="A220" s="15" t="s">
        <v>360</v>
      </c>
      <c r="B220" s="27">
        <v>1201</v>
      </c>
      <c r="C220" s="27">
        <v>300380</v>
      </c>
      <c r="D220" s="28">
        <v>44746</v>
      </c>
      <c r="E220" s="29">
        <v>30</v>
      </c>
      <c r="F220" s="15" t="str">
        <f t="shared" si="3"/>
        <v>1201-300380-44746</v>
      </c>
    </row>
    <row r="221" spans="1:6" ht="14.25" customHeight="1" x14ac:dyDescent="0.25">
      <c r="A221" s="15" t="s">
        <v>361</v>
      </c>
      <c r="B221" s="27">
        <v>1201</v>
      </c>
      <c r="C221" s="27">
        <v>300380</v>
      </c>
      <c r="D221" s="28">
        <v>44753</v>
      </c>
      <c r="E221" s="29">
        <v>117</v>
      </c>
      <c r="F221" s="15" t="str">
        <f t="shared" si="3"/>
        <v>1201-300380-44753</v>
      </c>
    </row>
    <row r="222" spans="1:6" ht="14.25" customHeight="1" x14ac:dyDescent="0.25">
      <c r="A222" s="15" t="s">
        <v>362</v>
      </c>
      <c r="B222" s="27">
        <v>1201</v>
      </c>
      <c r="C222" s="27">
        <v>300380</v>
      </c>
      <c r="D222" s="28">
        <v>44760</v>
      </c>
      <c r="E222" s="29">
        <v>24</v>
      </c>
      <c r="F222" s="15" t="str">
        <f t="shared" si="3"/>
        <v>1201-300380-44760</v>
      </c>
    </row>
    <row r="223" spans="1:6" ht="14.25" customHeight="1" x14ac:dyDescent="0.25">
      <c r="A223" s="15" t="s">
        <v>363</v>
      </c>
      <c r="B223" s="27">
        <v>1201</v>
      </c>
      <c r="C223" s="27">
        <v>300380</v>
      </c>
      <c r="D223" s="28">
        <v>44767</v>
      </c>
      <c r="E223" s="29">
        <v>27</v>
      </c>
      <c r="F223" s="15" t="str">
        <f t="shared" si="3"/>
        <v>1201-300380-44767</v>
      </c>
    </row>
    <row r="224" spans="1:6" ht="14.25" customHeight="1" x14ac:dyDescent="0.25">
      <c r="A224" s="15" t="s">
        <v>364</v>
      </c>
      <c r="B224" s="27">
        <v>1201</v>
      </c>
      <c r="C224" s="27">
        <v>300380</v>
      </c>
      <c r="D224" s="28">
        <v>44774</v>
      </c>
      <c r="E224" s="29">
        <v>95</v>
      </c>
      <c r="F224" s="15" t="str">
        <f t="shared" si="3"/>
        <v>1201-300380-44774</v>
      </c>
    </row>
    <row r="225" spans="1:6" ht="14.25" customHeight="1" x14ac:dyDescent="0.25">
      <c r="A225" s="15" t="s">
        <v>365</v>
      </c>
      <c r="B225" s="27">
        <v>1201</v>
      </c>
      <c r="C225" s="27">
        <v>300380</v>
      </c>
      <c r="D225" s="28">
        <v>44781</v>
      </c>
      <c r="E225" s="29">
        <v>112</v>
      </c>
      <c r="F225" s="15" t="str">
        <f t="shared" si="3"/>
        <v>1201-300380-44781</v>
      </c>
    </row>
    <row r="226" spans="1:6" ht="14.25" customHeight="1" x14ac:dyDescent="0.25">
      <c r="A226" s="15" t="s">
        <v>366</v>
      </c>
      <c r="B226" s="27">
        <v>1201</v>
      </c>
      <c r="C226" s="27">
        <v>300380</v>
      </c>
      <c r="D226" s="28">
        <v>44788</v>
      </c>
      <c r="E226" s="29">
        <v>42</v>
      </c>
      <c r="F226" s="15" t="str">
        <f t="shared" si="3"/>
        <v>1201-300380-44788</v>
      </c>
    </row>
    <row r="227" spans="1:6" ht="14.25" customHeight="1" x14ac:dyDescent="0.25">
      <c r="A227" s="15" t="s">
        <v>367</v>
      </c>
      <c r="B227" s="27">
        <v>1201</v>
      </c>
      <c r="C227" s="27">
        <v>571521</v>
      </c>
      <c r="D227" s="28">
        <v>44739</v>
      </c>
      <c r="E227" s="29">
        <v>883</v>
      </c>
      <c r="F227" s="15" t="str">
        <f t="shared" si="3"/>
        <v>1201-571521-44739</v>
      </c>
    </row>
    <row r="228" spans="1:6" ht="14.25" customHeight="1" x14ac:dyDescent="0.25">
      <c r="A228" s="15" t="s">
        <v>368</v>
      </c>
      <c r="B228" s="27">
        <v>1201</v>
      </c>
      <c r="C228" s="27">
        <v>571521</v>
      </c>
      <c r="D228" s="28">
        <v>44746</v>
      </c>
      <c r="E228" s="29">
        <v>523</v>
      </c>
      <c r="F228" s="15" t="str">
        <f t="shared" si="3"/>
        <v>1201-571521-44746</v>
      </c>
    </row>
    <row r="229" spans="1:6" ht="14.25" customHeight="1" x14ac:dyDescent="0.25">
      <c r="A229" s="15" t="s">
        <v>369</v>
      </c>
      <c r="B229" s="27">
        <v>1201</v>
      </c>
      <c r="C229" s="27">
        <v>571521</v>
      </c>
      <c r="D229" s="28">
        <v>44753</v>
      </c>
      <c r="E229" s="29">
        <v>818</v>
      </c>
      <c r="F229" s="15" t="str">
        <f t="shared" si="3"/>
        <v>1201-571521-44753</v>
      </c>
    </row>
    <row r="230" spans="1:6" ht="14.25" customHeight="1" x14ac:dyDescent="0.25">
      <c r="A230" s="15" t="s">
        <v>370</v>
      </c>
      <c r="B230" s="27">
        <v>1201</v>
      </c>
      <c r="C230" s="27">
        <v>571521</v>
      </c>
      <c r="D230" s="28">
        <v>44760</v>
      </c>
      <c r="E230" s="29">
        <v>1115</v>
      </c>
      <c r="F230" s="15" t="str">
        <f t="shared" si="3"/>
        <v>1201-571521-44760</v>
      </c>
    </row>
    <row r="231" spans="1:6" ht="14.25" customHeight="1" x14ac:dyDescent="0.25">
      <c r="A231" s="15" t="s">
        <v>371</v>
      </c>
      <c r="B231" s="27">
        <v>1201</v>
      </c>
      <c r="C231" s="27">
        <v>571521</v>
      </c>
      <c r="D231" s="28">
        <v>44767</v>
      </c>
      <c r="E231" s="29">
        <v>1050</v>
      </c>
      <c r="F231" s="15" t="str">
        <f t="shared" si="3"/>
        <v>1201-571521-44767</v>
      </c>
    </row>
    <row r="232" spans="1:6" ht="14.25" customHeight="1" x14ac:dyDescent="0.25">
      <c r="A232" s="15" t="s">
        <v>372</v>
      </c>
      <c r="B232" s="27">
        <v>1201</v>
      </c>
      <c r="C232" s="27">
        <v>571521</v>
      </c>
      <c r="D232" s="28">
        <v>44774</v>
      </c>
      <c r="E232" s="29">
        <v>1022</v>
      </c>
      <c r="F232" s="15" t="str">
        <f t="shared" si="3"/>
        <v>1201-571521-44774</v>
      </c>
    </row>
    <row r="233" spans="1:6" ht="14.25" customHeight="1" x14ac:dyDescent="0.25">
      <c r="A233" s="15" t="s">
        <v>373</v>
      </c>
      <c r="B233" s="27">
        <v>1201</v>
      </c>
      <c r="C233" s="27">
        <v>571521</v>
      </c>
      <c r="D233" s="28">
        <v>44781</v>
      </c>
      <c r="E233" s="29">
        <v>1216</v>
      </c>
      <c r="F233" s="15" t="str">
        <f t="shared" si="3"/>
        <v>1201-571521-44781</v>
      </c>
    </row>
    <row r="234" spans="1:6" ht="14.25" customHeight="1" x14ac:dyDescent="0.25">
      <c r="A234" s="15" t="s">
        <v>374</v>
      </c>
      <c r="B234" s="27">
        <v>1201</v>
      </c>
      <c r="C234" s="27">
        <v>571521</v>
      </c>
      <c r="D234" s="28">
        <v>44788</v>
      </c>
      <c r="E234" s="29">
        <v>319</v>
      </c>
      <c r="F234" s="15" t="str">
        <f t="shared" si="3"/>
        <v>1201-571521-44788</v>
      </c>
    </row>
    <row r="235" spans="1:6" ht="14.25" customHeight="1" x14ac:dyDescent="0.25">
      <c r="A235" s="15" t="s">
        <v>375</v>
      </c>
      <c r="B235" s="27">
        <v>1201</v>
      </c>
      <c r="C235" s="27">
        <v>614993</v>
      </c>
      <c r="D235" s="28">
        <v>44739</v>
      </c>
      <c r="E235" s="29">
        <v>95</v>
      </c>
      <c r="F235" s="15" t="str">
        <f t="shared" si="3"/>
        <v>1201-614993-44739</v>
      </c>
    </row>
    <row r="236" spans="1:6" ht="14.25" customHeight="1" x14ac:dyDescent="0.25">
      <c r="A236" s="15" t="s">
        <v>376</v>
      </c>
      <c r="B236" s="27">
        <v>1201</v>
      </c>
      <c r="C236" s="27">
        <v>614993</v>
      </c>
      <c r="D236" s="28">
        <v>44746</v>
      </c>
      <c r="E236" s="29">
        <v>91</v>
      </c>
      <c r="F236" s="15" t="str">
        <f t="shared" si="3"/>
        <v>1201-614993-44746</v>
      </c>
    </row>
    <row r="237" spans="1:6" ht="14.25" customHeight="1" x14ac:dyDescent="0.25">
      <c r="A237" s="15" t="s">
        <v>377</v>
      </c>
      <c r="B237" s="27">
        <v>1201</v>
      </c>
      <c r="C237" s="27">
        <v>614993</v>
      </c>
      <c r="D237" s="28">
        <v>44753</v>
      </c>
      <c r="E237" s="29">
        <v>90</v>
      </c>
      <c r="F237" s="15" t="str">
        <f t="shared" si="3"/>
        <v>1201-614993-44753</v>
      </c>
    </row>
    <row r="238" spans="1:6" ht="14.25" customHeight="1" x14ac:dyDescent="0.25">
      <c r="A238" s="15" t="s">
        <v>378</v>
      </c>
      <c r="B238" s="27">
        <v>1201</v>
      </c>
      <c r="C238" s="27">
        <v>614993</v>
      </c>
      <c r="D238" s="28">
        <v>44760</v>
      </c>
      <c r="E238" s="29">
        <v>90</v>
      </c>
      <c r="F238" s="15" t="str">
        <f t="shared" si="3"/>
        <v>1201-614993-44760</v>
      </c>
    </row>
    <row r="239" spans="1:6" ht="14.25" customHeight="1" x14ac:dyDescent="0.25">
      <c r="A239" s="15" t="s">
        <v>379</v>
      </c>
      <c r="B239" s="27">
        <v>1201</v>
      </c>
      <c r="C239" s="27">
        <v>614993</v>
      </c>
      <c r="D239" s="28">
        <v>44767</v>
      </c>
      <c r="E239" s="29">
        <v>91</v>
      </c>
      <c r="F239" s="15" t="str">
        <f t="shared" si="3"/>
        <v>1201-614993-44767</v>
      </c>
    </row>
    <row r="240" spans="1:6" ht="14.25" customHeight="1" x14ac:dyDescent="0.25">
      <c r="A240" s="15" t="s">
        <v>380</v>
      </c>
      <c r="B240" s="27">
        <v>1201</v>
      </c>
      <c r="C240" s="27">
        <v>614993</v>
      </c>
      <c r="D240" s="28">
        <v>44774</v>
      </c>
      <c r="E240" s="29">
        <v>95</v>
      </c>
      <c r="F240" s="15" t="str">
        <f t="shared" si="3"/>
        <v>1201-614993-44774</v>
      </c>
    </row>
    <row r="241" spans="1:6" ht="14.25" customHeight="1" x14ac:dyDescent="0.25">
      <c r="A241" s="15" t="s">
        <v>381</v>
      </c>
      <c r="B241" s="27">
        <v>1201</v>
      </c>
      <c r="C241" s="27">
        <v>614993</v>
      </c>
      <c r="D241" s="28">
        <v>44781</v>
      </c>
      <c r="E241" s="29">
        <v>88</v>
      </c>
      <c r="F241" s="15" t="str">
        <f t="shared" si="3"/>
        <v>1201-614993-44781</v>
      </c>
    </row>
    <row r="242" spans="1:6" ht="14.25" customHeight="1" x14ac:dyDescent="0.25">
      <c r="A242" s="15" t="s">
        <v>382</v>
      </c>
      <c r="B242" s="27">
        <v>1201</v>
      </c>
      <c r="C242" s="27">
        <v>614993</v>
      </c>
      <c r="D242" s="28">
        <v>44788</v>
      </c>
      <c r="E242" s="29">
        <v>576</v>
      </c>
      <c r="F242" s="15" t="str">
        <f t="shared" si="3"/>
        <v>1201-614993-44788</v>
      </c>
    </row>
    <row r="243" spans="1:6" ht="14.25" customHeight="1" x14ac:dyDescent="0.25">
      <c r="A243" s="15" t="s">
        <v>383</v>
      </c>
      <c r="B243" s="27">
        <v>1202</v>
      </c>
      <c r="C243" s="27">
        <v>23393</v>
      </c>
      <c r="D243" s="28">
        <v>44739</v>
      </c>
      <c r="E243" s="29">
        <v>168</v>
      </c>
      <c r="F243" s="15" t="str">
        <f t="shared" si="3"/>
        <v>1202-23393-44739</v>
      </c>
    </row>
    <row r="244" spans="1:6" ht="14.25" customHeight="1" x14ac:dyDescent="0.25">
      <c r="A244" s="15" t="s">
        <v>384</v>
      </c>
      <c r="B244" s="27">
        <v>1202</v>
      </c>
      <c r="C244" s="27">
        <v>23393</v>
      </c>
      <c r="D244" s="28">
        <v>44746</v>
      </c>
      <c r="E244" s="29">
        <v>496</v>
      </c>
      <c r="F244" s="15" t="str">
        <f t="shared" si="3"/>
        <v>1202-23393-44746</v>
      </c>
    </row>
    <row r="245" spans="1:6" ht="14.25" customHeight="1" x14ac:dyDescent="0.25">
      <c r="A245" s="15" t="s">
        <v>385</v>
      </c>
      <c r="B245" s="27">
        <v>1202</v>
      </c>
      <c r="C245" s="27">
        <v>23393</v>
      </c>
      <c r="D245" s="28">
        <v>44753</v>
      </c>
      <c r="E245" s="29">
        <v>154</v>
      </c>
      <c r="F245" s="15" t="str">
        <f t="shared" si="3"/>
        <v>1202-23393-44753</v>
      </c>
    </row>
    <row r="246" spans="1:6" ht="14.25" customHeight="1" x14ac:dyDescent="0.25">
      <c r="A246" s="15" t="s">
        <v>386</v>
      </c>
      <c r="B246" s="27">
        <v>1202</v>
      </c>
      <c r="C246" s="27">
        <v>23393</v>
      </c>
      <c r="D246" s="28">
        <v>44760</v>
      </c>
      <c r="E246" s="29">
        <v>224</v>
      </c>
      <c r="F246" s="15" t="str">
        <f t="shared" si="3"/>
        <v>1202-23393-44760</v>
      </c>
    </row>
    <row r="247" spans="1:6" ht="14.25" customHeight="1" x14ac:dyDescent="0.25">
      <c r="A247" s="15" t="s">
        <v>387</v>
      </c>
      <c r="B247" s="27">
        <v>1202</v>
      </c>
      <c r="C247" s="27">
        <v>23393</v>
      </c>
      <c r="D247" s="28">
        <v>44767</v>
      </c>
      <c r="E247" s="29">
        <v>524</v>
      </c>
      <c r="F247" s="15" t="str">
        <f t="shared" si="3"/>
        <v>1202-23393-44767</v>
      </c>
    </row>
    <row r="248" spans="1:6" ht="14.25" customHeight="1" x14ac:dyDescent="0.25">
      <c r="A248" s="15" t="s">
        <v>388</v>
      </c>
      <c r="B248" s="27">
        <v>1202</v>
      </c>
      <c r="C248" s="27">
        <v>23393</v>
      </c>
      <c r="D248" s="28">
        <v>44774</v>
      </c>
      <c r="E248" s="29">
        <v>424</v>
      </c>
      <c r="F248" s="15" t="str">
        <f t="shared" si="3"/>
        <v>1202-23393-44774</v>
      </c>
    </row>
    <row r="249" spans="1:6" ht="14.25" customHeight="1" x14ac:dyDescent="0.25">
      <c r="A249" s="15" t="s">
        <v>389</v>
      </c>
      <c r="B249" s="27">
        <v>1202</v>
      </c>
      <c r="C249" s="27">
        <v>23393</v>
      </c>
      <c r="D249" s="28">
        <v>44781</v>
      </c>
      <c r="E249" s="29">
        <v>150</v>
      </c>
      <c r="F249" s="15" t="str">
        <f t="shared" si="3"/>
        <v>1202-23393-44781</v>
      </c>
    </row>
    <row r="250" spans="1:6" ht="14.25" customHeight="1" x14ac:dyDescent="0.25">
      <c r="A250" s="15" t="s">
        <v>390</v>
      </c>
      <c r="B250" s="27">
        <v>1202</v>
      </c>
      <c r="C250" s="27">
        <v>23393</v>
      </c>
      <c r="D250" s="28">
        <v>44788</v>
      </c>
      <c r="E250" s="29">
        <v>234</v>
      </c>
      <c r="F250" s="15" t="str">
        <f t="shared" si="3"/>
        <v>1202-23393-44788</v>
      </c>
    </row>
    <row r="251" spans="1:6" ht="14.25" customHeight="1" x14ac:dyDescent="0.25">
      <c r="A251" s="15" t="s">
        <v>391</v>
      </c>
      <c r="B251" s="27">
        <v>1202</v>
      </c>
      <c r="C251" s="27">
        <v>26764</v>
      </c>
      <c r="D251" s="28">
        <v>44739</v>
      </c>
      <c r="E251" s="29">
        <v>91</v>
      </c>
      <c r="F251" s="15" t="str">
        <f t="shared" si="3"/>
        <v>1202-26764-44739</v>
      </c>
    </row>
    <row r="252" spans="1:6" ht="14.25" customHeight="1" x14ac:dyDescent="0.25">
      <c r="A252" s="15" t="s">
        <v>392</v>
      </c>
      <c r="B252" s="27">
        <v>1202</v>
      </c>
      <c r="C252" s="27">
        <v>26764</v>
      </c>
      <c r="D252" s="28">
        <v>44746</v>
      </c>
      <c r="E252" s="29">
        <v>77</v>
      </c>
      <c r="F252" s="15" t="str">
        <f t="shared" si="3"/>
        <v>1202-26764-44746</v>
      </c>
    </row>
    <row r="253" spans="1:6" ht="14.25" customHeight="1" x14ac:dyDescent="0.25">
      <c r="A253" s="15" t="s">
        <v>393</v>
      </c>
      <c r="B253" s="27">
        <v>1202</v>
      </c>
      <c r="C253" s="27">
        <v>26764</v>
      </c>
      <c r="D253" s="28">
        <v>44753</v>
      </c>
      <c r="E253" s="29">
        <v>26</v>
      </c>
      <c r="F253" s="15" t="str">
        <f t="shared" si="3"/>
        <v>1202-26764-44753</v>
      </c>
    </row>
    <row r="254" spans="1:6" ht="14.25" customHeight="1" x14ac:dyDescent="0.25">
      <c r="A254" s="15" t="s">
        <v>394</v>
      </c>
      <c r="B254" s="30">
        <v>1202</v>
      </c>
      <c r="C254" s="27">
        <v>26764</v>
      </c>
      <c r="D254" s="28">
        <v>44760</v>
      </c>
      <c r="E254" s="29">
        <v>32</v>
      </c>
      <c r="F254" s="15" t="str">
        <f t="shared" si="3"/>
        <v>1202-26764-44760</v>
      </c>
    </row>
    <row r="255" spans="1:6" ht="14.25" customHeight="1" x14ac:dyDescent="0.25">
      <c r="A255" s="15" t="s">
        <v>395</v>
      </c>
      <c r="B255" s="27">
        <v>1202</v>
      </c>
      <c r="C255" s="27">
        <v>26764</v>
      </c>
      <c r="D255" s="28">
        <v>44767</v>
      </c>
      <c r="E255" s="29">
        <v>92</v>
      </c>
      <c r="F255" s="15" t="str">
        <f t="shared" si="3"/>
        <v>1202-26764-44767</v>
      </c>
    </row>
    <row r="256" spans="1:6" ht="14.25" customHeight="1" x14ac:dyDescent="0.25">
      <c r="A256" s="15" t="s">
        <v>396</v>
      </c>
      <c r="B256" s="27">
        <v>1202</v>
      </c>
      <c r="C256" s="27">
        <v>26764</v>
      </c>
      <c r="D256" s="28">
        <v>44774</v>
      </c>
      <c r="E256" s="29">
        <v>115</v>
      </c>
      <c r="F256" s="15" t="str">
        <f t="shared" si="3"/>
        <v>1202-26764-44774</v>
      </c>
    </row>
    <row r="257" spans="1:6" ht="14.25" customHeight="1" x14ac:dyDescent="0.25">
      <c r="A257" s="15" t="s">
        <v>397</v>
      </c>
      <c r="B257" s="27">
        <v>1202</v>
      </c>
      <c r="C257" s="27">
        <v>26764</v>
      </c>
      <c r="D257" s="28">
        <v>44781</v>
      </c>
      <c r="E257" s="29">
        <v>52</v>
      </c>
      <c r="F257" s="15" t="str">
        <f t="shared" si="3"/>
        <v>1202-26764-44781</v>
      </c>
    </row>
    <row r="258" spans="1:6" ht="14.25" customHeight="1" x14ac:dyDescent="0.25">
      <c r="A258" s="15" t="s">
        <v>398</v>
      </c>
      <c r="B258" s="27">
        <v>1202</v>
      </c>
      <c r="C258" s="27">
        <v>26764</v>
      </c>
      <c r="D258" s="28">
        <v>44788</v>
      </c>
      <c r="E258" s="29">
        <v>39</v>
      </c>
      <c r="F258" s="15" t="str">
        <f t="shared" si="3"/>
        <v>1202-26764-44788</v>
      </c>
    </row>
    <row r="259" spans="1:6" ht="14.25" customHeight="1" x14ac:dyDescent="0.25">
      <c r="A259" s="15" t="s">
        <v>399</v>
      </c>
      <c r="B259" s="27">
        <v>1202</v>
      </c>
      <c r="C259" s="27">
        <v>53934</v>
      </c>
      <c r="D259" s="28">
        <v>44739</v>
      </c>
      <c r="E259" s="29">
        <v>165</v>
      </c>
      <c r="F259" s="15" t="str">
        <f t="shared" ref="F259:F322" si="4">B259&amp;"-"&amp;C259&amp;"-"&amp;INT(D259)</f>
        <v>1202-53934-44739</v>
      </c>
    </row>
    <row r="260" spans="1:6" ht="14.25" customHeight="1" x14ac:dyDescent="0.25">
      <c r="A260" s="15" t="s">
        <v>400</v>
      </c>
      <c r="B260" s="27">
        <v>1202</v>
      </c>
      <c r="C260" s="27">
        <v>53934</v>
      </c>
      <c r="D260" s="28">
        <v>44746</v>
      </c>
      <c r="E260" s="29">
        <v>142</v>
      </c>
      <c r="F260" s="15" t="str">
        <f t="shared" si="4"/>
        <v>1202-53934-44746</v>
      </c>
    </row>
    <row r="261" spans="1:6" ht="14.25" customHeight="1" x14ac:dyDescent="0.25">
      <c r="A261" s="15" t="s">
        <v>401</v>
      </c>
      <c r="B261" s="27">
        <v>1202</v>
      </c>
      <c r="C261" s="27">
        <v>53934</v>
      </c>
      <c r="D261" s="28">
        <v>44753</v>
      </c>
      <c r="E261" s="29">
        <v>431</v>
      </c>
      <c r="F261" s="15" t="str">
        <f t="shared" si="4"/>
        <v>1202-53934-44753</v>
      </c>
    </row>
    <row r="262" spans="1:6" ht="14.25" customHeight="1" x14ac:dyDescent="0.25">
      <c r="A262" s="15" t="s">
        <v>402</v>
      </c>
      <c r="B262" s="27">
        <v>1202</v>
      </c>
      <c r="C262" s="27">
        <v>53934</v>
      </c>
      <c r="D262" s="28">
        <v>44760</v>
      </c>
      <c r="E262" s="29">
        <v>394</v>
      </c>
      <c r="F262" s="15" t="str">
        <f t="shared" si="4"/>
        <v>1202-53934-44760</v>
      </c>
    </row>
    <row r="263" spans="1:6" ht="14.25" customHeight="1" x14ac:dyDescent="0.25">
      <c r="A263" s="15" t="s">
        <v>403</v>
      </c>
      <c r="B263" s="27">
        <v>1202</v>
      </c>
      <c r="C263" s="27">
        <v>53934</v>
      </c>
      <c r="D263" s="28">
        <v>44767</v>
      </c>
      <c r="E263" s="29">
        <v>360</v>
      </c>
      <c r="F263" s="15" t="str">
        <f t="shared" si="4"/>
        <v>1202-53934-44767</v>
      </c>
    </row>
    <row r="264" spans="1:6" ht="14.25" customHeight="1" x14ac:dyDescent="0.25">
      <c r="A264" s="15" t="s">
        <v>404</v>
      </c>
      <c r="B264" s="27">
        <v>1202</v>
      </c>
      <c r="C264" s="27">
        <v>53934</v>
      </c>
      <c r="D264" s="28">
        <v>44774</v>
      </c>
      <c r="E264" s="29">
        <v>394</v>
      </c>
      <c r="F264" s="15" t="str">
        <f t="shared" si="4"/>
        <v>1202-53934-44774</v>
      </c>
    </row>
    <row r="265" spans="1:6" ht="14.25" customHeight="1" x14ac:dyDescent="0.25">
      <c r="A265" s="15" t="s">
        <v>405</v>
      </c>
      <c r="B265" s="27">
        <v>1202</v>
      </c>
      <c r="C265" s="27">
        <v>53934</v>
      </c>
      <c r="D265" s="28">
        <v>44781</v>
      </c>
      <c r="E265" s="29">
        <v>139</v>
      </c>
      <c r="F265" s="15" t="str">
        <f t="shared" si="4"/>
        <v>1202-53934-44781</v>
      </c>
    </row>
    <row r="266" spans="1:6" ht="14.25" customHeight="1" x14ac:dyDescent="0.25">
      <c r="A266" s="15" t="s">
        <v>406</v>
      </c>
      <c r="B266" s="27">
        <v>1202</v>
      </c>
      <c r="C266" s="27">
        <v>53934</v>
      </c>
      <c r="D266" s="28">
        <v>44788</v>
      </c>
      <c r="E266" s="29">
        <v>144</v>
      </c>
      <c r="F266" s="15" t="str">
        <f t="shared" si="4"/>
        <v>1202-53934-44788</v>
      </c>
    </row>
    <row r="267" spans="1:6" ht="14.25" customHeight="1" x14ac:dyDescent="0.25">
      <c r="A267" s="15" t="s">
        <v>407</v>
      </c>
      <c r="B267" s="27">
        <v>1202</v>
      </c>
      <c r="C267" s="27">
        <v>78699</v>
      </c>
      <c r="D267" s="28">
        <v>44739</v>
      </c>
      <c r="E267" s="29">
        <v>44</v>
      </c>
      <c r="F267" s="15" t="str">
        <f t="shared" si="4"/>
        <v>1202-78699-44739</v>
      </c>
    </row>
    <row r="268" spans="1:6" ht="14.25" customHeight="1" x14ac:dyDescent="0.25">
      <c r="A268" s="15" t="s">
        <v>408</v>
      </c>
      <c r="B268" s="27">
        <v>1202</v>
      </c>
      <c r="C268" s="27">
        <v>78699</v>
      </c>
      <c r="D268" s="28">
        <v>44746</v>
      </c>
      <c r="E268" s="29">
        <v>24</v>
      </c>
      <c r="F268" s="15" t="str">
        <f t="shared" si="4"/>
        <v>1202-78699-44746</v>
      </c>
    </row>
    <row r="269" spans="1:6" ht="14.25" customHeight="1" x14ac:dyDescent="0.25">
      <c r="A269" s="15" t="s">
        <v>409</v>
      </c>
      <c r="B269" s="27">
        <v>1202</v>
      </c>
      <c r="C269" s="27">
        <v>78699</v>
      </c>
      <c r="D269" s="28">
        <v>44753</v>
      </c>
      <c r="E269" s="29">
        <v>40</v>
      </c>
      <c r="F269" s="15" t="str">
        <f t="shared" si="4"/>
        <v>1202-78699-44753</v>
      </c>
    </row>
    <row r="270" spans="1:6" ht="14.25" customHeight="1" x14ac:dyDescent="0.25">
      <c r="A270" s="15" t="s">
        <v>410</v>
      </c>
      <c r="B270" s="27">
        <v>1202</v>
      </c>
      <c r="C270" s="27">
        <v>78699</v>
      </c>
      <c r="D270" s="28">
        <v>44760</v>
      </c>
      <c r="E270" s="29">
        <v>30</v>
      </c>
      <c r="F270" s="15" t="str">
        <f t="shared" si="4"/>
        <v>1202-78699-44760</v>
      </c>
    </row>
    <row r="271" spans="1:6" ht="14.25" customHeight="1" x14ac:dyDescent="0.25">
      <c r="A271" s="15" t="s">
        <v>411</v>
      </c>
      <c r="B271" s="27">
        <v>1202</v>
      </c>
      <c r="C271" s="27">
        <v>78699</v>
      </c>
      <c r="D271" s="28">
        <v>44767</v>
      </c>
      <c r="E271" s="29">
        <v>58</v>
      </c>
      <c r="F271" s="15" t="str">
        <f t="shared" si="4"/>
        <v>1202-78699-44767</v>
      </c>
    </row>
    <row r="272" spans="1:6" ht="14.25" customHeight="1" x14ac:dyDescent="0.25">
      <c r="A272" s="15" t="s">
        <v>412</v>
      </c>
      <c r="B272" s="27">
        <v>1202</v>
      </c>
      <c r="C272" s="27">
        <v>78699</v>
      </c>
      <c r="D272" s="28">
        <v>44774</v>
      </c>
      <c r="E272" s="29">
        <v>16</v>
      </c>
      <c r="F272" s="15" t="str">
        <f t="shared" si="4"/>
        <v>1202-78699-44774</v>
      </c>
    </row>
    <row r="273" spans="1:6" ht="14.25" customHeight="1" x14ac:dyDescent="0.25">
      <c r="A273" s="15" t="s">
        <v>413</v>
      </c>
      <c r="B273" s="27">
        <v>1202</v>
      </c>
      <c r="C273" s="27">
        <v>78699</v>
      </c>
      <c r="D273" s="28">
        <v>44781</v>
      </c>
      <c r="E273" s="29">
        <v>44</v>
      </c>
      <c r="F273" s="15" t="str">
        <f t="shared" si="4"/>
        <v>1202-78699-44781</v>
      </c>
    </row>
    <row r="274" spans="1:6" ht="14.25" customHeight="1" x14ac:dyDescent="0.25">
      <c r="A274" s="15" t="s">
        <v>414</v>
      </c>
      <c r="B274" s="27">
        <v>1202</v>
      </c>
      <c r="C274" s="27">
        <v>78699</v>
      </c>
      <c r="D274" s="28">
        <v>44788</v>
      </c>
      <c r="E274" s="29">
        <v>52</v>
      </c>
      <c r="F274" s="15" t="str">
        <f t="shared" si="4"/>
        <v>1202-78699-44788</v>
      </c>
    </row>
    <row r="275" spans="1:6" ht="14.25" customHeight="1" x14ac:dyDescent="0.25">
      <c r="A275" s="15" t="s">
        <v>415</v>
      </c>
      <c r="B275" s="27">
        <v>1202</v>
      </c>
      <c r="C275" s="27">
        <v>78869</v>
      </c>
      <c r="D275" s="28">
        <v>44739</v>
      </c>
      <c r="E275" s="29">
        <v>9</v>
      </c>
      <c r="F275" s="15" t="str">
        <f t="shared" si="4"/>
        <v>1202-78869-44739</v>
      </c>
    </row>
    <row r="276" spans="1:6" ht="14.25" customHeight="1" x14ac:dyDescent="0.25">
      <c r="A276" s="15" t="s">
        <v>416</v>
      </c>
      <c r="B276" s="27">
        <v>1202</v>
      </c>
      <c r="C276" s="27">
        <v>78869</v>
      </c>
      <c r="D276" s="28">
        <v>44746</v>
      </c>
      <c r="E276" s="29">
        <v>9</v>
      </c>
      <c r="F276" s="15" t="str">
        <f t="shared" si="4"/>
        <v>1202-78869-44746</v>
      </c>
    </row>
    <row r="277" spans="1:6" ht="14.25" customHeight="1" x14ac:dyDescent="0.25">
      <c r="A277" s="15" t="s">
        <v>417</v>
      </c>
      <c r="B277" s="27">
        <v>1202</v>
      </c>
      <c r="C277" s="27">
        <v>78869</v>
      </c>
      <c r="D277" s="28">
        <v>44753</v>
      </c>
      <c r="E277" s="29">
        <v>9</v>
      </c>
      <c r="F277" s="15" t="str">
        <f t="shared" si="4"/>
        <v>1202-78869-44753</v>
      </c>
    </row>
    <row r="278" spans="1:6" ht="14.25" customHeight="1" x14ac:dyDescent="0.25">
      <c r="A278" s="15" t="s">
        <v>418</v>
      </c>
      <c r="B278" s="27">
        <v>1202</v>
      </c>
      <c r="C278" s="27">
        <v>78869</v>
      </c>
      <c r="D278" s="28">
        <v>44760</v>
      </c>
      <c r="E278" s="29">
        <v>9</v>
      </c>
      <c r="F278" s="15" t="str">
        <f t="shared" si="4"/>
        <v>1202-78869-44760</v>
      </c>
    </row>
    <row r="279" spans="1:6" ht="14.25" customHeight="1" x14ac:dyDescent="0.25">
      <c r="A279" s="15" t="s">
        <v>419</v>
      </c>
      <c r="B279" s="27">
        <v>1202</v>
      </c>
      <c r="C279" s="27">
        <v>78869</v>
      </c>
      <c r="D279" s="28">
        <v>44767</v>
      </c>
      <c r="E279" s="29">
        <v>9</v>
      </c>
      <c r="F279" s="15" t="str">
        <f t="shared" si="4"/>
        <v>1202-78869-44767</v>
      </c>
    </row>
    <row r="280" spans="1:6" ht="14.25" customHeight="1" x14ac:dyDescent="0.25">
      <c r="A280" s="15" t="s">
        <v>420</v>
      </c>
      <c r="B280" s="27">
        <v>1202</v>
      </c>
      <c r="C280" s="27">
        <v>78869</v>
      </c>
      <c r="D280" s="28">
        <v>44774</v>
      </c>
      <c r="E280" s="29">
        <v>9</v>
      </c>
      <c r="F280" s="15" t="str">
        <f t="shared" si="4"/>
        <v>1202-78869-44774</v>
      </c>
    </row>
    <row r="281" spans="1:6" ht="14.25" customHeight="1" x14ac:dyDescent="0.25">
      <c r="A281" s="15" t="s">
        <v>421</v>
      </c>
      <c r="B281" s="27">
        <v>1202</v>
      </c>
      <c r="C281" s="27">
        <v>78869</v>
      </c>
      <c r="D281" s="28">
        <v>44781</v>
      </c>
      <c r="E281" s="29">
        <v>9</v>
      </c>
      <c r="F281" s="15" t="str">
        <f t="shared" si="4"/>
        <v>1202-78869-44781</v>
      </c>
    </row>
    <row r="282" spans="1:6" ht="14.25" customHeight="1" x14ac:dyDescent="0.25">
      <c r="A282" s="15" t="s">
        <v>422</v>
      </c>
      <c r="B282" s="27">
        <v>1202</v>
      </c>
      <c r="C282" s="27">
        <v>78869</v>
      </c>
      <c r="D282" s="28">
        <v>44788</v>
      </c>
      <c r="E282" s="29">
        <v>9</v>
      </c>
      <c r="F282" s="15" t="str">
        <f t="shared" si="4"/>
        <v>1202-78869-44788</v>
      </c>
    </row>
    <row r="283" spans="1:6" ht="14.25" customHeight="1" x14ac:dyDescent="0.25">
      <c r="A283" s="15" t="s">
        <v>423</v>
      </c>
      <c r="B283" s="27">
        <v>1202</v>
      </c>
      <c r="C283" s="27">
        <v>115600</v>
      </c>
      <c r="D283" s="28">
        <v>44739</v>
      </c>
      <c r="E283" s="29">
        <v>87</v>
      </c>
      <c r="F283" s="15" t="str">
        <f t="shared" si="4"/>
        <v>1202-115600-44739</v>
      </c>
    </row>
    <row r="284" spans="1:6" ht="14.25" customHeight="1" x14ac:dyDescent="0.25">
      <c r="A284" s="15" t="s">
        <v>424</v>
      </c>
      <c r="B284" s="27">
        <v>1202</v>
      </c>
      <c r="C284" s="27">
        <v>115600</v>
      </c>
      <c r="D284" s="28">
        <v>44746</v>
      </c>
      <c r="E284" s="29">
        <v>100</v>
      </c>
      <c r="F284" s="15" t="str">
        <f t="shared" si="4"/>
        <v>1202-115600-44746</v>
      </c>
    </row>
    <row r="285" spans="1:6" ht="14.25" customHeight="1" x14ac:dyDescent="0.25">
      <c r="A285" s="15" t="s">
        <v>425</v>
      </c>
      <c r="B285" s="27">
        <v>1202</v>
      </c>
      <c r="C285" s="27">
        <v>115600</v>
      </c>
      <c r="D285" s="28">
        <v>44753</v>
      </c>
      <c r="E285" s="29">
        <v>103</v>
      </c>
      <c r="F285" s="15" t="str">
        <f t="shared" si="4"/>
        <v>1202-115600-44753</v>
      </c>
    </row>
    <row r="286" spans="1:6" ht="14.25" customHeight="1" x14ac:dyDescent="0.25">
      <c r="A286" s="15" t="s">
        <v>426</v>
      </c>
      <c r="B286" s="27">
        <v>1202</v>
      </c>
      <c r="C286" s="27">
        <v>115600</v>
      </c>
      <c r="D286" s="28">
        <v>44760</v>
      </c>
      <c r="E286" s="29">
        <v>57</v>
      </c>
      <c r="F286" s="15" t="str">
        <f t="shared" si="4"/>
        <v>1202-115600-44760</v>
      </c>
    </row>
    <row r="287" spans="1:6" ht="14.25" customHeight="1" x14ac:dyDescent="0.25">
      <c r="A287" s="15" t="s">
        <v>427</v>
      </c>
      <c r="B287" s="27">
        <v>1202</v>
      </c>
      <c r="C287" s="27">
        <v>115600</v>
      </c>
      <c r="D287" s="28">
        <v>44767</v>
      </c>
      <c r="E287" s="29">
        <v>84</v>
      </c>
      <c r="F287" s="15" t="str">
        <f t="shared" si="4"/>
        <v>1202-115600-44767</v>
      </c>
    </row>
    <row r="288" spans="1:6" ht="14.25" customHeight="1" x14ac:dyDescent="0.25">
      <c r="A288" s="15" t="s">
        <v>428</v>
      </c>
      <c r="B288" s="27">
        <v>1202</v>
      </c>
      <c r="C288" s="27">
        <v>115600</v>
      </c>
      <c r="D288" s="28">
        <v>44774</v>
      </c>
      <c r="E288" s="29">
        <v>50</v>
      </c>
      <c r="F288" s="15" t="str">
        <f t="shared" si="4"/>
        <v>1202-115600-44774</v>
      </c>
    </row>
    <row r="289" spans="1:6" ht="14.25" customHeight="1" x14ac:dyDescent="0.25">
      <c r="A289" s="15" t="s">
        <v>429</v>
      </c>
      <c r="B289" s="27">
        <v>1202</v>
      </c>
      <c r="C289" s="27">
        <v>115600</v>
      </c>
      <c r="D289" s="28">
        <v>44781</v>
      </c>
      <c r="E289" s="29">
        <v>89</v>
      </c>
      <c r="F289" s="15" t="str">
        <f t="shared" si="4"/>
        <v>1202-115600-44781</v>
      </c>
    </row>
    <row r="290" spans="1:6" ht="14.25" customHeight="1" x14ac:dyDescent="0.25">
      <c r="A290" s="15" t="s">
        <v>430</v>
      </c>
      <c r="B290" s="27">
        <v>1202</v>
      </c>
      <c r="C290" s="27">
        <v>115600</v>
      </c>
      <c r="D290" s="28">
        <v>44788</v>
      </c>
      <c r="E290" s="29">
        <v>105</v>
      </c>
      <c r="F290" s="15" t="str">
        <f t="shared" si="4"/>
        <v>1202-115600-44788</v>
      </c>
    </row>
    <row r="291" spans="1:6" ht="14.25" customHeight="1" x14ac:dyDescent="0.25">
      <c r="A291" s="15" t="s">
        <v>431</v>
      </c>
      <c r="B291" s="27">
        <v>1202</v>
      </c>
      <c r="C291" s="27">
        <v>129208</v>
      </c>
      <c r="D291" s="28">
        <v>44739</v>
      </c>
      <c r="E291" s="29">
        <v>80</v>
      </c>
      <c r="F291" s="15" t="str">
        <f t="shared" si="4"/>
        <v>1202-129208-44739</v>
      </c>
    </row>
    <row r="292" spans="1:6" ht="14.25" customHeight="1" x14ac:dyDescent="0.25">
      <c r="A292" s="15" t="s">
        <v>432</v>
      </c>
      <c r="B292" s="27">
        <v>1202</v>
      </c>
      <c r="C292" s="27">
        <v>129208</v>
      </c>
      <c r="D292" s="28">
        <v>44746</v>
      </c>
      <c r="E292" s="29">
        <v>41</v>
      </c>
      <c r="F292" s="15" t="str">
        <f t="shared" si="4"/>
        <v>1202-129208-44746</v>
      </c>
    </row>
    <row r="293" spans="1:6" ht="14.25" customHeight="1" x14ac:dyDescent="0.25">
      <c r="A293" s="15" t="s">
        <v>433</v>
      </c>
      <c r="B293" s="27">
        <v>1202</v>
      </c>
      <c r="C293" s="27">
        <v>129208</v>
      </c>
      <c r="D293" s="28">
        <v>44753</v>
      </c>
      <c r="E293" s="29">
        <v>60</v>
      </c>
      <c r="F293" s="15" t="str">
        <f t="shared" si="4"/>
        <v>1202-129208-44753</v>
      </c>
    </row>
    <row r="294" spans="1:6" ht="14.25" customHeight="1" x14ac:dyDescent="0.25">
      <c r="A294" s="15" t="s">
        <v>434</v>
      </c>
      <c r="B294" s="27">
        <v>1202</v>
      </c>
      <c r="C294" s="27">
        <v>129208</v>
      </c>
      <c r="D294" s="28">
        <v>44760</v>
      </c>
      <c r="E294" s="29">
        <v>103</v>
      </c>
      <c r="F294" s="15" t="str">
        <f t="shared" si="4"/>
        <v>1202-129208-44760</v>
      </c>
    </row>
    <row r="295" spans="1:6" ht="14.25" customHeight="1" x14ac:dyDescent="0.25">
      <c r="A295" s="15" t="s">
        <v>435</v>
      </c>
      <c r="B295" s="27">
        <v>1202</v>
      </c>
      <c r="C295" s="27">
        <v>129208</v>
      </c>
      <c r="D295" s="28">
        <v>44767</v>
      </c>
      <c r="E295" s="29">
        <v>84</v>
      </c>
      <c r="F295" s="15" t="str">
        <f t="shared" si="4"/>
        <v>1202-129208-44767</v>
      </c>
    </row>
    <row r="296" spans="1:6" ht="14.25" customHeight="1" x14ac:dyDescent="0.25">
      <c r="A296" s="15" t="s">
        <v>436</v>
      </c>
      <c r="B296" s="27">
        <v>1202</v>
      </c>
      <c r="C296" s="27">
        <v>129208</v>
      </c>
      <c r="D296" s="28">
        <v>44774</v>
      </c>
      <c r="E296" s="29">
        <v>42</v>
      </c>
      <c r="F296" s="15" t="str">
        <f t="shared" si="4"/>
        <v>1202-129208-44774</v>
      </c>
    </row>
    <row r="297" spans="1:6" ht="14.25" customHeight="1" x14ac:dyDescent="0.25">
      <c r="A297" s="15" t="s">
        <v>437</v>
      </c>
      <c r="B297" s="27">
        <v>1202</v>
      </c>
      <c r="C297" s="27">
        <v>129208</v>
      </c>
      <c r="D297" s="28">
        <v>44781</v>
      </c>
      <c r="E297" s="29">
        <v>98</v>
      </c>
      <c r="F297" s="15" t="str">
        <f t="shared" si="4"/>
        <v>1202-129208-44781</v>
      </c>
    </row>
    <row r="298" spans="1:6" ht="14.25" customHeight="1" x14ac:dyDescent="0.25">
      <c r="A298" s="15" t="s">
        <v>438</v>
      </c>
      <c r="B298" s="27">
        <v>1202</v>
      </c>
      <c r="C298" s="27">
        <v>129208</v>
      </c>
      <c r="D298" s="28">
        <v>44788</v>
      </c>
      <c r="E298" s="29">
        <v>109</v>
      </c>
      <c r="F298" s="15" t="str">
        <f t="shared" si="4"/>
        <v>1202-129208-44788</v>
      </c>
    </row>
    <row r="299" spans="1:6" ht="14.25" customHeight="1" x14ac:dyDescent="0.25">
      <c r="A299" s="15" t="s">
        <v>439</v>
      </c>
      <c r="B299" s="27">
        <v>1202</v>
      </c>
      <c r="C299" s="27">
        <v>141622</v>
      </c>
      <c r="D299" s="28">
        <v>44739</v>
      </c>
      <c r="E299" s="29">
        <v>98</v>
      </c>
      <c r="F299" s="15" t="str">
        <f t="shared" si="4"/>
        <v>1202-141622-44739</v>
      </c>
    </row>
    <row r="300" spans="1:6" ht="14.25" customHeight="1" x14ac:dyDescent="0.25">
      <c r="A300" s="15" t="s">
        <v>440</v>
      </c>
      <c r="B300" s="27">
        <v>1202</v>
      </c>
      <c r="C300" s="27">
        <v>141622</v>
      </c>
      <c r="D300" s="28">
        <v>44746</v>
      </c>
      <c r="E300" s="29">
        <v>113</v>
      </c>
      <c r="F300" s="15" t="str">
        <f t="shared" si="4"/>
        <v>1202-141622-44746</v>
      </c>
    </row>
    <row r="301" spans="1:6" ht="14.25" customHeight="1" x14ac:dyDescent="0.25">
      <c r="A301" s="15" t="s">
        <v>441</v>
      </c>
      <c r="B301" s="27">
        <v>1202</v>
      </c>
      <c r="C301" s="27">
        <v>141622</v>
      </c>
      <c r="D301" s="28">
        <v>44753</v>
      </c>
      <c r="E301" s="29">
        <v>159</v>
      </c>
      <c r="F301" s="15" t="str">
        <f t="shared" si="4"/>
        <v>1202-141622-44753</v>
      </c>
    </row>
    <row r="302" spans="1:6" ht="14.25" customHeight="1" x14ac:dyDescent="0.25">
      <c r="A302" s="15" t="s">
        <v>442</v>
      </c>
      <c r="B302" s="27">
        <v>1202</v>
      </c>
      <c r="C302" s="27">
        <v>141622</v>
      </c>
      <c r="D302" s="28">
        <v>44760</v>
      </c>
      <c r="E302" s="29">
        <v>106</v>
      </c>
      <c r="F302" s="15" t="str">
        <f t="shared" si="4"/>
        <v>1202-141622-44760</v>
      </c>
    </row>
    <row r="303" spans="1:6" ht="14.25" customHeight="1" x14ac:dyDescent="0.25">
      <c r="A303" s="15" t="s">
        <v>443</v>
      </c>
      <c r="B303" s="27">
        <v>1202</v>
      </c>
      <c r="C303" s="27">
        <v>141622</v>
      </c>
      <c r="D303" s="28">
        <v>44767</v>
      </c>
      <c r="E303" s="29">
        <v>34</v>
      </c>
      <c r="F303" s="15" t="str">
        <f t="shared" si="4"/>
        <v>1202-141622-44767</v>
      </c>
    </row>
    <row r="304" spans="1:6" ht="14.25" customHeight="1" x14ac:dyDescent="0.25">
      <c r="A304" s="15" t="s">
        <v>444</v>
      </c>
      <c r="B304" s="27">
        <v>1202</v>
      </c>
      <c r="C304" s="27">
        <v>141622</v>
      </c>
      <c r="D304" s="28">
        <v>44774</v>
      </c>
      <c r="E304" s="29">
        <v>135</v>
      </c>
      <c r="F304" s="15" t="str">
        <f t="shared" si="4"/>
        <v>1202-141622-44774</v>
      </c>
    </row>
    <row r="305" spans="1:6" ht="14.25" customHeight="1" x14ac:dyDescent="0.25">
      <c r="A305" s="15" t="s">
        <v>445</v>
      </c>
      <c r="B305" s="27">
        <v>1202</v>
      </c>
      <c r="C305" s="27">
        <v>141622</v>
      </c>
      <c r="D305" s="28">
        <v>44781</v>
      </c>
      <c r="E305" s="29">
        <v>157</v>
      </c>
      <c r="F305" s="15" t="str">
        <f t="shared" si="4"/>
        <v>1202-141622-44781</v>
      </c>
    </row>
    <row r="306" spans="1:6" ht="14.25" customHeight="1" x14ac:dyDescent="0.25">
      <c r="A306" s="15" t="s">
        <v>446</v>
      </c>
      <c r="B306" s="27">
        <v>1202</v>
      </c>
      <c r="C306" s="27">
        <v>141622</v>
      </c>
      <c r="D306" s="28">
        <v>44788</v>
      </c>
      <c r="E306" s="29">
        <v>128</v>
      </c>
      <c r="F306" s="15" t="str">
        <f t="shared" si="4"/>
        <v>1202-141622-44788</v>
      </c>
    </row>
    <row r="307" spans="1:6" ht="14.25" customHeight="1" x14ac:dyDescent="0.25">
      <c r="A307" s="15" t="s">
        <v>447</v>
      </c>
      <c r="B307" s="27">
        <v>1202</v>
      </c>
      <c r="C307" s="27">
        <v>141626</v>
      </c>
      <c r="D307" s="28">
        <v>44739</v>
      </c>
      <c r="E307" s="29">
        <v>612</v>
      </c>
      <c r="F307" s="15" t="str">
        <f t="shared" si="4"/>
        <v>1202-141626-44739</v>
      </c>
    </row>
    <row r="308" spans="1:6" ht="14.25" customHeight="1" x14ac:dyDescent="0.25">
      <c r="A308" s="15" t="s">
        <v>448</v>
      </c>
      <c r="B308" s="27">
        <v>1202</v>
      </c>
      <c r="C308" s="27">
        <v>141626</v>
      </c>
      <c r="D308" s="28">
        <v>44746</v>
      </c>
      <c r="E308" s="29">
        <v>688</v>
      </c>
      <c r="F308" s="15" t="str">
        <f t="shared" si="4"/>
        <v>1202-141626-44746</v>
      </c>
    </row>
    <row r="309" spans="1:6" ht="14.25" customHeight="1" x14ac:dyDescent="0.25">
      <c r="A309" s="15" t="s">
        <v>449</v>
      </c>
      <c r="B309" s="27">
        <v>1202</v>
      </c>
      <c r="C309" s="27">
        <v>141626</v>
      </c>
      <c r="D309" s="28">
        <v>44753</v>
      </c>
      <c r="E309" s="29">
        <v>601</v>
      </c>
      <c r="F309" s="15" t="str">
        <f t="shared" si="4"/>
        <v>1202-141626-44753</v>
      </c>
    </row>
    <row r="310" spans="1:6" ht="14.25" customHeight="1" x14ac:dyDescent="0.25">
      <c r="A310" s="15" t="s">
        <v>450</v>
      </c>
      <c r="B310" s="27">
        <v>1202</v>
      </c>
      <c r="C310" s="27">
        <v>141626</v>
      </c>
      <c r="D310" s="28">
        <v>44760</v>
      </c>
      <c r="E310" s="29">
        <v>598</v>
      </c>
      <c r="F310" s="15" t="str">
        <f t="shared" si="4"/>
        <v>1202-141626-44760</v>
      </c>
    </row>
    <row r="311" spans="1:6" ht="14.25" customHeight="1" x14ac:dyDescent="0.25">
      <c r="A311" s="15" t="s">
        <v>451</v>
      </c>
      <c r="B311" s="27">
        <v>1202</v>
      </c>
      <c r="C311" s="27">
        <v>141626</v>
      </c>
      <c r="D311" s="28">
        <v>44767</v>
      </c>
      <c r="E311" s="29">
        <v>349</v>
      </c>
      <c r="F311" s="15" t="str">
        <f t="shared" si="4"/>
        <v>1202-141626-44767</v>
      </c>
    </row>
    <row r="312" spans="1:6" ht="14.25" customHeight="1" x14ac:dyDescent="0.25">
      <c r="A312" s="15" t="s">
        <v>452</v>
      </c>
      <c r="B312" s="27">
        <v>1202</v>
      </c>
      <c r="C312" s="27">
        <v>141626</v>
      </c>
      <c r="D312" s="28">
        <v>44774</v>
      </c>
      <c r="E312" s="29">
        <v>462</v>
      </c>
      <c r="F312" s="15" t="str">
        <f t="shared" si="4"/>
        <v>1202-141626-44774</v>
      </c>
    </row>
    <row r="313" spans="1:6" ht="14.25" customHeight="1" x14ac:dyDescent="0.25">
      <c r="A313" s="15" t="s">
        <v>453</v>
      </c>
      <c r="B313" s="27">
        <v>1202</v>
      </c>
      <c r="C313" s="27">
        <v>141626</v>
      </c>
      <c r="D313" s="28">
        <v>44781</v>
      </c>
      <c r="E313" s="29">
        <v>539</v>
      </c>
      <c r="F313" s="15" t="str">
        <f t="shared" si="4"/>
        <v>1202-141626-44781</v>
      </c>
    </row>
    <row r="314" spans="1:6" ht="14.25" customHeight="1" x14ac:dyDescent="0.25">
      <c r="A314" s="15" t="s">
        <v>454</v>
      </c>
      <c r="B314" s="27">
        <v>1202</v>
      </c>
      <c r="C314" s="27">
        <v>141626</v>
      </c>
      <c r="D314" s="28">
        <v>44788</v>
      </c>
      <c r="E314" s="29">
        <v>584</v>
      </c>
      <c r="F314" s="15" t="str">
        <f t="shared" si="4"/>
        <v>1202-141626-44788</v>
      </c>
    </row>
    <row r="315" spans="1:6" ht="14.25" customHeight="1" x14ac:dyDescent="0.25">
      <c r="A315" s="15" t="s">
        <v>455</v>
      </c>
      <c r="B315" s="27">
        <v>1202</v>
      </c>
      <c r="C315" s="27">
        <v>141791</v>
      </c>
      <c r="D315" s="28">
        <v>44739</v>
      </c>
      <c r="E315" s="29">
        <v>55</v>
      </c>
      <c r="F315" s="15" t="str">
        <f t="shared" si="4"/>
        <v>1202-141791-44739</v>
      </c>
    </row>
    <row r="316" spans="1:6" ht="14.25" customHeight="1" x14ac:dyDescent="0.25">
      <c r="A316" s="15" t="s">
        <v>456</v>
      </c>
      <c r="B316" s="27">
        <v>1202</v>
      </c>
      <c r="C316" s="27">
        <v>141791</v>
      </c>
      <c r="D316" s="28">
        <v>44746</v>
      </c>
      <c r="E316" s="29">
        <v>51</v>
      </c>
      <c r="F316" s="15" t="str">
        <f t="shared" si="4"/>
        <v>1202-141791-44746</v>
      </c>
    </row>
    <row r="317" spans="1:6" ht="14.25" customHeight="1" x14ac:dyDescent="0.25">
      <c r="A317" s="15" t="s">
        <v>457</v>
      </c>
      <c r="B317" s="27">
        <v>1202</v>
      </c>
      <c r="C317" s="27">
        <v>141791</v>
      </c>
      <c r="D317" s="28">
        <v>44753</v>
      </c>
      <c r="E317" s="29">
        <v>57</v>
      </c>
      <c r="F317" s="15" t="str">
        <f t="shared" si="4"/>
        <v>1202-141791-44753</v>
      </c>
    </row>
    <row r="318" spans="1:6" ht="14.25" customHeight="1" x14ac:dyDescent="0.25">
      <c r="A318" s="15" t="s">
        <v>458</v>
      </c>
      <c r="B318" s="27">
        <v>1202</v>
      </c>
      <c r="C318" s="27">
        <v>141791</v>
      </c>
      <c r="D318" s="28">
        <v>44760</v>
      </c>
      <c r="E318" s="29">
        <v>55</v>
      </c>
      <c r="F318" s="15" t="str">
        <f t="shared" si="4"/>
        <v>1202-141791-44760</v>
      </c>
    </row>
    <row r="319" spans="1:6" ht="14.25" customHeight="1" x14ac:dyDescent="0.25">
      <c r="A319" s="15" t="s">
        <v>459</v>
      </c>
      <c r="B319" s="27">
        <v>1202</v>
      </c>
      <c r="C319" s="27">
        <v>141791</v>
      </c>
      <c r="D319" s="28">
        <v>44767</v>
      </c>
      <c r="E319" s="29">
        <v>61</v>
      </c>
      <c r="F319" s="15" t="str">
        <f t="shared" si="4"/>
        <v>1202-141791-44767</v>
      </c>
    </row>
    <row r="320" spans="1:6" ht="14.25" customHeight="1" x14ac:dyDescent="0.25">
      <c r="A320" s="15" t="s">
        <v>460</v>
      </c>
      <c r="B320" s="27">
        <v>1202</v>
      </c>
      <c r="C320" s="27">
        <v>141791</v>
      </c>
      <c r="D320" s="28">
        <v>44774</v>
      </c>
      <c r="E320" s="29">
        <v>51</v>
      </c>
      <c r="F320" s="15" t="str">
        <f t="shared" si="4"/>
        <v>1202-141791-44774</v>
      </c>
    </row>
    <row r="321" spans="1:6" ht="14.25" customHeight="1" x14ac:dyDescent="0.25">
      <c r="A321" s="15" t="s">
        <v>461</v>
      </c>
      <c r="B321" s="27">
        <v>1202</v>
      </c>
      <c r="C321" s="27">
        <v>141791</v>
      </c>
      <c r="D321" s="28">
        <v>44781</v>
      </c>
      <c r="E321" s="29">
        <v>35</v>
      </c>
      <c r="F321" s="15" t="str">
        <f t="shared" si="4"/>
        <v>1202-141791-44781</v>
      </c>
    </row>
    <row r="322" spans="1:6" ht="14.25" customHeight="1" x14ac:dyDescent="0.25">
      <c r="A322" s="15" t="s">
        <v>462</v>
      </c>
      <c r="B322" s="27">
        <v>1202</v>
      </c>
      <c r="C322" s="27">
        <v>141791</v>
      </c>
      <c r="D322" s="28">
        <v>44788</v>
      </c>
      <c r="E322" s="29">
        <v>39</v>
      </c>
      <c r="F322" s="15" t="str">
        <f t="shared" si="4"/>
        <v>1202-141791-44788</v>
      </c>
    </row>
    <row r="323" spans="1:6" ht="14.25" customHeight="1" x14ac:dyDescent="0.25">
      <c r="A323" s="15" t="s">
        <v>463</v>
      </c>
      <c r="B323" s="27">
        <v>1202</v>
      </c>
      <c r="C323" s="27">
        <v>141846</v>
      </c>
      <c r="D323" s="28">
        <v>44739</v>
      </c>
      <c r="E323" s="29">
        <v>13</v>
      </c>
      <c r="F323" s="15" t="str">
        <f t="shared" ref="F323:F386" si="5">B323&amp;"-"&amp;C323&amp;"-"&amp;INT(D323)</f>
        <v>1202-141846-44739</v>
      </c>
    </row>
    <row r="324" spans="1:6" ht="14.25" customHeight="1" x14ac:dyDescent="0.25">
      <c r="A324" s="15" t="s">
        <v>464</v>
      </c>
      <c r="B324" s="27">
        <v>1202</v>
      </c>
      <c r="C324" s="27">
        <v>141846</v>
      </c>
      <c r="D324" s="28">
        <v>44746</v>
      </c>
      <c r="E324" s="29">
        <v>12</v>
      </c>
      <c r="F324" s="15" t="str">
        <f t="shared" si="5"/>
        <v>1202-141846-44746</v>
      </c>
    </row>
    <row r="325" spans="1:6" ht="14.25" customHeight="1" x14ac:dyDescent="0.25">
      <c r="A325" s="15" t="s">
        <v>465</v>
      </c>
      <c r="B325" s="27">
        <v>1202</v>
      </c>
      <c r="C325" s="27">
        <v>141846</v>
      </c>
      <c r="D325" s="28">
        <v>44753</v>
      </c>
      <c r="E325" s="29">
        <v>6</v>
      </c>
      <c r="F325" s="15" t="str">
        <f t="shared" si="5"/>
        <v>1202-141846-44753</v>
      </c>
    </row>
    <row r="326" spans="1:6" ht="14.25" customHeight="1" x14ac:dyDescent="0.25">
      <c r="A326" s="15" t="s">
        <v>466</v>
      </c>
      <c r="B326" s="27">
        <v>1202</v>
      </c>
      <c r="C326" s="27">
        <v>141846</v>
      </c>
      <c r="D326" s="28">
        <v>44760</v>
      </c>
      <c r="E326" s="29">
        <v>12</v>
      </c>
      <c r="F326" s="15" t="str">
        <f t="shared" si="5"/>
        <v>1202-141846-44760</v>
      </c>
    </row>
    <row r="327" spans="1:6" ht="14.25" customHeight="1" x14ac:dyDescent="0.25">
      <c r="A327" s="15" t="s">
        <v>467</v>
      </c>
      <c r="B327" s="27">
        <v>1202</v>
      </c>
      <c r="C327" s="27">
        <v>141846</v>
      </c>
      <c r="D327" s="28">
        <v>44767</v>
      </c>
      <c r="E327" s="29">
        <v>14</v>
      </c>
      <c r="F327" s="15" t="str">
        <f t="shared" si="5"/>
        <v>1202-141846-44767</v>
      </c>
    </row>
    <row r="328" spans="1:6" ht="14.25" customHeight="1" x14ac:dyDescent="0.25">
      <c r="A328" s="15" t="s">
        <v>468</v>
      </c>
      <c r="B328" s="27">
        <v>1202</v>
      </c>
      <c r="C328" s="27">
        <v>141846</v>
      </c>
      <c r="D328" s="28">
        <v>44774</v>
      </c>
      <c r="E328" s="29">
        <v>12</v>
      </c>
      <c r="F328" s="15" t="str">
        <f t="shared" si="5"/>
        <v>1202-141846-44774</v>
      </c>
    </row>
    <row r="329" spans="1:6" ht="14.25" customHeight="1" x14ac:dyDescent="0.25">
      <c r="A329" s="15" t="s">
        <v>469</v>
      </c>
      <c r="B329" s="27">
        <v>1202</v>
      </c>
      <c r="C329" s="27">
        <v>141846</v>
      </c>
      <c r="D329" s="28">
        <v>44781</v>
      </c>
      <c r="E329" s="29">
        <v>12</v>
      </c>
      <c r="F329" s="15" t="str">
        <f t="shared" si="5"/>
        <v>1202-141846-44781</v>
      </c>
    </row>
    <row r="330" spans="1:6" ht="14.25" customHeight="1" x14ac:dyDescent="0.25">
      <c r="A330" s="15" t="s">
        <v>470</v>
      </c>
      <c r="B330" s="27">
        <v>1202</v>
      </c>
      <c r="C330" s="27">
        <v>141846</v>
      </c>
      <c r="D330" s="28">
        <v>44788</v>
      </c>
      <c r="E330" s="29">
        <v>16</v>
      </c>
      <c r="F330" s="15" t="str">
        <f t="shared" si="5"/>
        <v>1202-141846-44788</v>
      </c>
    </row>
    <row r="331" spans="1:6" ht="14.25" customHeight="1" x14ac:dyDescent="0.25">
      <c r="A331" s="15" t="s">
        <v>471</v>
      </c>
      <c r="B331" s="27">
        <v>1202</v>
      </c>
      <c r="C331" s="27">
        <v>141967</v>
      </c>
      <c r="D331" s="28">
        <v>44739</v>
      </c>
      <c r="E331" s="29">
        <v>6</v>
      </c>
      <c r="F331" s="15" t="str">
        <f t="shared" si="5"/>
        <v>1202-141967-44739</v>
      </c>
    </row>
    <row r="332" spans="1:6" ht="14.25" customHeight="1" x14ac:dyDescent="0.25">
      <c r="A332" s="15" t="s">
        <v>472</v>
      </c>
      <c r="B332" s="27">
        <v>1202</v>
      </c>
      <c r="C332" s="27">
        <v>141967</v>
      </c>
      <c r="D332" s="28">
        <v>44746</v>
      </c>
      <c r="E332" s="29">
        <v>15</v>
      </c>
      <c r="F332" s="15" t="str">
        <f t="shared" si="5"/>
        <v>1202-141967-44746</v>
      </c>
    </row>
    <row r="333" spans="1:6" ht="14.25" customHeight="1" x14ac:dyDescent="0.25">
      <c r="A333" s="15" t="s">
        <v>473</v>
      </c>
      <c r="B333" s="27">
        <v>1202</v>
      </c>
      <c r="C333" s="27">
        <v>141967</v>
      </c>
      <c r="D333" s="28">
        <v>44753</v>
      </c>
      <c r="E333" s="29">
        <v>17</v>
      </c>
      <c r="F333" s="15" t="str">
        <f t="shared" si="5"/>
        <v>1202-141967-44753</v>
      </c>
    </row>
    <row r="334" spans="1:6" ht="14.25" customHeight="1" x14ac:dyDescent="0.25">
      <c r="A334" s="15" t="s">
        <v>474</v>
      </c>
      <c r="B334" s="27">
        <v>1202</v>
      </c>
      <c r="C334" s="27">
        <v>141967</v>
      </c>
      <c r="D334" s="28">
        <v>44760</v>
      </c>
      <c r="E334" s="29">
        <v>-1</v>
      </c>
      <c r="F334" s="15" t="str">
        <f t="shared" si="5"/>
        <v>1202-141967-44760</v>
      </c>
    </row>
    <row r="335" spans="1:6" ht="14.25" customHeight="1" x14ac:dyDescent="0.25">
      <c r="A335" s="15" t="s">
        <v>475</v>
      </c>
      <c r="B335" s="27">
        <v>1202</v>
      </c>
      <c r="C335" s="27">
        <v>141967</v>
      </c>
      <c r="D335" s="28">
        <v>44767</v>
      </c>
      <c r="E335" s="29">
        <v>15</v>
      </c>
      <c r="F335" s="15" t="str">
        <f t="shared" si="5"/>
        <v>1202-141967-44767</v>
      </c>
    </row>
    <row r="336" spans="1:6" ht="14.25" customHeight="1" x14ac:dyDescent="0.25">
      <c r="A336" s="15" t="s">
        <v>476</v>
      </c>
      <c r="B336" s="27">
        <v>1202</v>
      </c>
      <c r="C336" s="27">
        <v>141967</v>
      </c>
      <c r="D336" s="28">
        <v>44774</v>
      </c>
      <c r="E336" s="29">
        <v>15</v>
      </c>
      <c r="F336" s="15" t="str">
        <f t="shared" si="5"/>
        <v>1202-141967-44774</v>
      </c>
    </row>
    <row r="337" spans="1:6" ht="14.25" customHeight="1" x14ac:dyDescent="0.25">
      <c r="A337" s="15" t="s">
        <v>477</v>
      </c>
      <c r="B337" s="27">
        <v>1202</v>
      </c>
      <c r="C337" s="27">
        <v>141967</v>
      </c>
      <c r="D337" s="28">
        <v>44781</v>
      </c>
      <c r="E337" s="29">
        <v>9</v>
      </c>
      <c r="F337" s="15" t="str">
        <f t="shared" si="5"/>
        <v>1202-141967-44781</v>
      </c>
    </row>
    <row r="338" spans="1:6" ht="14.25" customHeight="1" x14ac:dyDescent="0.25">
      <c r="A338" s="15" t="s">
        <v>478</v>
      </c>
      <c r="B338" s="27">
        <v>1202</v>
      </c>
      <c r="C338" s="27">
        <v>141967</v>
      </c>
      <c r="D338" s="28">
        <v>44788</v>
      </c>
      <c r="E338" s="29">
        <v>23</v>
      </c>
      <c r="F338" s="15" t="str">
        <f t="shared" si="5"/>
        <v>1202-141967-44788</v>
      </c>
    </row>
    <row r="339" spans="1:6" ht="14.25" customHeight="1" x14ac:dyDescent="0.25">
      <c r="A339" s="15" t="s">
        <v>479</v>
      </c>
      <c r="B339" s="27">
        <v>1202</v>
      </c>
      <c r="C339" s="27">
        <v>142194</v>
      </c>
      <c r="D339" s="28">
        <v>44739</v>
      </c>
      <c r="E339" s="29">
        <v>17</v>
      </c>
      <c r="F339" s="15" t="str">
        <f t="shared" si="5"/>
        <v>1202-142194-44739</v>
      </c>
    </row>
    <row r="340" spans="1:6" ht="14.25" customHeight="1" x14ac:dyDescent="0.25">
      <c r="A340" s="15" t="s">
        <v>480</v>
      </c>
      <c r="B340" s="27">
        <v>1202</v>
      </c>
      <c r="C340" s="27">
        <v>142194</v>
      </c>
      <c r="D340" s="28">
        <v>44746</v>
      </c>
      <c r="E340" s="29">
        <v>9</v>
      </c>
      <c r="F340" s="15" t="str">
        <f t="shared" si="5"/>
        <v>1202-142194-44746</v>
      </c>
    </row>
    <row r="341" spans="1:6" ht="14.25" customHeight="1" x14ac:dyDescent="0.25">
      <c r="A341" s="15" t="s">
        <v>481</v>
      </c>
      <c r="B341" s="27">
        <v>1202</v>
      </c>
      <c r="C341" s="27">
        <v>142194</v>
      </c>
      <c r="D341" s="28">
        <v>44753</v>
      </c>
      <c r="E341" s="29">
        <v>15</v>
      </c>
      <c r="F341" s="15" t="str">
        <f t="shared" si="5"/>
        <v>1202-142194-44753</v>
      </c>
    </row>
    <row r="342" spans="1:6" ht="14.25" customHeight="1" x14ac:dyDescent="0.25">
      <c r="A342" s="15" t="s">
        <v>482</v>
      </c>
      <c r="B342" s="27">
        <v>1202</v>
      </c>
      <c r="C342" s="27">
        <v>142194</v>
      </c>
      <c r="D342" s="28">
        <v>44760</v>
      </c>
      <c r="E342" s="29">
        <v>21</v>
      </c>
      <c r="F342" s="15" t="str">
        <f t="shared" si="5"/>
        <v>1202-142194-44760</v>
      </c>
    </row>
    <row r="343" spans="1:6" ht="14.25" customHeight="1" x14ac:dyDescent="0.25">
      <c r="A343" s="15" t="s">
        <v>483</v>
      </c>
      <c r="B343" s="27">
        <v>1202</v>
      </c>
      <c r="C343" s="27">
        <v>142194</v>
      </c>
      <c r="D343" s="28">
        <v>44767</v>
      </c>
      <c r="E343" s="29">
        <v>15</v>
      </c>
      <c r="F343" s="15" t="str">
        <f t="shared" si="5"/>
        <v>1202-142194-44767</v>
      </c>
    </row>
    <row r="344" spans="1:6" ht="14.25" customHeight="1" x14ac:dyDescent="0.25">
      <c r="A344" s="15" t="s">
        <v>484</v>
      </c>
      <c r="B344" s="27">
        <v>1202</v>
      </c>
      <c r="C344" s="27">
        <v>142194</v>
      </c>
      <c r="D344" s="28">
        <v>44774</v>
      </c>
      <c r="E344" s="29">
        <v>20</v>
      </c>
      <c r="F344" s="15" t="str">
        <f t="shared" si="5"/>
        <v>1202-142194-44774</v>
      </c>
    </row>
    <row r="345" spans="1:6" ht="14.25" customHeight="1" x14ac:dyDescent="0.25">
      <c r="A345" s="15" t="s">
        <v>485</v>
      </c>
      <c r="B345" s="27">
        <v>1202</v>
      </c>
      <c r="C345" s="27">
        <v>142194</v>
      </c>
      <c r="D345" s="28">
        <v>44781</v>
      </c>
      <c r="E345" s="29">
        <v>15</v>
      </c>
      <c r="F345" s="15" t="str">
        <f t="shared" si="5"/>
        <v>1202-142194-44781</v>
      </c>
    </row>
    <row r="346" spans="1:6" ht="14.25" customHeight="1" x14ac:dyDescent="0.25">
      <c r="A346" s="15" t="s">
        <v>486</v>
      </c>
      <c r="B346" s="27">
        <v>1202</v>
      </c>
      <c r="C346" s="27">
        <v>142194</v>
      </c>
      <c r="D346" s="28">
        <v>44788</v>
      </c>
      <c r="E346" s="29">
        <v>21</v>
      </c>
      <c r="F346" s="15" t="str">
        <f t="shared" si="5"/>
        <v>1202-142194-44788</v>
      </c>
    </row>
    <row r="347" spans="1:6" ht="14.25" customHeight="1" x14ac:dyDescent="0.25">
      <c r="A347" s="15" t="s">
        <v>487</v>
      </c>
      <c r="B347" s="27">
        <v>1202</v>
      </c>
      <c r="C347" s="27">
        <v>149729</v>
      </c>
      <c r="D347" s="28">
        <v>44739</v>
      </c>
      <c r="E347" s="29">
        <v>34</v>
      </c>
      <c r="F347" s="15" t="str">
        <f t="shared" si="5"/>
        <v>1202-149729-44739</v>
      </c>
    </row>
    <row r="348" spans="1:6" ht="14.25" customHeight="1" x14ac:dyDescent="0.25">
      <c r="A348" s="15" t="s">
        <v>488</v>
      </c>
      <c r="B348" s="27">
        <v>1202</v>
      </c>
      <c r="C348" s="27">
        <v>149729</v>
      </c>
      <c r="D348" s="28">
        <v>44746</v>
      </c>
      <c r="E348" s="29">
        <v>51</v>
      </c>
      <c r="F348" s="15" t="str">
        <f t="shared" si="5"/>
        <v>1202-149729-44746</v>
      </c>
    </row>
    <row r="349" spans="1:6" ht="14.25" customHeight="1" x14ac:dyDescent="0.25">
      <c r="A349" s="15" t="s">
        <v>489</v>
      </c>
      <c r="B349" s="27">
        <v>1202</v>
      </c>
      <c r="C349" s="27">
        <v>149729</v>
      </c>
      <c r="D349" s="28">
        <v>44753</v>
      </c>
      <c r="E349" s="29">
        <v>48</v>
      </c>
      <c r="F349" s="15" t="str">
        <f t="shared" si="5"/>
        <v>1202-149729-44753</v>
      </c>
    </row>
    <row r="350" spans="1:6" ht="14.25" customHeight="1" x14ac:dyDescent="0.25">
      <c r="A350" s="15" t="s">
        <v>490</v>
      </c>
      <c r="B350" s="27">
        <v>1202</v>
      </c>
      <c r="C350" s="27">
        <v>149729</v>
      </c>
      <c r="D350" s="28">
        <v>44760</v>
      </c>
      <c r="E350" s="29">
        <v>54</v>
      </c>
      <c r="F350" s="15" t="str">
        <f t="shared" si="5"/>
        <v>1202-149729-44760</v>
      </c>
    </row>
    <row r="351" spans="1:6" ht="14.25" customHeight="1" x14ac:dyDescent="0.25">
      <c r="A351" s="15" t="s">
        <v>491</v>
      </c>
      <c r="B351" s="27">
        <v>1202</v>
      </c>
      <c r="C351" s="27">
        <v>149729</v>
      </c>
      <c r="D351" s="28">
        <v>44767</v>
      </c>
      <c r="E351" s="29">
        <v>48</v>
      </c>
      <c r="F351" s="15" t="str">
        <f t="shared" si="5"/>
        <v>1202-149729-44767</v>
      </c>
    </row>
    <row r="352" spans="1:6" ht="14.25" customHeight="1" x14ac:dyDescent="0.25">
      <c r="A352" s="15" t="s">
        <v>492</v>
      </c>
      <c r="B352" s="27">
        <v>1202</v>
      </c>
      <c r="C352" s="27">
        <v>149729</v>
      </c>
      <c r="D352" s="28">
        <v>44774</v>
      </c>
      <c r="E352" s="29">
        <v>50</v>
      </c>
      <c r="F352" s="15" t="str">
        <f t="shared" si="5"/>
        <v>1202-149729-44774</v>
      </c>
    </row>
    <row r="353" spans="1:6" ht="14.25" customHeight="1" x14ac:dyDescent="0.25">
      <c r="A353" s="15" t="s">
        <v>493</v>
      </c>
      <c r="B353" s="27">
        <v>1202</v>
      </c>
      <c r="C353" s="27">
        <v>149729</v>
      </c>
      <c r="D353" s="28">
        <v>44781</v>
      </c>
      <c r="E353" s="29">
        <v>56</v>
      </c>
      <c r="F353" s="15" t="str">
        <f t="shared" si="5"/>
        <v>1202-149729-44781</v>
      </c>
    </row>
    <row r="354" spans="1:6" ht="14.25" customHeight="1" x14ac:dyDescent="0.25">
      <c r="A354" s="15" t="s">
        <v>494</v>
      </c>
      <c r="B354" s="27">
        <v>1202</v>
      </c>
      <c r="C354" s="27">
        <v>149729</v>
      </c>
      <c r="D354" s="28">
        <v>44788</v>
      </c>
      <c r="E354" s="29">
        <v>59</v>
      </c>
      <c r="F354" s="15" t="str">
        <f t="shared" si="5"/>
        <v>1202-149729-44788</v>
      </c>
    </row>
    <row r="355" spans="1:6" ht="14.25" customHeight="1" x14ac:dyDescent="0.25">
      <c r="A355" s="15" t="s">
        <v>495</v>
      </c>
      <c r="B355" s="27">
        <v>1202</v>
      </c>
      <c r="C355" s="27">
        <v>149779</v>
      </c>
      <c r="D355" s="28">
        <v>44739</v>
      </c>
      <c r="E355" s="29">
        <v>260</v>
      </c>
      <c r="F355" s="15" t="str">
        <f t="shared" si="5"/>
        <v>1202-149779-44739</v>
      </c>
    </row>
    <row r="356" spans="1:6" ht="14.25" customHeight="1" x14ac:dyDescent="0.25">
      <c r="A356" s="15" t="s">
        <v>496</v>
      </c>
      <c r="B356" s="27">
        <v>1202</v>
      </c>
      <c r="C356" s="27">
        <v>149779</v>
      </c>
      <c r="D356" s="28">
        <v>44746</v>
      </c>
      <c r="E356" s="29">
        <v>81</v>
      </c>
      <c r="F356" s="15" t="str">
        <f t="shared" si="5"/>
        <v>1202-149779-44746</v>
      </c>
    </row>
    <row r="357" spans="1:6" ht="14.25" customHeight="1" x14ac:dyDescent="0.25">
      <c r="A357" s="15" t="s">
        <v>497</v>
      </c>
      <c r="B357" s="27">
        <v>1202</v>
      </c>
      <c r="C357" s="27">
        <v>149779</v>
      </c>
      <c r="D357" s="28">
        <v>44753</v>
      </c>
      <c r="E357" s="29">
        <v>108</v>
      </c>
      <c r="F357" s="15" t="str">
        <f t="shared" si="5"/>
        <v>1202-149779-44753</v>
      </c>
    </row>
    <row r="358" spans="1:6" ht="14.25" customHeight="1" x14ac:dyDescent="0.25">
      <c r="A358" s="15" t="s">
        <v>498</v>
      </c>
      <c r="B358" s="27">
        <v>1202</v>
      </c>
      <c r="C358" s="27">
        <v>149779</v>
      </c>
      <c r="D358" s="28">
        <v>44760</v>
      </c>
      <c r="E358" s="29">
        <v>234</v>
      </c>
      <c r="F358" s="15" t="str">
        <f t="shared" si="5"/>
        <v>1202-149779-44760</v>
      </c>
    </row>
    <row r="359" spans="1:6" ht="14.25" customHeight="1" x14ac:dyDescent="0.25">
      <c r="A359" s="15" t="s">
        <v>499</v>
      </c>
      <c r="B359" s="27">
        <v>1202</v>
      </c>
      <c r="C359" s="27">
        <v>149779</v>
      </c>
      <c r="D359" s="28">
        <v>44767</v>
      </c>
      <c r="E359" s="29">
        <v>86</v>
      </c>
      <c r="F359" s="15" t="str">
        <f t="shared" si="5"/>
        <v>1202-149779-44767</v>
      </c>
    </row>
    <row r="360" spans="1:6" ht="14.25" customHeight="1" x14ac:dyDescent="0.25">
      <c r="A360" s="15" t="s">
        <v>500</v>
      </c>
      <c r="B360" s="27">
        <v>1202</v>
      </c>
      <c r="C360" s="27">
        <v>149779</v>
      </c>
      <c r="D360" s="28">
        <v>44774</v>
      </c>
      <c r="E360" s="29">
        <v>176</v>
      </c>
      <c r="F360" s="15" t="str">
        <f t="shared" si="5"/>
        <v>1202-149779-44774</v>
      </c>
    </row>
    <row r="361" spans="1:6" ht="14.25" customHeight="1" x14ac:dyDescent="0.25">
      <c r="A361" s="15" t="s">
        <v>501</v>
      </c>
      <c r="B361" s="27">
        <v>1202</v>
      </c>
      <c r="C361" s="27">
        <v>149779</v>
      </c>
      <c r="D361" s="28">
        <v>44781</v>
      </c>
      <c r="E361" s="29">
        <v>188</v>
      </c>
      <c r="F361" s="15" t="str">
        <f t="shared" si="5"/>
        <v>1202-149779-44781</v>
      </c>
    </row>
    <row r="362" spans="1:6" ht="14.25" customHeight="1" x14ac:dyDescent="0.25">
      <c r="A362" s="15" t="s">
        <v>502</v>
      </c>
      <c r="B362" s="27">
        <v>1202</v>
      </c>
      <c r="C362" s="27">
        <v>149779</v>
      </c>
      <c r="D362" s="28">
        <v>44788</v>
      </c>
      <c r="E362" s="29">
        <v>203</v>
      </c>
      <c r="F362" s="15" t="str">
        <f t="shared" si="5"/>
        <v>1202-149779-44788</v>
      </c>
    </row>
    <row r="363" spans="1:6" ht="14.25" customHeight="1" x14ac:dyDescent="0.25">
      <c r="A363" s="15" t="s">
        <v>503</v>
      </c>
      <c r="B363" s="27">
        <v>1202</v>
      </c>
      <c r="C363" s="27">
        <v>189933</v>
      </c>
      <c r="D363" s="28">
        <v>44739</v>
      </c>
      <c r="E363" s="29">
        <v>82</v>
      </c>
      <c r="F363" s="15" t="str">
        <f t="shared" si="5"/>
        <v>1202-189933-44739</v>
      </c>
    </row>
    <row r="364" spans="1:6" ht="14.25" customHeight="1" x14ac:dyDescent="0.25">
      <c r="A364" s="15" t="s">
        <v>504</v>
      </c>
      <c r="B364" s="27">
        <v>1202</v>
      </c>
      <c r="C364" s="27">
        <v>189933</v>
      </c>
      <c r="D364" s="28">
        <v>44746</v>
      </c>
      <c r="E364" s="29">
        <v>69</v>
      </c>
      <c r="F364" s="15" t="str">
        <f t="shared" si="5"/>
        <v>1202-189933-44746</v>
      </c>
    </row>
    <row r="365" spans="1:6" ht="14.25" customHeight="1" x14ac:dyDescent="0.25">
      <c r="A365" s="15" t="s">
        <v>505</v>
      </c>
      <c r="B365" s="27">
        <v>1202</v>
      </c>
      <c r="C365" s="27">
        <v>189933</v>
      </c>
      <c r="D365" s="28">
        <v>44753</v>
      </c>
      <c r="E365" s="29">
        <v>113</v>
      </c>
      <c r="F365" s="15" t="str">
        <f t="shared" si="5"/>
        <v>1202-189933-44753</v>
      </c>
    </row>
    <row r="366" spans="1:6" ht="14.25" customHeight="1" x14ac:dyDescent="0.25">
      <c r="A366" s="15" t="s">
        <v>506</v>
      </c>
      <c r="B366" s="27">
        <v>1202</v>
      </c>
      <c r="C366" s="27">
        <v>189933</v>
      </c>
      <c r="D366" s="28">
        <v>44760</v>
      </c>
      <c r="E366" s="29">
        <v>26</v>
      </c>
      <c r="F366" s="15" t="str">
        <f t="shared" si="5"/>
        <v>1202-189933-44760</v>
      </c>
    </row>
    <row r="367" spans="1:6" ht="14.25" customHeight="1" x14ac:dyDescent="0.25">
      <c r="A367" s="15" t="s">
        <v>507</v>
      </c>
      <c r="B367" s="27">
        <v>1202</v>
      </c>
      <c r="C367" s="27">
        <v>189933</v>
      </c>
      <c r="D367" s="28">
        <v>44767</v>
      </c>
      <c r="E367" s="29">
        <v>79</v>
      </c>
      <c r="F367" s="15" t="str">
        <f t="shared" si="5"/>
        <v>1202-189933-44767</v>
      </c>
    </row>
    <row r="368" spans="1:6" ht="14.25" customHeight="1" x14ac:dyDescent="0.25">
      <c r="A368" s="15" t="s">
        <v>508</v>
      </c>
      <c r="B368" s="27">
        <v>1202</v>
      </c>
      <c r="C368" s="27">
        <v>189933</v>
      </c>
      <c r="D368" s="28">
        <v>44774</v>
      </c>
      <c r="E368" s="29">
        <v>79</v>
      </c>
      <c r="F368" s="15" t="str">
        <f t="shared" si="5"/>
        <v>1202-189933-44774</v>
      </c>
    </row>
    <row r="369" spans="1:6" ht="14.25" customHeight="1" x14ac:dyDescent="0.25">
      <c r="A369" s="15" t="s">
        <v>509</v>
      </c>
      <c r="B369" s="27">
        <v>1202</v>
      </c>
      <c r="C369" s="27">
        <v>189933</v>
      </c>
      <c r="D369" s="28">
        <v>44781</v>
      </c>
      <c r="E369" s="29">
        <v>71</v>
      </c>
      <c r="F369" s="15" t="str">
        <f t="shared" si="5"/>
        <v>1202-189933-44781</v>
      </c>
    </row>
    <row r="370" spans="1:6" ht="14.25" customHeight="1" x14ac:dyDescent="0.25">
      <c r="A370" s="15" t="s">
        <v>510</v>
      </c>
      <c r="B370" s="27">
        <v>1202</v>
      </c>
      <c r="C370" s="27">
        <v>189933</v>
      </c>
      <c r="D370" s="28">
        <v>44788</v>
      </c>
      <c r="E370" s="29">
        <v>95</v>
      </c>
      <c r="F370" s="15" t="str">
        <f t="shared" si="5"/>
        <v>1202-189933-44788</v>
      </c>
    </row>
    <row r="371" spans="1:6" ht="14.25" customHeight="1" x14ac:dyDescent="0.25">
      <c r="A371" s="15" t="s">
        <v>511</v>
      </c>
      <c r="B371" s="27">
        <v>1202</v>
      </c>
      <c r="C371" s="27">
        <v>202577</v>
      </c>
      <c r="D371" s="28">
        <v>44739</v>
      </c>
      <c r="E371" s="29">
        <v>12</v>
      </c>
      <c r="F371" s="15" t="str">
        <f t="shared" si="5"/>
        <v>1202-202577-44739</v>
      </c>
    </row>
    <row r="372" spans="1:6" ht="14.25" customHeight="1" x14ac:dyDescent="0.25">
      <c r="A372" s="15" t="s">
        <v>512</v>
      </c>
      <c r="B372" s="27">
        <v>1202</v>
      </c>
      <c r="C372" s="27">
        <v>202577</v>
      </c>
      <c r="D372" s="28">
        <v>44746</v>
      </c>
      <c r="E372" s="29">
        <v>12</v>
      </c>
      <c r="F372" s="15" t="str">
        <f t="shared" si="5"/>
        <v>1202-202577-44746</v>
      </c>
    </row>
    <row r="373" spans="1:6" ht="14.25" customHeight="1" x14ac:dyDescent="0.25">
      <c r="A373" s="15" t="s">
        <v>513</v>
      </c>
      <c r="B373" s="27">
        <v>1202</v>
      </c>
      <c r="C373" s="27">
        <v>202577</v>
      </c>
      <c r="D373" s="28">
        <v>44753</v>
      </c>
      <c r="E373" s="29">
        <v>12</v>
      </c>
      <c r="F373" s="15" t="str">
        <f t="shared" si="5"/>
        <v>1202-202577-44753</v>
      </c>
    </row>
    <row r="374" spans="1:6" ht="14.25" customHeight="1" x14ac:dyDescent="0.25">
      <c r="A374" s="15" t="s">
        <v>514</v>
      </c>
      <c r="B374" s="27">
        <v>1202</v>
      </c>
      <c r="C374" s="27">
        <v>202577</v>
      </c>
      <c r="D374" s="28">
        <v>44760</v>
      </c>
      <c r="E374" s="29">
        <v>12</v>
      </c>
      <c r="F374" s="15" t="str">
        <f t="shared" si="5"/>
        <v>1202-202577-44760</v>
      </c>
    </row>
    <row r="375" spans="1:6" ht="14.25" customHeight="1" x14ac:dyDescent="0.25">
      <c r="A375" s="15" t="s">
        <v>515</v>
      </c>
      <c r="B375" s="27">
        <v>1202</v>
      </c>
      <c r="C375" s="27">
        <v>202577</v>
      </c>
      <c r="D375" s="28">
        <v>44767</v>
      </c>
      <c r="E375" s="29">
        <v>12</v>
      </c>
      <c r="F375" s="15" t="str">
        <f t="shared" si="5"/>
        <v>1202-202577-44767</v>
      </c>
    </row>
    <row r="376" spans="1:6" ht="14.25" customHeight="1" x14ac:dyDescent="0.25">
      <c r="A376" s="15" t="s">
        <v>516</v>
      </c>
      <c r="B376" s="27">
        <v>1202</v>
      </c>
      <c r="C376" s="27">
        <v>202577</v>
      </c>
      <c r="D376" s="28">
        <v>44774</v>
      </c>
      <c r="E376" s="29">
        <v>12</v>
      </c>
      <c r="F376" s="15" t="str">
        <f t="shared" si="5"/>
        <v>1202-202577-44774</v>
      </c>
    </row>
    <row r="377" spans="1:6" ht="14.25" customHeight="1" x14ac:dyDescent="0.25">
      <c r="A377" s="15" t="s">
        <v>517</v>
      </c>
      <c r="B377" s="27">
        <v>1202</v>
      </c>
      <c r="C377" s="27">
        <v>202577</v>
      </c>
      <c r="D377" s="28">
        <v>44781</v>
      </c>
      <c r="E377" s="29">
        <v>12</v>
      </c>
      <c r="F377" s="15" t="str">
        <f t="shared" si="5"/>
        <v>1202-202577-44781</v>
      </c>
    </row>
    <row r="378" spans="1:6" ht="14.25" customHeight="1" x14ac:dyDescent="0.25">
      <c r="A378" s="15" t="s">
        <v>518</v>
      </c>
      <c r="B378" s="27">
        <v>1202</v>
      </c>
      <c r="C378" s="27">
        <v>202577</v>
      </c>
      <c r="D378" s="28">
        <v>44788</v>
      </c>
      <c r="E378" s="29">
        <v>12</v>
      </c>
      <c r="F378" s="15" t="str">
        <f t="shared" si="5"/>
        <v>1202-202577-44788</v>
      </c>
    </row>
    <row r="379" spans="1:6" ht="14.25" customHeight="1" x14ac:dyDescent="0.25">
      <c r="A379" s="15" t="s">
        <v>519</v>
      </c>
      <c r="B379" s="27">
        <v>1202</v>
      </c>
      <c r="C379" s="27">
        <v>234334</v>
      </c>
      <c r="D379" s="28">
        <v>44739</v>
      </c>
      <c r="E379" s="29">
        <v>78</v>
      </c>
      <c r="F379" s="15" t="str">
        <f t="shared" si="5"/>
        <v>1202-234334-44739</v>
      </c>
    </row>
    <row r="380" spans="1:6" ht="14.25" customHeight="1" x14ac:dyDescent="0.25">
      <c r="A380" s="15" t="s">
        <v>520</v>
      </c>
      <c r="B380" s="27">
        <v>1202</v>
      </c>
      <c r="C380" s="27">
        <v>234334</v>
      </c>
      <c r="D380" s="28">
        <v>44746</v>
      </c>
      <c r="E380" s="29">
        <v>81</v>
      </c>
      <c r="F380" s="15" t="str">
        <f t="shared" si="5"/>
        <v>1202-234334-44746</v>
      </c>
    </row>
    <row r="381" spans="1:6" ht="14.25" customHeight="1" x14ac:dyDescent="0.25">
      <c r="A381" s="15" t="s">
        <v>521</v>
      </c>
      <c r="B381" s="30">
        <v>1202</v>
      </c>
      <c r="C381" s="27">
        <v>234334</v>
      </c>
      <c r="D381" s="28">
        <v>44753</v>
      </c>
      <c r="E381" s="29">
        <v>26</v>
      </c>
      <c r="F381" s="15" t="str">
        <f t="shared" si="5"/>
        <v>1202-234334-44753</v>
      </c>
    </row>
    <row r="382" spans="1:6" ht="14.25" customHeight="1" x14ac:dyDescent="0.25">
      <c r="A382" s="15" t="s">
        <v>522</v>
      </c>
      <c r="B382" s="27">
        <v>1202</v>
      </c>
      <c r="C382" s="27">
        <v>234334</v>
      </c>
      <c r="D382" s="28">
        <v>44760</v>
      </c>
      <c r="E382" s="29">
        <v>95</v>
      </c>
      <c r="F382" s="15" t="str">
        <f t="shared" si="5"/>
        <v>1202-234334-44760</v>
      </c>
    </row>
    <row r="383" spans="1:6" ht="14.25" customHeight="1" x14ac:dyDescent="0.25">
      <c r="A383" s="15" t="s">
        <v>523</v>
      </c>
      <c r="B383" s="27">
        <v>1202</v>
      </c>
      <c r="C383" s="27">
        <v>234334</v>
      </c>
      <c r="D383" s="28">
        <v>44767</v>
      </c>
      <c r="E383" s="29">
        <v>100</v>
      </c>
      <c r="F383" s="15" t="str">
        <f t="shared" si="5"/>
        <v>1202-234334-44767</v>
      </c>
    </row>
    <row r="384" spans="1:6" ht="14.25" customHeight="1" x14ac:dyDescent="0.25">
      <c r="A384" s="15" t="s">
        <v>524</v>
      </c>
      <c r="B384" s="27">
        <v>1202</v>
      </c>
      <c r="C384" s="27">
        <v>234334</v>
      </c>
      <c r="D384" s="28">
        <v>44774</v>
      </c>
      <c r="E384" s="29">
        <v>92</v>
      </c>
      <c r="F384" s="15" t="str">
        <f t="shared" si="5"/>
        <v>1202-234334-44774</v>
      </c>
    </row>
    <row r="385" spans="1:6" ht="14.25" customHeight="1" x14ac:dyDescent="0.25">
      <c r="A385" s="15" t="s">
        <v>525</v>
      </c>
      <c r="B385" s="27">
        <v>1202</v>
      </c>
      <c r="C385" s="27">
        <v>234334</v>
      </c>
      <c r="D385" s="28">
        <v>44781</v>
      </c>
      <c r="E385" s="29">
        <v>22</v>
      </c>
      <c r="F385" s="15" t="str">
        <f t="shared" si="5"/>
        <v>1202-234334-44781</v>
      </c>
    </row>
    <row r="386" spans="1:6" ht="14.25" customHeight="1" x14ac:dyDescent="0.25">
      <c r="A386" s="15" t="s">
        <v>526</v>
      </c>
      <c r="B386" s="27">
        <v>1202</v>
      </c>
      <c r="C386" s="27">
        <v>234334</v>
      </c>
      <c r="D386" s="28">
        <v>44788</v>
      </c>
      <c r="E386" s="29">
        <v>26</v>
      </c>
      <c r="F386" s="15" t="str">
        <f t="shared" si="5"/>
        <v>1202-234334-44788</v>
      </c>
    </row>
    <row r="387" spans="1:6" ht="14.25" customHeight="1" x14ac:dyDescent="0.25">
      <c r="A387" s="15" t="s">
        <v>527</v>
      </c>
      <c r="B387" s="27">
        <v>1202</v>
      </c>
      <c r="C387" s="27">
        <v>249444</v>
      </c>
      <c r="D387" s="28">
        <v>44739</v>
      </c>
      <c r="E387" s="29">
        <v>68</v>
      </c>
      <c r="F387" s="15" t="str">
        <f t="shared" ref="F387:F450" si="6">B387&amp;"-"&amp;C387&amp;"-"&amp;INT(D387)</f>
        <v>1202-249444-44739</v>
      </c>
    </row>
    <row r="388" spans="1:6" ht="14.25" customHeight="1" x14ac:dyDescent="0.25">
      <c r="A388" s="15" t="s">
        <v>528</v>
      </c>
      <c r="B388" s="27">
        <v>1202</v>
      </c>
      <c r="C388" s="27">
        <v>249444</v>
      </c>
      <c r="D388" s="28">
        <v>44746</v>
      </c>
      <c r="E388" s="29">
        <v>62</v>
      </c>
      <c r="F388" s="15" t="str">
        <f t="shared" si="6"/>
        <v>1202-249444-44746</v>
      </c>
    </row>
    <row r="389" spans="1:6" ht="14.25" customHeight="1" x14ac:dyDescent="0.25">
      <c r="A389" s="15" t="s">
        <v>529</v>
      </c>
      <c r="B389" s="27">
        <v>1202</v>
      </c>
      <c r="C389" s="27">
        <v>249444</v>
      </c>
      <c r="D389" s="28">
        <v>44753</v>
      </c>
      <c r="E389" s="29">
        <v>84</v>
      </c>
      <c r="F389" s="15" t="str">
        <f t="shared" si="6"/>
        <v>1202-249444-44753</v>
      </c>
    </row>
    <row r="390" spans="1:6" ht="14.25" customHeight="1" x14ac:dyDescent="0.25">
      <c r="A390" s="15" t="s">
        <v>530</v>
      </c>
      <c r="B390" s="27">
        <v>1202</v>
      </c>
      <c r="C390" s="27">
        <v>249444</v>
      </c>
      <c r="D390" s="28">
        <v>44760</v>
      </c>
      <c r="E390" s="29">
        <v>32</v>
      </c>
      <c r="F390" s="15" t="str">
        <f t="shared" si="6"/>
        <v>1202-249444-44760</v>
      </c>
    </row>
    <row r="391" spans="1:6" ht="14.25" customHeight="1" x14ac:dyDescent="0.25">
      <c r="A391" s="15" t="s">
        <v>531</v>
      </c>
      <c r="B391" s="27">
        <v>1202</v>
      </c>
      <c r="C391" s="27">
        <v>249444</v>
      </c>
      <c r="D391" s="28">
        <v>44767</v>
      </c>
      <c r="E391" s="29">
        <v>36</v>
      </c>
      <c r="F391" s="15" t="str">
        <f t="shared" si="6"/>
        <v>1202-249444-44767</v>
      </c>
    </row>
    <row r="392" spans="1:6" ht="14.25" customHeight="1" x14ac:dyDescent="0.25">
      <c r="A392" s="15" t="s">
        <v>532</v>
      </c>
      <c r="B392" s="27">
        <v>1202</v>
      </c>
      <c r="C392" s="27">
        <v>249444</v>
      </c>
      <c r="D392" s="28">
        <v>44774</v>
      </c>
      <c r="E392" s="29">
        <v>84</v>
      </c>
      <c r="F392" s="15" t="str">
        <f t="shared" si="6"/>
        <v>1202-249444-44774</v>
      </c>
    </row>
    <row r="393" spans="1:6" ht="14.25" customHeight="1" x14ac:dyDescent="0.25">
      <c r="A393" s="15" t="s">
        <v>533</v>
      </c>
      <c r="B393" s="27">
        <v>1202</v>
      </c>
      <c r="C393" s="27">
        <v>249444</v>
      </c>
      <c r="D393" s="28">
        <v>44781</v>
      </c>
      <c r="E393" s="29">
        <v>56</v>
      </c>
      <c r="F393" s="15" t="str">
        <f t="shared" si="6"/>
        <v>1202-249444-44781</v>
      </c>
    </row>
    <row r="394" spans="1:6" ht="14.25" customHeight="1" x14ac:dyDescent="0.25">
      <c r="A394" s="15" t="s">
        <v>534</v>
      </c>
      <c r="B394" s="27">
        <v>1202</v>
      </c>
      <c r="C394" s="27">
        <v>249444</v>
      </c>
      <c r="D394" s="28">
        <v>44788</v>
      </c>
      <c r="E394" s="29">
        <v>84</v>
      </c>
      <c r="F394" s="15" t="str">
        <f t="shared" si="6"/>
        <v>1202-249444-44788</v>
      </c>
    </row>
    <row r="395" spans="1:6" ht="14.25" customHeight="1" x14ac:dyDescent="0.25">
      <c r="A395" s="15" t="s">
        <v>535</v>
      </c>
      <c r="B395" s="27">
        <v>1202</v>
      </c>
      <c r="C395" s="27">
        <v>249795</v>
      </c>
      <c r="D395" s="28">
        <v>44739</v>
      </c>
      <c r="E395" s="29">
        <v>21</v>
      </c>
      <c r="F395" s="15" t="str">
        <f t="shared" si="6"/>
        <v>1202-249795-44739</v>
      </c>
    </row>
    <row r="396" spans="1:6" ht="14.25" customHeight="1" x14ac:dyDescent="0.25">
      <c r="A396" s="15" t="s">
        <v>536</v>
      </c>
      <c r="B396" s="27">
        <v>1202</v>
      </c>
      <c r="C396" s="27">
        <v>249795</v>
      </c>
      <c r="D396" s="28">
        <v>44746</v>
      </c>
      <c r="E396" s="29">
        <v>36</v>
      </c>
      <c r="F396" s="15" t="str">
        <f t="shared" si="6"/>
        <v>1202-249795-44746</v>
      </c>
    </row>
    <row r="397" spans="1:6" ht="14.25" customHeight="1" x14ac:dyDescent="0.25">
      <c r="A397" s="15" t="s">
        <v>537</v>
      </c>
      <c r="B397" s="27">
        <v>1202</v>
      </c>
      <c r="C397" s="27">
        <v>249795</v>
      </c>
      <c r="D397" s="28">
        <v>44753</v>
      </c>
      <c r="E397" s="29">
        <v>54</v>
      </c>
      <c r="F397" s="15" t="str">
        <f t="shared" si="6"/>
        <v>1202-249795-44753</v>
      </c>
    </row>
    <row r="398" spans="1:6" ht="14.25" customHeight="1" x14ac:dyDescent="0.25">
      <c r="A398" s="15" t="s">
        <v>538</v>
      </c>
      <c r="B398" s="27">
        <v>1202</v>
      </c>
      <c r="C398" s="27">
        <v>249795</v>
      </c>
      <c r="D398" s="28">
        <v>44760</v>
      </c>
      <c r="E398" s="29">
        <v>15</v>
      </c>
      <c r="F398" s="15" t="str">
        <f t="shared" si="6"/>
        <v>1202-249795-44760</v>
      </c>
    </row>
    <row r="399" spans="1:6" ht="14.25" customHeight="1" x14ac:dyDescent="0.25">
      <c r="A399" s="15" t="s">
        <v>539</v>
      </c>
      <c r="B399" s="27">
        <v>1202</v>
      </c>
      <c r="C399" s="27">
        <v>249795</v>
      </c>
      <c r="D399" s="28">
        <v>44767</v>
      </c>
      <c r="E399" s="29">
        <v>12</v>
      </c>
      <c r="F399" s="15" t="str">
        <f t="shared" si="6"/>
        <v>1202-249795-44767</v>
      </c>
    </row>
    <row r="400" spans="1:6" ht="14.25" customHeight="1" x14ac:dyDescent="0.25">
      <c r="A400" s="15" t="s">
        <v>540</v>
      </c>
      <c r="B400" s="27">
        <v>1202</v>
      </c>
      <c r="C400" s="27">
        <v>249795</v>
      </c>
      <c r="D400" s="28">
        <v>44774</v>
      </c>
      <c r="E400" s="29">
        <v>46</v>
      </c>
      <c r="F400" s="15" t="str">
        <f t="shared" si="6"/>
        <v>1202-249795-44774</v>
      </c>
    </row>
    <row r="401" spans="1:6" ht="14.25" customHeight="1" x14ac:dyDescent="0.25">
      <c r="A401" s="15" t="s">
        <v>541</v>
      </c>
      <c r="B401" s="27">
        <v>1202</v>
      </c>
      <c r="C401" s="27">
        <v>249795</v>
      </c>
      <c r="D401" s="28">
        <v>44781</v>
      </c>
      <c r="E401" s="29">
        <v>10</v>
      </c>
      <c r="F401" s="15" t="str">
        <f t="shared" si="6"/>
        <v>1202-249795-44781</v>
      </c>
    </row>
    <row r="402" spans="1:6" ht="14.25" customHeight="1" x14ac:dyDescent="0.25">
      <c r="A402" s="15" t="s">
        <v>542</v>
      </c>
      <c r="B402" s="27">
        <v>1202</v>
      </c>
      <c r="C402" s="27">
        <v>249795</v>
      </c>
      <c r="D402" s="28">
        <v>44788</v>
      </c>
      <c r="E402" s="29">
        <v>11</v>
      </c>
      <c r="F402" s="15" t="str">
        <f t="shared" si="6"/>
        <v>1202-249795-44788</v>
      </c>
    </row>
    <row r="403" spans="1:6" ht="14.25" customHeight="1" x14ac:dyDescent="0.25">
      <c r="A403" s="15" t="s">
        <v>543</v>
      </c>
      <c r="B403" s="27">
        <v>1202</v>
      </c>
      <c r="C403" s="27">
        <v>250979</v>
      </c>
      <c r="D403" s="28">
        <v>44739</v>
      </c>
      <c r="E403" s="29">
        <v>24</v>
      </c>
      <c r="F403" s="15" t="str">
        <f t="shared" si="6"/>
        <v>1202-250979-44739</v>
      </c>
    </row>
    <row r="404" spans="1:6" ht="14.25" customHeight="1" x14ac:dyDescent="0.25">
      <c r="A404" s="15" t="s">
        <v>544</v>
      </c>
      <c r="B404" s="27">
        <v>1202</v>
      </c>
      <c r="C404" s="27">
        <v>250979</v>
      </c>
      <c r="D404" s="28">
        <v>44746</v>
      </c>
      <c r="E404" s="29">
        <v>14</v>
      </c>
      <c r="F404" s="15" t="str">
        <f t="shared" si="6"/>
        <v>1202-250979-44746</v>
      </c>
    </row>
    <row r="405" spans="1:6" ht="14.25" customHeight="1" x14ac:dyDescent="0.25">
      <c r="A405" s="15" t="s">
        <v>545</v>
      </c>
      <c r="B405" s="27">
        <v>1202</v>
      </c>
      <c r="C405" s="27">
        <v>250979</v>
      </c>
      <c r="D405" s="28">
        <v>44753</v>
      </c>
      <c r="E405" s="29">
        <v>59</v>
      </c>
      <c r="F405" s="15" t="str">
        <f t="shared" si="6"/>
        <v>1202-250979-44753</v>
      </c>
    </row>
    <row r="406" spans="1:6" ht="14.25" customHeight="1" x14ac:dyDescent="0.25">
      <c r="A406" s="15" t="s">
        <v>546</v>
      </c>
      <c r="B406" s="27">
        <v>1202</v>
      </c>
      <c r="C406" s="27">
        <v>250979</v>
      </c>
      <c r="D406" s="28">
        <v>44760</v>
      </c>
      <c r="E406" s="29">
        <v>15</v>
      </c>
      <c r="F406" s="15" t="str">
        <f t="shared" si="6"/>
        <v>1202-250979-44760</v>
      </c>
    </row>
    <row r="407" spans="1:6" ht="14.25" customHeight="1" x14ac:dyDescent="0.25">
      <c r="A407" s="15" t="s">
        <v>547</v>
      </c>
      <c r="B407" s="27">
        <v>1202</v>
      </c>
      <c r="C407" s="27">
        <v>250979</v>
      </c>
      <c r="D407" s="28">
        <v>44767</v>
      </c>
      <c r="E407" s="29">
        <v>48</v>
      </c>
      <c r="F407" s="15" t="str">
        <f t="shared" si="6"/>
        <v>1202-250979-44767</v>
      </c>
    </row>
    <row r="408" spans="1:6" ht="14.25" customHeight="1" x14ac:dyDescent="0.25">
      <c r="A408" s="15" t="s">
        <v>548</v>
      </c>
      <c r="B408" s="27">
        <v>1202</v>
      </c>
      <c r="C408" s="27">
        <v>250979</v>
      </c>
      <c r="D408" s="28">
        <v>44774</v>
      </c>
      <c r="E408" s="29">
        <v>18</v>
      </c>
      <c r="F408" s="15" t="str">
        <f t="shared" si="6"/>
        <v>1202-250979-44774</v>
      </c>
    </row>
    <row r="409" spans="1:6" ht="14.25" customHeight="1" x14ac:dyDescent="0.25">
      <c r="A409" s="15" t="s">
        <v>549</v>
      </c>
      <c r="B409" s="27">
        <v>1202</v>
      </c>
      <c r="C409" s="27">
        <v>250979</v>
      </c>
      <c r="D409" s="28">
        <v>44781</v>
      </c>
      <c r="E409" s="29">
        <v>10</v>
      </c>
      <c r="F409" s="15" t="str">
        <f t="shared" si="6"/>
        <v>1202-250979-44781</v>
      </c>
    </row>
    <row r="410" spans="1:6" ht="14.25" customHeight="1" x14ac:dyDescent="0.25">
      <c r="A410" s="15" t="s">
        <v>550</v>
      </c>
      <c r="B410" s="27">
        <v>1202</v>
      </c>
      <c r="C410" s="27">
        <v>250979</v>
      </c>
      <c r="D410" s="28">
        <v>44788</v>
      </c>
      <c r="E410" s="29">
        <v>30</v>
      </c>
      <c r="F410" s="15" t="str">
        <f t="shared" si="6"/>
        <v>1202-250979-44788</v>
      </c>
    </row>
    <row r="411" spans="1:6" ht="14.25" customHeight="1" x14ac:dyDescent="0.25">
      <c r="A411" s="15" t="s">
        <v>551</v>
      </c>
      <c r="B411" s="27">
        <v>1202</v>
      </c>
      <c r="C411" s="27">
        <v>250981</v>
      </c>
      <c r="D411" s="28">
        <v>44739</v>
      </c>
      <c r="E411" s="29">
        <v>17</v>
      </c>
      <c r="F411" s="15" t="str">
        <f t="shared" si="6"/>
        <v>1202-250981-44739</v>
      </c>
    </row>
    <row r="412" spans="1:6" ht="14.25" customHeight="1" x14ac:dyDescent="0.25">
      <c r="A412" s="15" t="s">
        <v>552</v>
      </c>
      <c r="B412" s="27">
        <v>1202</v>
      </c>
      <c r="C412" s="27">
        <v>250981</v>
      </c>
      <c r="D412" s="28">
        <v>44746</v>
      </c>
      <c r="E412" s="29">
        <v>14</v>
      </c>
      <c r="F412" s="15" t="str">
        <f t="shared" si="6"/>
        <v>1202-250981-44746</v>
      </c>
    </row>
    <row r="413" spans="1:6" ht="14.25" customHeight="1" x14ac:dyDescent="0.25">
      <c r="A413" s="15" t="s">
        <v>553</v>
      </c>
      <c r="B413" s="27">
        <v>1202</v>
      </c>
      <c r="C413" s="27">
        <v>250981</v>
      </c>
      <c r="D413" s="28">
        <v>44753</v>
      </c>
      <c r="E413" s="29">
        <v>12</v>
      </c>
      <c r="F413" s="15" t="str">
        <f t="shared" si="6"/>
        <v>1202-250981-44753</v>
      </c>
    </row>
    <row r="414" spans="1:6" ht="14.25" customHeight="1" x14ac:dyDescent="0.25">
      <c r="A414" s="15" t="s">
        <v>554</v>
      </c>
      <c r="B414" s="27">
        <v>1202</v>
      </c>
      <c r="C414" s="27">
        <v>250981</v>
      </c>
      <c r="D414" s="28">
        <v>44760</v>
      </c>
      <c r="E414" s="29">
        <v>-1</v>
      </c>
      <c r="F414" s="15" t="str">
        <f t="shared" si="6"/>
        <v>1202-250981-44760</v>
      </c>
    </row>
    <row r="415" spans="1:6" ht="14.25" customHeight="1" x14ac:dyDescent="0.25">
      <c r="A415" s="15" t="s">
        <v>555</v>
      </c>
      <c r="B415" s="27">
        <v>1202</v>
      </c>
      <c r="C415" s="27">
        <v>250981</v>
      </c>
      <c r="D415" s="28">
        <v>44767</v>
      </c>
      <c r="E415" s="29">
        <v>9</v>
      </c>
      <c r="F415" s="15" t="str">
        <f t="shared" si="6"/>
        <v>1202-250981-44767</v>
      </c>
    </row>
    <row r="416" spans="1:6" ht="14.25" customHeight="1" x14ac:dyDescent="0.25">
      <c r="A416" s="15" t="s">
        <v>556</v>
      </c>
      <c r="B416" s="27">
        <v>1202</v>
      </c>
      <c r="C416" s="27">
        <v>250981</v>
      </c>
      <c r="D416" s="28">
        <v>44774</v>
      </c>
      <c r="E416" s="29">
        <v>15</v>
      </c>
      <c r="F416" s="15" t="str">
        <f t="shared" si="6"/>
        <v>1202-250981-44774</v>
      </c>
    </row>
    <row r="417" spans="1:6" ht="14.25" customHeight="1" x14ac:dyDescent="0.25">
      <c r="A417" s="15" t="s">
        <v>557</v>
      </c>
      <c r="B417" s="27">
        <v>1202</v>
      </c>
      <c r="C417" s="27">
        <v>250981</v>
      </c>
      <c r="D417" s="28">
        <v>44781</v>
      </c>
      <c r="E417" s="29">
        <v>13</v>
      </c>
      <c r="F417" s="15" t="str">
        <f t="shared" si="6"/>
        <v>1202-250981-44781</v>
      </c>
    </row>
    <row r="418" spans="1:6" ht="14.25" customHeight="1" x14ac:dyDescent="0.25">
      <c r="A418" s="15" t="s">
        <v>558</v>
      </c>
      <c r="B418" s="27">
        <v>1202</v>
      </c>
      <c r="C418" s="27">
        <v>250981</v>
      </c>
      <c r="D418" s="28">
        <v>44788</v>
      </c>
      <c r="E418" s="29">
        <v>10</v>
      </c>
      <c r="F418" s="15" t="str">
        <f t="shared" si="6"/>
        <v>1202-250981-44788</v>
      </c>
    </row>
    <row r="419" spans="1:6" ht="14.25" customHeight="1" x14ac:dyDescent="0.25">
      <c r="A419" s="15" t="s">
        <v>559</v>
      </c>
      <c r="B419" s="27">
        <v>1202</v>
      </c>
      <c r="C419" s="27">
        <v>262294</v>
      </c>
      <c r="D419" s="28">
        <v>44739</v>
      </c>
      <c r="E419" s="29">
        <v>65</v>
      </c>
      <c r="F419" s="15" t="str">
        <f t="shared" si="6"/>
        <v>1202-262294-44739</v>
      </c>
    </row>
    <row r="420" spans="1:6" ht="14.25" customHeight="1" x14ac:dyDescent="0.25">
      <c r="A420" s="15" t="s">
        <v>560</v>
      </c>
      <c r="B420" s="27">
        <v>1202</v>
      </c>
      <c r="C420" s="27">
        <v>262294</v>
      </c>
      <c r="D420" s="28">
        <v>44746</v>
      </c>
      <c r="E420" s="29">
        <v>54</v>
      </c>
      <c r="F420" s="15" t="str">
        <f t="shared" si="6"/>
        <v>1202-262294-44746</v>
      </c>
    </row>
    <row r="421" spans="1:6" ht="14.25" customHeight="1" x14ac:dyDescent="0.25">
      <c r="A421" s="15" t="s">
        <v>561</v>
      </c>
      <c r="B421" s="27">
        <v>1202</v>
      </c>
      <c r="C421" s="27">
        <v>262294</v>
      </c>
      <c r="D421" s="28">
        <v>44753</v>
      </c>
      <c r="E421" s="29">
        <v>67</v>
      </c>
      <c r="F421" s="15" t="str">
        <f t="shared" si="6"/>
        <v>1202-262294-44753</v>
      </c>
    </row>
    <row r="422" spans="1:6" ht="14.25" customHeight="1" x14ac:dyDescent="0.25">
      <c r="A422" s="15" t="s">
        <v>562</v>
      </c>
      <c r="B422" s="27">
        <v>1202</v>
      </c>
      <c r="C422" s="27">
        <v>262294</v>
      </c>
      <c r="D422" s="28">
        <v>44760</v>
      </c>
      <c r="E422" s="29">
        <v>45</v>
      </c>
      <c r="F422" s="15" t="str">
        <f t="shared" si="6"/>
        <v>1202-262294-44760</v>
      </c>
    </row>
    <row r="423" spans="1:6" ht="14.25" customHeight="1" x14ac:dyDescent="0.25">
      <c r="A423" s="15" t="s">
        <v>563</v>
      </c>
      <c r="B423" s="27">
        <v>1202</v>
      </c>
      <c r="C423" s="27">
        <v>262294</v>
      </c>
      <c r="D423" s="28">
        <v>44767</v>
      </c>
      <c r="E423" s="29">
        <v>52</v>
      </c>
      <c r="F423" s="15" t="str">
        <f t="shared" si="6"/>
        <v>1202-262294-44767</v>
      </c>
    </row>
    <row r="424" spans="1:6" ht="14.25" customHeight="1" x14ac:dyDescent="0.25">
      <c r="A424" s="15" t="s">
        <v>564</v>
      </c>
      <c r="B424" s="27">
        <v>1202</v>
      </c>
      <c r="C424" s="27">
        <v>262294</v>
      </c>
      <c r="D424" s="28">
        <v>44774</v>
      </c>
      <c r="E424" s="29">
        <v>42</v>
      </c>
      <c r="F424" s="15" t="str">
        <f t="shared" si="6"/>
        <v>1202-262294-44774</v>
      </c>
    </row>
    <row r="425" spans="1:6" ht="14.25" customHeight="1" x14ac:dyDescent="0.25">
      <c r="A425" s="15" t="s">
        <v>565</v>
      </c>
      <c r="B425" s="27">
        <v>1202</v>
      </c>
      <c r="C425" s="27">
        <v>262294</v>
      </c>
      <c r="D425" s="28">
        <v>44781</v>
      </c>
      <c r="E425" s="29">
        <v>14</v>
      </c>
      <c r="F425" s="15" t="str">
        <f t="shared" si="6"/>
        <v>1202-262294-44781</v>
      </c>
    </row>
    <row r="426" spans="1:6" ht="14.25" customHeight="1" x14ac:dyDescent="0.25">
      <c r="A426" s="15" t="s">
        <v>566</v>
      </c>
      <c r="B426" s="27">
        <v>1202</v>
      </c>
      <c r="C426" s="27">
        <v>262294</v>
      </c>
      <c r="D426" s="28">
        <v>44788</v>
      </c>
      <c r="E426" s="29">
        <v>9</v>
      </c>
      <c r="F426" s="15" t="str">
        <f t="shared" si="6"/>
        <v>1202-262294-44788</v>
      </c>
    </row>
    <row r="427" spans="1:6" ht="14.25" customHeight="1" x14ac:dyDescent="0.25">
      <c r="A427" s="15" t="s">
        <v>567</v>
      </c>
      <c r="B427" s="27">
        <v>1202</v>
      </c>
      <c r="C427" s="27">
        <v>268831</v>
      </c>
      <c r="D427" s="28">
        <v>44739</v>
      </c>
      <c r="E427" s="29">
        <v>96</v>
      </c>
      <c r="F427" s="15" t="str">
        <f t="shared" si="6"/>
        <v>1202-268831-44739</v>
      </c>
    </row>
    <row r="428" spans="1:6" ht="14.25" customHeight="1" x14ac:dyDescent="0.25">
      <c r="A428" s="15" t="s">
        <v>568</v>
      </c>
      <c r="B428" s="27">
        <v>1202</v>
      </c>
      <c r="C428" s="27">
        <v>268831</v>
      </c>
      <c r="D428" s="28">
        <v>44746</v>
      </c>
      <c r="E428" s="29">
        <v>91</v>
      </c>
      <c r="F428" s="15" t="str">
        <f t="shared" si="6"/>
        <v>1202-268831-44746</v>
      </c>
    </row>
    <row r="429" spans="1:6" ht="14.25" customHeight="1" x14ac:dyDescent="0.25">
      <c r="A429" s="15" t="s">
        <v>569</v>
      </c>
      <c r="B429" s="27">
        <v>1202</v>
      </c>
      <c r="C429" s="27">
        <v>268831</v>
      </c>
      <c r="D429" s="28">
        <v>44753</v>
      </c>
      <c r="E429" s="29">
        <v>72</v>
      </c>
      <c r="F429" s="15" t="str">
        <f t="shared" si="6"/>
        <v>1202-268831-44753</v>
      </c>
    </row>
    <row r="430" spans="1:6" ht="14.25" customHeight="1" x14ac:dyDescent="0.25">
      <c r="A430" s="15" t="s">
        <v>570</v>
      </c>
      <c r="B430" s="27">
        <v>1202</v>
      </c>
      <c r="C430" s="27">
        <v>268831</v>
      </c>
      <c r="D430" s="28">
        <v>44760</v>
      </c>
      <c r="E430" s="29">
        <v>91</v>
      </c>
      <c r="F430" s="15" t="str">
        <f t="shared" si="6"/>
        <v>1202-268831-44760</v>
      </c>
    </row>
    <row r="431" spans="1:6" ht="14.25" customHeight="1" x14ac:dyDescent="0.25">
      <c r="A431" s="15" t="s">
        <v>571</v>
      </c>
      <c r="B431" s="27">
        <v>1202</v>
      </c>
      <c r="C431" s="27">
        <v>268831</v>
      </c>
      <c r="D431" s="28">
        <v>44767</v>
      </c>
      <c r="E431" s="29">
        <v>77</v>
      </c>
      <c r="F431" s="15" t="str">
        <f t="shared" si="6"/>
        <v>1202-268831-44767</v>
      </c>
    </row>
    <row r="432" spans="1:6" ht="14.25" customHeight="1" x14ac:dyDescent="0.25">
      <c r="A432" s="15" t="s">
        <v>572</v>
      </c>
      <c r="B432" s="27">
        <v>1202</v>
      </c>
      <c r="C432" s="27">
        <v>268831</v>
      </c>
      <c r="D432" s="28">
        <v>44774</v>
      </c>
      <c r="E432" s="29">
        <v>39</v>
      </c>
      <c r="F432" s="15" t="str">
        <f t="shared" si="6"/>
        <v>1202-268831-44774</v>
      </c>
    </row>
    <row r="433" spans="1:6" ht="14.25" customHeight="1" x14ac:dyDescent="0.25">
      <c r="A433" s="15" t="s">
        <v>573</v>
      </c>
      <c r="B433" s="27">
        <v>1202</v>
      </c>
      <c r="C433" s="27">
        <v>268831</v>
      </c>
      <c r="D433" s="28">
        <v>44781</v>
      </c>
      <c r="E433" s="29">
        <v>27</v>
      </c>
      <c r="F433" s="15" t="str">
        <f t="shared" si="6"/>
        <v>1202-268831-44781</v>
      </c>
    </row>
    <row r="434" spans="1:6" ht="14.25" customHeight="1" x14ac:dyDescent="0.25">
      <c r="A434" s="15" t="s">
        <v>574</v>
      </c>
      <c r="B434" s="27">
        <v>1202</v>
      </c>
      <c r="C434" s="27">
        <v>268831</v>
      </c>
      <c r="D434" s="28">
        <v>44788</v>
      </c>
      <c r="E434" s="29">
        <v>27</v>
      </c>
      <c r="F434" s="15" t="str">
        <f t="shared" si="6"/>
        <v>1202-268831-44788</v>
      </c>
    </row>
    <row r="435" spans="1:6" ht="14.25" customHeight="1" x14ac:dyDescent="0.25">
      <c r="A435" s="15" t="s">
        <v>575</v>
      </c>
      <c r="B435" s="27">
        <v>1202</v>
      </c>
      <c r="C435" s="27">
        <v>273701</v>
      </c>
      <c r="D435" s="28">
        <v>44739</v>
      </c>
      <c r="E435" s="29">
        <v>42</v>
      </c>
      <c r="F435" s="15" t="str">
        <f t="shared" si="6"/>
        <v>1202-273701-44739</v>
      </c>
    </row>
    <row r="436" spans="1:6" ht="14.25" customHeight="1" x14ac:dyDescent="0.25">
      <c r="A436" s="15" t="s">
        <v>576</v>
      </c>
      <c r="B436" s="27">
        <v>1202</v>
      </c>
      <c r="C436" s="27">
        <v>273701</v>
      </c>
      <c r="D436" s="28">
        <v>44746</v>
      </c>
      <c r="E436" s="29">
        <v>26</v>
      </c>
      <c r="F436" s="15" t="str">
        <f t="shared" si="6"/>
        <v>1202-273701-44746</v>
      </c>
    </row>
    <row r="437" spans="1:6" ht="14.25" customHeight="1" x14ac:dyDescent="0.25">
      <c r="A437" s="15" t="s">
        <v>577</v>
      </c>
      <c r="B437" s="27">
        <v>1202</v>
      </c>
      <c r="C437" s="27">
        <v>273701</v>
      </c>
      <c r="D437" s="28">
        <v>44753</v>
      </c>
      <c r="E437" s="29">
        <v>43</v>
      </c>
      <c r="F437" s="15" t="str">
        <f t="shared" si="6"/>
        <v>1202-273701-44753</v>
      </c>
    </row>
    <row r="438" spans="1:6" ht="14.25" customHeight="1" x14ac:dyDescent="0.25">
      <c r="A438" s="15" t="s">
        <v>578</v>
      </c>
      <c r="B438" s="27">
        <v>1202</v>
      </c>
      <c r="C438" s="27">
        <v>273701</v>
      </c>
      <c r="D438" s="28">
        <v>44760</v>
      </c>
      <c r="E438" s="29">
        <v>19</v>
      </c>
      <c r="F438" s="15" t="str">
        <f t="shared" si="6"/>
        <v>1202-273701-44760</v>
      </c>
    </row>
    <row r="439" spans="1:6" ht="14.25" customHeight="1" x14ac:dyDescent="0.25">
      <c r="A439" s="15" t="s">
        <v>579</v>
      </c>
      <c r="B439" s="27">
        <v>1202</v>
      </c>
      <c r="C439" s="27">
        <v>273701</v>
      </c>
      <c r="D439" s="28">
        <v>44767</v>
      </c>
      <c r="E439" s="29">
        <v>37</v>
      </c>
      <c r="F439" s="15" t="str">
        <f t="shared" si="6"/>
        <v>1202-273701-44767</v>
      </c>
    </row>
    <row r="440" spans="1:6" ht="14.25" customHeight="1" x14ac:dyDescent="0.25">
      <c r="A440" s="15" t="s">
        <v>580</v>
      </c>
      <c r="B440" s="27">
        <v>1202</v>
      </c>
      <c r="C440" s="27">
        <v>273701</v>
      </c>
      <c r="D440" s="28">
        <v>44774</v>
      </c>
      <c r="E440" s="29">
        <v>34</v>
      </c>
      <c r="F440" s="15" t="str">
        <f t="shared" si="6"/>
        <v>1202-273701-44774</v>
      </c>
    </row>
    <row r="441" spans="1:6" ht="14.25" customHeight="1" x14ac:dyDescent="0.25">
      <c r="A441" s="15" t="s">
        <v>581</v>
      </c>
      <c r="B441" s="27">
        <v>1202</v>
      </c>
      <c r="C441" s="27">
        <v>273701</v>
      </c>
      <c r="D441" s="28">
        <v>44781</v>
      </c>
      <c r="E441" s="29">
        <v>44</v>
      </c>
      <c r="F441" s="15" t="str">
        <f t="shared" si="6"/>
        <v>1202-273701-44781</v>
      </c>
    </row>
    <row r="442" spans="1:6" ht="14.25" customHeight="1" x14ac:dyDescent="0.25">
      <c r="A442" s="15" t="s">
        <v>582</v>
      </c>
      <c r="B442" s="27">
        <v>1202</v>
      </c>
      <c r="C442" s="27">
        <v>273701</v>
      </c>
      <c r="D442" s="28">
        <v>44788</v>
      </c>
      <c r="E442" s="29">
        <v>41</v>
      </c>
      <c r="F442" s="15" t="str">
        <f t="shared" si="6"/>
        <v>1202-273701-44788</v>
      </c>
    </row>
    <row r="443" spans="1:6" ht="14.25" customHeight="1" x14ac:dyDescent="0.25">
      <c r="A443" s="15" t="s">
        <v>583</v>
      </c>
      <c r="B443" s="27">
        <v>1202</v>
      </c>
      <c r="C443" s="27">
        <v>291726</v>
      </c>
      <c r="D443" s="28">
        <v>44739</v>
      </c>
      <c r="E443" s="29">
        <v>4</v>
      </c>
      <c r="F443" s="15" t="str">
        <f t="shared" si="6"/>
        <v>1202-291726-44739</v>
      </c>
    </row>
    <row r="444" spans="1:6" ht="14.25" customHeight="1" x14ac:dyDescent="0.25">
      <c r="A444" s="15" t="s">
        <v>584</v>
      </c>
      <c r="B444" s="27">
        <v>1202</v>
      </c>
      <c r="C444" s="27">
        <v>291726</v>
      </c>
      <c r="D444" s="28">
        <v>44746</v>
      </c>
      <c r="E444" s="29">
        <v>7</v>
      </c>
      <c r="F444" s="15" t="str">
        <f t="shared" si="6"/>
        <v>1202-291726-44746</v>
      </c>
    </row>
    <row r="445" spans="1:6" ht="14.25" customHeight="1" x14ac:dyDescent="0.25">
      <c r="A445" s="15" t="s">
        <v>585</v>
      </c>
      <c r="B445" s="27">
        <v>1202</v>
      </c>
      <c r="C445" s="27">
        <v>291726</v>
      </c>
      <c r="D445" s="28">
        <v>44753</v>
      </c>
      <c r="E445" s="29">
        <v>6</v>
      </c>
      <c r="F445" s="15" t="str">
        <f t="shared" si="6"/>
        <v>1202-291726-44753</v>
      </c>
    </row>
    <row r="446" spans="1:6" ht="14.25" customHeight="1" x14ac:dyDescent="0.25">
      <c r="A446" s="15" t="s">
        <v>586</v>
      </c>
      <c r="B446" s="27">
        <v>1202</v>
      </c>
      <c r="C446" s="27">
        <v>291726</v>
      </c>
      <c r="D446" s="28">
        <v>44760</v>
      </c>
      <c r="E446" s="29">
        <v>7</v>
      </c>
      <c r="F446" s="15" t="str">
        <f t="shared" si="6"/>
        <v>1202-291726-44760</v>
      </c>
    </row>
    <row r="447" spans="1:6" ht="14.25" customHeight="1" x14ac:dyDescent="0.25">
      <c r="A447" s="15" t="s">
        <v>587</v>
      </c>
      <c r="B447" s="27">
        <v>1202</v>
      </c>
      <c r="C447" s="27">
        <v>291726</v>
      </c>
      <c r="D447" s="28">
        <v>44767</v>
      </c>
      <c r="E447" s="29">
        <v>6</v>
      </c>
      <c r="F447" s="15" t="str">
        <f t="shared" si="6"/>
        <v>1202-291726-44767</v>
      </c>
    </row>
    <row r="448" spans="1:6" ht="14.25" customHeight="1" x14ac:dyDescent="0.25">
      <c r="A448" s="15" t="s">
        <v>588</v>
      </c>
      <c r="B448" s="27">
        <v>1202</v>
      </c>
      <c r="C448" s="27">
        <v>291726</v>
      </c>
      <c r="D448" s="28">
        <v>44774</v>
      </c>
      <c r="E448" s="29">
        <v>7</v>
      </c>
      <c r="F448" s="15" t="str">
        <f t="shared" si="6"/>
        <v>1202-291726-44774</v>
      </c>
    </row>
    <row r="449" spans="1:6" ht="14.25" customHeight="1" x14ac:dyDescent="0.25">
      <c r="A449" s="15" t="s">
        <v>589</v>
      </c>
      <c r="B449" s="27">
        <v>1202</v>
      </c>
      <c r="C449" s="27">
        <v>291726</v>
      </c>
      <c r="D449" s="28">
        <v>44781</v>
      </c>
      <c r="E449" s="29">
        <v>8</v>
      </c>
      <c r="F449" s="15" t="str">
        <f t="shared" si="6"/>
        <v>1202-291726-44781</v>
      </c>
    </row>
    <row r="450" spans="1:6" ht="14.25" customHeight="1" x14ac:dyDescent="0.25">
      <c r="A450" s="15" t="s">
        <v>590</v>
      </c>
      <c r="B450" s="27">
        <v>1202</v>
      </c>
      <c r="C450" s="27">
        <v>291726</v>
      </c>
      <c r="D450" s="28">
        <v>44788</v>
      </c>
      <c r="E450" s="29">
        <v>7</v>
      </c>
      <c r="F450" s="15" t="str">
        <f t="shared" si="6"/>
        <v>1202-291726-44788</v>
      </c>
    </row>
    <row r="451" spans="1:6" ht="14.25" customHeight="1" x14ac:dyDescent="0.25">
      <c r="A451" s="15" t="s">
        <v>591</v>
      </c>
      <c r="B451" s="27">
        <v>1202</v>
      </c>
      <c r="C451" s="27">
        <v>291728</v>
      </c>
      <c r="D451" s="28">
        <v>44739</v>
      </c>
      <c r="E451" s="29">
        <v>40</v>
      </c>
      <c r="F451" s="15" t="str">
        <f t="shared" ref="F451:F514" si="7">B451&amp;"-"&amp;C451&amp;"-"&amp;INT(D451)</f>
        <v>1202-291728-44739</v>
      </c>
    </row>
    <row r="452" spans="1:6" ht="14.25" customHeight="1" x14ac:dyDescent="0.25">
      <c r="A452" s="15" t="s">
        <v>592</v>
      </c>
      <c r="B452" s="27">
        <v>1202</v>
      </c>
      <c r="C452" s="27">
        <v>291728</v>
      </c>
      <c r="D452" s="28">
        <v>44746</v>
      </c>
      <c r="E452" s="29">
        <v>34</v>
      </c>
      <c r="F452" s="15" t="str">
        <f t="shared" si="7"/>
        <v>1202-291728-44746</v>
      </c>
    </row>
    <row r="453" spans="1:6" ht="14.25" customHeight="1" x14ac:dyDescent="0.25">
      <c r="A453" s="15" t="s">
        <v>593</v>
      </c>
      <c r="B453" s="27">
        <v>1202</v>
      </c>
      <c r="C453" s="27">
        <v>291728</v>
      </c>
      <c r="D453" s="28">
        <v>44753</v>
      </c>
      <c r="E453" s="29">
        <v>7</v>
      </c>
      <c r="F453" s="15" t="str">
        <f t="shared" si="7"/>
        <v>1202-291728-44753</v>
      </c>
    </row>
    <row r="454" spans="1:6" ht="14.25" customHeight="1" x14ac:dyDescent="0.25">
      <c r="A454" s="15" t="s">
        <v>594</v>
      </c>
      <c r="B454" s="27">
        <v>1202</v>
      </c>
      <c r="C454" s="27">
        <v>291728</v>
      </c>
      <c r="D454" s="28">
        <v>44760</v>
      </c>
      <c r="E454" s="29">
        <v>34</v>
      </c>
      <c r="F454" s="15" t="str">
        <f t="shared" si="7"/>
        <v>1202-291728-44760</v>
      </c>
    </row>
    <row r="455" spans="1:6" ht="14.25" customHeight="1" x14ac:dyDescent="0.25">
      <c r="A455" s="15" t="s">
        <v>595</v>
      </c>
      <c r="B455" s="27">
        <v>1202</v>
      </c>
      <c r="C455" s="27">
        <v>291728</v>
      </c>
      <c r="D455" s="28">
        <v>44767</v>
      </c>
      <c r="E455" s="29">
        <v>24</v>
      </c>
      <c r="F455" s="15" t="str">
        <f t="shared" si="7"/>
        <v>1202-291728-44767</v>
      </c>
    </row>
    <row r="456" spans="1:6" ht="14.25" customHeight="1" x14ac:dyDescent="0.25">
      <c r="A456" s="15" t="s">
        <v>596</v>
      </c>
      <c r="B456" s="27">
        <v>1202</v>
      </c>
      <c r="C456" s="27">
        <v>291728</v>
      </c>
      <c r="D456" s="28">
        <v>44774</v>
      </c>
      <c r="E456" s="29">
        <v>32</v>
      </c>
      <c r="F456" s="15" t="str">
        <f t="shared" si="7"/>
        <v>1202-291728-44774</v>
      </c>
    </row>
    <row r="457" spans="1:6" ht="14.25" customHeight="1" x14ac:dyDescent="0.25">
      <c r="A457" s="15" t="s">
        <v>597</v>
      </c>
      <c r="B457" s="27">
        <v>1202</v>
      </c>
      <c r="C457" s="27">
        <v>291728</v>
      </c>
      <c r="D457" s="28">
        <v>44781</v>
      </c>
      <c r="E457" s="29">
        <v>40</v>
      </c>
      <c r="F457" s="15" t="str">
        <f t="shared" si="7"/>
        <v>1202-291728-44781</v>
      </c>
    </row>
    <row r="458" spans="1:6" ht="14.25" customHeight="1" x14ac:dyDescent="0.25">
      <c r="A458" s="15" t="s">
        <v>598</v>
      </c>
      <c r="B458" s="27">
        <v>1202</v>
      </c>
      <c r="C458" s="27">
        <v>291728</v>
      </c>
      <c r="D458" s="28">
        <v>44788</v>
      </c>
      <c r="E458" s="29">
        <v>24</v>
      </c>
      <c r="F458" s="15" t="str">
        <f t="shared" si="7"/>
        <v>1202-291728-44788</v>
      </c>
    </row>
    <row r="459" spans="1:6" ht="14.25" customHeight="1" x14ac:dyDescent="0.25">
      <c r="A459" s="15" t="s">
        <v>599</v>
      </c>
      <c r="B459" s="27">
        <v>1202</v>
      </c>
      <c r="C459" s="27">
        <v>300380</v>
      </c>
      <c r="D459" s="28">
        <v>44739</v>
      </c>
      <c r="E459" s="29">
        <v>18</v>
      </c>
      <c r="F459" s="15" t="str">
        <f t="shared" si="7"/>
        <v>1202-300380-44739</v>
      </c>
    </row>
    <row r="460" spans="1:6" ht="14.25" customHeight="1" x14ac:dyDescent="0.25">
      <c r="A460" s="15" t="s">
        <v>600</v>
      </c>
      <c r="B460" s="27">
        <v>1202</v>
      </c>
      <c r="C460" s="27">
        <v>300380</v>
      </c>
      <c r="D460" s="28">
        <v>44746</v>
      </c>
      <c r="E460" s="29">
        <v>5</v>
      </c>
      <c r="F460" s="15" t="str">
        <f t="shared" si="7"/>
        <v>1202-300380-44746</v>
      </c>
    </row>
    <row r="461" spans="1:6" ht="14.25" customHeight="1" x14ac:dyDescent="0.25">
      <c r="A461" s="15" t="s">
        <v>601</v>
      </c>
      <c r="B461" s="27">
        <v>1202</v>
      </c>
      <c r="C461" s="27">
        <v>300380</v>
      </c>
      <c r="D461" s="28">
        <v>44753</v>
      </c>
      <c r="E461" s="29">
        <v>14</v>
      </c>
      <c r="F461" s="15" t="str">
        <f t="shared" si="7"/>
        <v>1202-300380-44753</v>
      </c>
    </row>
    <row r="462" spans="1:6" ht="14.25" customHeight="1" x14ac:dyDescent="0.25">
      <c r="A462" s="15" t="s">
        <v>602</v>
      </c>
      <c r="B462" s="27">
        <v>1202</v>
      </c>
      <c r="C462" s="27">
        <v>300380</v>
      </c>
      <c r="D462" s="28">
        <v>44760</v>
      </c>
      <c r="E462" s="29">
        <v>16</v>
      </c>
      <c r="F462" s="15" t="str">
        <f t="shared" si="7"/>
        <v>1202-300380-44760</v>
      </c>
    </row>
    <row r="463" spans="1:6" ht="14.25" customHeight="1" x14ac:dyDescent="0.25">
      <c r="A463" s="15" t="s">
        <v>603</v>
      </c>
      <c r="B463" s="27">
        <v>1202</v>
      </c>
      <c r="C463" s="27">
        <v>300380</v>
      </c>
      <c r="D463" s="28">
        <v>44767</v>
      </c>
      <c r="E463" s="29">
        <v>12</v>
      </c>
      <c r="F463" s="15" t="str">
        <f t="shared" si="7"/>
        <v>1202-300380-44767</v>
      </c>
    </row>
    <row r="464" spans="1:6" ht="14.25" customHeight="1" x14ac:dyDescent="0.25">
      <c r="A464" s="15" t="s">
        <v>604</v>
      </c>
      <c r="B464" s="27">
        <v>1202</v>
      </c>
      <c r="C464" s="27">
        <v>300380</v>
      </c>
      <c r="D464" s="28">
        <v>44774</v>
      </c>
      <c r="E464" s="29">
        <v>12</v>
      </c>
      <c r="F464" s="15" t="str">
        <f t="shared" si="7"/>
        <v>1202-300380-44774</v>
      </c>
    </row>
    <row r="465" spans="1:6" ht="14.25" customHeight="1" x14ac:dyDescent="0.25">
      <c r="A465" s="15" t="s">
        <v>605</v>
      </c>
      <c r="B465" s="27">
        <v>1202</v>
      </c>
      <c r="C465" s="27">
        <v>300380</v>
      </c>
      <c r="D465" s="28">
        <v>44781</v>
      </c>
      <c r="E465" s="29">
        <v>16</v>
      </c>
      <c r="F465" s="15" t="str">
        <f t="shared" si="7"/>
        <v>1202-300380-44781</v>
      </c>
    </row>
    <row r="466" spans="1:6" ht="14.25" customHeight="1" x14ac:dyDescent="0.25">
      <c r="A466" s="15" t="s">
        <v>606</v>
      </c>
      <c r="B466" s="27">
        <v>1202</v>
      </c>
      <c r="C466" s="27">
        <v>300380</v>
      </c>
      <c r="D466" s="28">
        <v>44788</v>
      </c>
      <c r="E466" s="29">
        <v>12</v>
      </c>
      <c r="F466" s="15" t="str">
        <f t="shared" si="7"/>
        <v>1202-300380-44788</v>
      </c>
    </row>
    <row r="467" spans="1:6" ht="14.25" customHeight="1" x14ac:dyDescent="0.25">
      <c r="A467" s="15" t="s">
        <v>607</v>
      </c>
      <c r="B467" s="27">
        <v>1202</v>
      </c>
      <c r="C467" s="27">
        <v>571521</v>
      </c>
      <c r="D467" s="28">
        <v>44739</v>
      </c>
      <c r="E467" s="29">
        <v>95</v>
      </c>
      <c r="F467" s="15" t="str">
        <f t="shared" si="7"/>
        <v>1202-571521-44739</v>
      </c>
    </row>
    <row r="468" spans="1:6" ht="14.25" customHeight="1" x14ac:dyDescent="0.25">
      <c r="A468" s="15" t="s">
        <v>608</v>
      </c>
      <c r="B468" s="27">
        <v>1202</v>
      </c>
      <c r="C468" s="27">
        <v>571521</v>
      </c>
      <c r="D468" s="28">
        <v>44746</v>
      </c>
      <c r="E468" s="29">
        <v>203</v>
      </c>
      <c r="F468" s="15" t="str">
        <f t="shared" si="7"/>
        <v>1202-571521-44746</v>
      </c>
    </row>
    <row r="469" spans="1:6" ht="14.25" customHeight="1" x14ac:dyDescent="0.25">
      <c r="A469" s="15" t="s">
        <v>609</v>
      </c>
      <c r="B469" s="27">
        <v>1202</v>
      </c>
      <c r="C469" s="27">
        <v>571521</v>
      </c>
      <c r="D469" s="28">
        <v>44753</v>
      </c>
      <c r="E469" s="29">
        <v>167</v>
      </c>
      <c r="F469" s="15" t="str">
        <f t="shared" si="7"/>
        <v>1202-571521-44753</v>
      </c>
    </row>
    <row r="470" spans="1:6" ht="14.25" customHeight="1" x14ac:dyDescent="0.25">
      <c r="A470" s="15" t="s">
        <v>610</v>
      </c>
      <c r="B470" s="27">
        <v>1202</v>
      </c>
      <c r="C470" s="27">
        <v>571521</v>
      </c>
      <c r="D470" s="28">
        <v>44760</v>
      </c>
      <c r="E470" s="29">
        <v>92</v>
      </c>
      <c r="F470" s="15" t="str">
        <f t="shared" si="7"/>
        <v>1202-571521-44760</v>
      </c>
    </row>
    <row r="471" spans="1:6" ht="14.25" customHeight="1" x14ac:dyDescent="0.25">
      <c r="A471" s="15" t="s">
        <v>611</v>
      </c>
      <c r="B471" s="27">
        <v>1202</v>
      </c>
      <c r="C471" s="27">
        <v>571521</v>
      </c>
      <c r="D471" s="28">
        <v>44767</v>
      </c>
      <c r="E471" s="29">
        <v>171</v>
      </c>
      <c r="F471" s="15" t="str">
        <f t="shared" si="7"/>
        <v>1202-571521-44767</v>
      </c>
    </row>
    <row r="472" spans="1:6" ht="14.25" customHeight="1" x14ac:dyDescent="0.25">
      <c r="A472" s="15" t="s">
        <v>612</v>
      </c>
      <c r="B472" s="27">
        <v>1202</v>
      </c>
      <c r="C472" s="27">
        <v>571521</v>
      </c>
      <c r="D472" s="28">
        <v>44774</v>
      </c>
      <c r="E472" s="29">
        <v>189</v>
      </c>
      <c r="F472" s="15" t="str">
        <f t="shared" si="7"/>
        <v>1202-571521-44774</v>
      </c>
    </row>
    <row r="473" spans="1:6" ht="14.25" customHeight="1" x14ac:dyDescent="0.25">
      <c r="A473" s="15" t="s">
        <v>613</v>
      </c>
      <c r="B473" s="27">
        <v>1202</v>
      </c>
      <c r="C473" s="27">
        <v>571521</v>
      </c>
      <c r="D473" s="28">
        <v>44781</v>
      </c>
      <c r="E473" s="29">
        <v>222</v>
      </c>
      <c r="F473" s="15" t="str">
        <f t="shared" si="7"/>
        <v>1202-571521-44781</v>
      </c>
    </row>
    <row r="474" spans="1:6" ht="14.25" customHeight="1" x14ac:dyDescent="0.25">
      <c r="A474" s="15" t="s">
        <v>614</v>
      </c>
      <c r="B474" s="27">
        <v>1202</v>
      </c>
      <c r="C474" s="27">
        <v>571521</v>
      </c>
      <c r="D474" s="28">
        <v>44788</v>
      </c>
      <c r="E474" s="29">
        <v>196</v>
      </c>
      <c r="F474" s="15" t="str">
        <f t="shared" si="7"/>
        <v>1202-571521-44788</v>
      </c>
    </row>
    <row r="475" spans="1:6" ht="14.25" customHeight="1" x14ac:dyDescent="0.25">
      <c r="A475" s="15" t="s">
        <v>615</v>
      </c>
      <c r="B475" s="27">
        <v>1202</v>
      </c>
      <c r="C475" s="27">
        <v>614993</v>
      </c>
      <c r="D475" s="28">
        <v>44739</v>
      </c>
      <c r="E475" s="29">
        <v>24</v>
      </c>
      <c r="F475" s="15" t="str">
        <f t="shared" si="7"/>
        <v>1202-614993-44739</v>
      </c>
    </row>
    <row r="476" spans="1:6" ht="14.25" customHeight="1" x14ac:dyDescent="0.25">
      <c r="A476" s="15" t="s">
        <v>616</v>
      </c>
      <c r="B476" s="27">
        <v>1202</v>
      </c>
      <c r="C476" s="27">
        <v>614993</v>
      </c>
      <c r="D476" s="28">
        <v>44746</v>
      </c>
      <c r="E476" s="29">
        <v>15</v>
      </c>
      <c r="F476" s="15" t="str">
        <f t="shared" si="7"/>
        <v>1202-614993-44746</v>
      </c>
    </row>
    <row r="477" spans="1:6" ht="14.25" customHeight="1" x14ac:dyDescent="0.25">
      <c r="A477" s="15" t="s">
        <v>617</v>
      </c>
      <c r="B477" s="27">
        <v>1202</v>
      </c>
      <c r="C477" s="27">
        <v>614993</v>
      </c>
      <c r="D477" s="28">
        <v>44753</v>
      </c>
      <c r="E477" s="29">
        <v>20</v>
      </c>
      <c r="F477" s="15" t="str">
        <f t="shared" si="7"/>
        <v>1202-614993-44753</v>
      </c>
    </row>
    <row r="478" spans="1:6" ht="14.25" customHeight="1" x14ac:dyDescent="0.25">
      <c r="A478" s="15" t="s">
        <v>618</v>
      </c>
      <c r="B478" s="27">
        <v>1202</v>
      </c>
      <c r="C478" s="27">
        <v>614993</v>
      </c>
      <c r="D478" s="28">
        <v>44760</v>
      </c>
      <c r="E478" s="29">
        <v>3</v>
      </c>
      <c r="F478" s="15" t="str">
        <f t="shared" si="7"/>
        <v>1202-614993-44760</v>
      </c>
    </row>
    <row r="479" spans="1:6" ht="14.25" customHeight="1" x14ac:dyDescent="0.25">
      <c r="A479" s="15" t="s">
        <v>619</v>
      </c>
      <c r="B479" s="27">
        <v>1202</v>
      </c>
      <c r="C479" s="27">
        <v>614993</v>
      </c>
      <c r="D479" s="28">
        <v>44767</v>
      </c>
      <c r="E479" s="29">
        <v>6</v>
      </c>
      <c r="F479" s="15" t="str">
        <f t="shared" si="7"/>
        <v>1202-614993-44767</v>
      </c>
    </row>
    <row r="480" spans="1:6" ht="14.25" customHeight="1" x14ac:dyDescent="0.25">
      <c r="A480" s="15" t="s">
        <v>620</v>
      </c>
      <c r="B480" s="27">
        <v>1202</v>
      </c>
      <c r="C480" s="27">
        <v>614993</v>
      </c>
      <c r="D480" s="28">
        <v>44774</v>
      </c>
      <c r="E480" s="29">
        <v>26</v>
      </c>
      <c r="F480" s="15" t="str">
        <f t="shared" si="7"/>
        <v>1202-614993-44774</v>
      </c>
    </row>
    <row r="481" spans="1:6" ht="14.25" customHeight="1" x14ac:dyDescent="0.25">
      <c r="A481" s="15" t="s">
        <v>621</v>
      </c>
      <c r="B481" s="27">
        <v>1202</v>
      </c>
      <c r="C481" s="27">
        <v>614993</v>
      </c>
      <c r="D481" s="28">
        <v>44781</v>
      </c>
      <c r="E481" s="29">
        <v>15</v>
      </c>
      <c r="F481" s="15" t="str">
        <f t="shared" si="7"/>
        <v>1202-614993-44781</v>
      </c>
    </row>
    <row r="482" spans="1:6" ht="14.25" customHeight="1" x14ac:dyDescent="0.25">
      <c r="A482" s="15" t="s">
        <v>622</v>
      </c>
      <c r="B482" s="27">
        <v>1202</v>
      </c>
      <c r="C482" s="27">
        <v>614993</v>
      </c>
      <c r="D482" s="28">
        <v>44788</v>
      </c>
      <c r="E482" s="29">
        <v>21</v>
      </c>
      <c r="F482" s="15" t="str">
        <f t="shared" si="7"/>
        <v>1202-614993-44788</v>
      </c>
    </row>
    <row r="483" spans="1:6" ht="14.25" customHeight="1" x14ac:dyDescent="0.25">
      <c r="A483" s="15" t="s">
        <v>623</v>
      </c>
      <c r="B483" s="27">
        <v>1203</v>
      </c>
      <c r="C483" s="27">
        <v>23393</v>
      </c>
      <c r="D483" s="28">
        <v>44739</v>
      </c>
      <c r="E483" s="29">
        <v>800</v>
      </c>
      <c r="F483" s="15" t="str">
        <f t="shared" si="7"/>
        <v>1203-23393-44739</v>
      </c>
    </row>
    <row r="484" spans="1:6" ht="14.25" customHeight="1" x14ac:dyDescent="0.25">
      <c r="A484" s="15" t="s">
        <v>624</v>
      </c>
      <c r="B484" s="30">
        <v>1203</v>
      </c>
      <c r="C484" s="27">
        <v>23393</v>
      </c>
      <c r="D484" s="28">
        <v>44746</v>
      </c>
      <c r="E484" s="29">
        <v>995</v>
      </c>
      <c r="F484" s="15" t="str">
        <f t="shared" si="7"/>
        <v>1203-23393-44746</v>
      </c>
    </row>
    <row r="485" spans="1:6" ht="14.25" customHeight="1" x14ac:dyDescent="0.25">
      <c r="A485" s="15" t="s">
        <v>625</v>
      </c>
      <c r="B485" s="27">
        <v>1203</v>
      </c>
      <c r="C485" s="27">
        <v>23393</v>
      </c>
      <c r="D485" s="28">
        <v>44753</v>
      </c>
      <c r="E485" s="29">
        <v>941</v>
      </c>
      <c r="F485" s="15" t="str">
        <f t="shared" si="7"/>
        <v>1203-23393-44753</v>
      </c>
    </row>
    <row r="486" spans="1:6" ht="14.25" customHeight="1" x14ac:dyDescent="0.25">
      <c r="A486" s="15" t="s">
        <v>626</v>
      </c>
      <c r="B486" s="27">
        <v>1203</v>
      </c>
      <c r="C486" s="27">
        <v>23393</v>
      </c>
      <c r="D486" s="28">
        <v>44760</v>
      </c>
      <c r="E486" s="29">
        <v>788</v>
      </c>
      <c r="F486" s="15" t="str">
        <f t="shared" si="7"/>
        <v>1203-23393-44760</v>
      </c>
    </row>
    <row r="487" spans="1:6" ht="14.25" customHeight="1" x14ac:dyDescent="0.25">
      <c r="A487" s="15" t="s">
        <v>627</v>
      </c>
      <c r="B487" s="27">
        <v>1203</v>
      </c>
      <c r="C487" s="27">
        <v>23393</v>
      </c>
      <c r="D487" s="28">
        <v>44767</v>
      </c>
      <c r="E487" s="29">
        <v>329</v>
      </c>
      <c r="F487" s="15" t="str">
        <f t="shared" si="7"/>
        <v>1203-23393-44767</v>
      </c>
    </row>
    <row r="488" spans="1:6" ht="14.25" customHeight="1" x14ac:dyDescent="0.25">
      <c r="A488" s="15" t="s">
        <v>628</v>
      </c>
      <c r="B488" s="27">
        <v>1203</v>
      </c>
      <c r="C488" s="27">
        <v>23393</v>
      </c>
      <c r="D488" s="28">
        <v>44774</v>
      </c>
      <c r="E488" s="29">
        <v>360</v>
      </c>
      <c r="F488" s="15" t="str">
        <f t="shared" si="7"/>
        <v>1203-23393-44774</v>
      </c>
    </row>
    <row r="489" spans="1:6" ht="14.25" customHeight="1" x14ac:dyDescent="0.25">
      <c r="A489" s="15" t="s">
        <v>629</v>
      </c>
      <c r="B489" s="27">
        <v>1203</v>
      </c>
      <c r="C489" s="27">
        <v>23393</v>
      </c>
      <c r="D489" s="28">
        <v>44781</v>
      </c>
      <c r="E489" s="29">
        <v>918</v>
      </c>
      <c r="F489" s="15" t="str">
        <f t="shared" si="7"/>
        <v>1203-23393-44781</v>
      </c>
    </row>
    <row r="490" spans="1:6" ht="14.25" customHeight="1" x14ac:dyDescent="0.25">
      <c r="A490" s="15" t="s">
        <v>630</v>
      </c>
      <c r="B490" s="27">
        <v>1203</v>
      </c>
      <c r="C490" s="27">
        <v>23393</v>
      </c>
      <c r="D490" s="28">
        <v>44788</v>
      </c>
      <c r="E490" s="29">
        <v>328</v>
      </c>
      <c r="F490" s="15" t="str">
        <f t="shared" si="7"/>
        <v>1203-23393-44788</v>
      </c>
    </row>
    <row r="491" spans="1:6" ht="14.25" customHeight="1" x14ac:dyDescent="0.25">
      <c r="A491" s="15" t="s">
        <v>631</v>
      </c>
      <c r="B491" s="27">
        <v>1203</v>
      </c>
      <c r="C491" s="27">
        <v>26764</v>
      </c>
      <c r="D491" s="28">
        <v>44739</v>
      </c>
      <c r="E491" s="29">
        <v>95</v>
      </c>
      <c r="F491" s="15" t="str">
        <f t="shared" si="7"/>
        <v>1203-26764-44739</v>
      </c>
    </row>
    <row r="492" spans="1:6" ht="14.25" customHeight="1" x14ac:dyDescent="0.25">
      <c r="A492" s="15" t="s">
        <v>632</v>
      </c>
      <c r="B492" s="27">
        <v>1203</v>
      </c>
      <c r="C492" s="27">
        <v>26764</v>
      </c>
      <c r="D492" s="28">
        <v>44746</v>
      </c>
      <c r="E492" s="29">
        <v>196</v>
      </c>
      <c r="F492" s="15" t="str">
        <f t="shared" si="7"/>
        <v>1203-26764-44746</v>
      </c>
    </row>
    <row r="493" spans="1:6" ht="14.25" customHeight="1" x14ac:dyDescent="0.25">
      <c r="A493" s="15" t="s">
        <v>633</v>
      </c>
      <c r="B493" s="27">
        <v>1203</v>
      </c>
      <c r="C493" s="27">
        <v>26764</v>
      </c>
      <c r="D493" s="28">
        <v>44753</v>
      </c>
      <c r="E493" s="29">
        <v>92</v>
      </c>
      <c r="F493" s="15" t="str">
        <f t="shared" si="7"/>
        <v>1203-26764-44753</v>
      </c>
    </row>
    <row r="494" spans="1:6" ht="14.25" customHeight="1" x14ac:dyDescent="0.25">
      <c r="A494" s="15" t="s">
        <v>634</v>
      </c>
      <c r="B494" s="27">
        <v>1203</v>
      </c>
      <c r="C494" s="27">
        <v>26764</v>
      </c>
      <c r="D494" s="28">
        <v>44760</v>
      </c>
      <c r="E494" s="29">
        <v>267</v>
      </c>
      <c r="F494" s="15" t="str">
        <f t="shared" si="7"/>
        <v>1203-26764-44760</v>
      </c>
    </row>
    <row r="495" spans="1:6" ht="14.25" customHeight="1" x14ac:dyDescent="0.25">
      <c r="A495" s="15" t="s">
        <v>635</v>
      </c>
      <c r="B495" s="27">
        <v>1203</v>
      </c>
      <c r="C495" s="27">
        <v>26764</v>
      </c>
      <c r="D495" s="28">
        <v>44767</v>
      </c>
      <c r="E495" s="29">
        <v>92</v>
      </c>
      <c r="F495" s="15" t="str">
        <f t="shared" si="7"/>
        <v>1203-26764-44767</v>
      </c>
    </row>
    <row r="496" spans="1:6" ht="14.25" customHeight="1" x14ac:dyDescent="0.25">
      <c r="A496" s="15" t="s">
        <v>636</v>
      </c>
      <c r="B496" s="27">
        <v>1203</v>
      </c>
      <c r="C496" s="27">
        <v>26764</v>
      </c>
      <c r="D496" s="28">
        <v>44774</v>
      </c>
      <c r="E496" s="29">
        <v>331</v>
      </c>
      <c r="F496" s="15" t="str">
        <f t="shared" si="7"/>
        <v>1203-26764-44774</v>
      </c>
    </row>
    <row r="497" spans="1:6" ht="14.25" customHeight="1" x14ac:dyDescent="0.25">
      <c r="A497" s="15" t="s">
        <v>637</v>
      </c>
      <c r="B497" s="27">
        <v>1203</v>
      </c>
      <c r="C497" s="27">
        <v>26764</v>
      </c>
      <c r="D497" s="28">
        <v>44781</v>
      </c>
      <c r="E497" s="29">
        <v>320</v>
      </c>
      <c r="F497" s="15" t="str">
        <f t="shared" si="7"/>
        <v>1203-26764-44781</v>
      </c>
    </row>
    <row r="498" spans="1:6" ht="14.25" customHeight="1" x14ac:dyDescent="0.25">
      <c r="A498" s="15" t="s">
        <v>638</v>
      </c>
      <c r="B498" s="27">
        <v>1203</v>
      </c>
      <c r="C498" s="27">
        <v>26764</v>
      </c>
      <c r="D498" s="28">
        <v>44788</v>
      </c>
      <c r="E498" s="29">
        <v>279</v>
      </c>
      <c r="F498" s="15" t="str">
        <f t="shared" si="7"/>
        <v>1203-26764-44788</v>
      </c>
    </row>
    <row r="499" spans="1:6" ht="14.25" customHeight="1" x14ac:dyDescent="0.25">
      <c r="A499" s="15" t="s">
        <v>639</v>
      </c>
      <c r="B499" s="27">
        <v>1203</v>
      </c>
      <c r="C499" s="27">
        <v>53934</v>
      </c>
      <c r="D499" s="28">
        <v>44739</v>
      </c>
      <c r="E499" s="29">
        <v>808</v>
      </c>
      <c r="F499" s="15" t="str">
        <f t="shared" si="7"/>
        <v>1203-53934-44739</v>
      </c>
    </row>
    <row r="500" spans="1:6" ht="14.25" customHeight="1" x14ac:dyDescent="0.25">
      <c r="A500" s="15" t="s">
        <v>640</v>
      </c>
      <c r="B500" s="27">
        <v>1203</v>
      </c>
      <c r="C500" s="27">
        <v>53934</v>
      </c>
      <c r="D500" s="28">
        <v>44746</v>
      </c>
      <c r="E500" s="29">
        <v>364</v>
      </c>
      <c r="F500" s="15" t="str">
        <f t="shared" si="7"/>
        <v>1203-53934-44746</v>
      </c>
    </row>
    <row r="501" spans="1:6" ht="14.25" customHeight="1" x14ac:dyDescent="0.25">
      <c r="A501" s="15" t="s">
        <v>641</v>
      </c>
      <c r="B501" s="27">
        <v>1203</v>
      </c>
      <c r="C501" s="27">
        <v>53934</v>
      </c>
      <c r="D501" s="28">
        <v>44753</v>
      </c>
      <c r="E501" s="29">
        <v>967</v>
      </c>
      <c r="F501" s="15" t="str">
        <f t="shared" si="7"/>
        <v>1203-53934-44753</v>
      </c>
    </row>
    <row r="502" spans="1:6" ht="14.25" customHeight="1" x14ac:dyDescent="0.25">
      <c r="A502" s="15" t="s">
        <v>642</v>
      </c>
      <c r="B502" s="27">
        <v>1203</v>
      </c>
      <c r="C502" s="27">
        <v>53934</v>
      </c>
      <c r="D502" s="28">
        <v>44760</v>
      </c>
      <c r="E502" s="29">
        <v>809</v>
      </c>
      <c r="F502" s="15" t="str">
        <f t="shared" si="7"/>
        <v>1203-53934-44760</v>
      </c>
    </row>
    <row r="503" spans="1:6" ht="14.25" customHeight="1" x14ac:dyDescent="0.25">
      <c r="A503" s="15" t="s">
        <v>643</v>
      </c>
      <c r="B503" s="27">
        <v>1203</v>
      </c>
      <c r="C503" s="27">
        <v>53934</v>
      </c>
      <c r="D503" s="28">
        <v>44767</v>
      </c>
      <c r="E503" s="29">
        <v>655</v>
      </c>
      <c r="F503" s="15" t="str">
        <f t="shared" si="7"/>
        <v>1203-53934-44767</v>
      </c>
    </row>
    <row r="504" spans="1:6" ht="14.25" customHeight="1" x14ac:dyDescent="0.25">
      <c r="A504" s="15" t="s">
        <v>644</v>
      </c>
      <c r="B504" s="27">
        <v>1203</v>
      </c>
      <c r="C504" s="27">
        <v>53934</v>
      </c>
      <c r="D504" s="28">
        <v>44774</v>
      </c>
      <c r="E504" s="29">
        <v>391</v>
      </c>
      <c r="F504" s="15" t="str">
        <f t="shared" si="7"/>
        <v>1203-53934-44774</v>
      </c>
    </row>
    <row r="505" spans="1:6" ht="14.25" customHeight="1" x14ac:dyDescent="0.25">
      <c r="A505" s="15" t="s">
        <v>645</v>
      </c>
      <c r="B505" s="27">
        <v>1203</v>
      </c>
      <c r="C505" s="27">
        <v>53934</v>
      </c>
      <c r="D505" s="28">
        <v>44781</v>
      </c>
      <c r="E505" s="29">
        <v>773</v>
      </c>
      <c r="F505" s="15" t="str">
        <f t="shared" si="7"/>
        <v>1203-53934-44781</v>
      </c>
    </row>
    <row r="506" spans="1:6" ht="14.25" customHeight="1" x14ac:dyDescent="0.25">
      <c r="A506" s="15" t="s">
        <v>646</v>
      </c>
      <c r="B506" s="27">
        <v>1203</v>
      </c>
      <c r="C506" s="27">
        <v>53934</v>
      </c>
      <c r="D506" s="28">
        <v>44788</v>
      </c>
      <c r="E506" s="29">
        <v>888</v>
      </c>
      <c r="F506" s="15" t="str">
        <f t="shared" si="7"/>
        <v>1203-53934-44788</v>
      </c>
    </row>
    <row r="507" spans="1:6" ht="14.25" customHeight="1" x14ac:dyDescent="0.25">
      <c r="A507" s="15" t="s">
        <v>647</v>
      </c>
      <c r="B507" s="27">
        <v>1203</v>
      </c>
      <c r="C507" s="27">
        <v>78699</v>
      </c>
      <c r="D507" s="28">
        <v>44739</v>
      </c>
      <c r="E507" s="29">
        <v>6</v>
      </c>
      <c r="F507" s="15" t="str">
        <f t="shared" si="7"/>
        <v>1203-78699-44739</v>
      </c>
    </row>
    <row r="508" spans="1:6" ht="14.25" customHeight="1" x14ac:dyDescent="0.25">
      <c r="A508" s="15" t="s">
        <v>648</v>
      </c>
      <c r="B508" s="27">
        <v>1203</v>
      </c>
      <c r="C508" s="27">
        <v>78699</v>
      </c>
      <c r="D508" s="28">
        <v>44746</v>
      </c>
      <c r="E508" s="29">
        <v>6</v>
      </c>
      <c r="F508" s="15" t="str">
        <f t="shared" si="7"/>
        <v>1203-78699-44746</v>
      </c>
    </row>
    <row r="509" spans="1:6" ht="14.25" customHeight="1" x14ac:dyDescent="0.25">
      <c r="A509" s="15" t="s">
        <v>649</v>
      </c>
      <c r="B509" s="27">
        <v>1203</v>
      </c>
      <c r="C509" s="27">
        <v>78699</v>
      </c>
      <c r="D509" s="28">
        <v>44753</v>
      </c>
      <c r="E509" s="29">
        <v>6</v>
      </c>
      <c r="F509" s="15" t="str">
        <f t="shared" si="7"/>
        <v>1203-78699-44753</v>
      </c>
    </row>
    <row r="510" spans="1:6" ht="14.25" customHeight="1" x14ac:dyDescent="0.25">
      <c r="A510" s="15" t="s">
        <v>650</v>
      </c>
      <c r="B510" s="27">
        <v>1203</v>
      </c>
      <c r="C510" s="27">
        <v>78699</v>
      </c>
      <c r="D510" s="28">
        <v>44760</v>
      </c>
      <c r="E510" s="29">
        <v>6</v>
      </c>
      <c r="F510" s="15" t="str">
        <f t="shared" si="7"/>
        <v>1203-78699-44760</v>
      </c>
    </row>
    <row r="511" spans="1:6" ht="14.25" customHeight="1" x14ac:dyDescent="0.25">
      <c r="A511" s="15" t="s">
        <v>651</v>
      </c>
      <c r="B511" s="27">
        <v>1203</v>
      </c>
      <c r="C511" s="27">
        <v>78699</v>
      </c>
      <c r="D511" s="28">
        <v>44767</v>
      </c>
      <c r="E511" s="29">
        <v>6</v>
      </c>
      <c r="F511" s="15" t="str">
        <f t="shared" si="7"/>
        <v>1203-78699-44767</v>
      </c>
    </row>
    <row r="512" spans="1:6" ht="14.25" customHeight="1" x14ac:dyDescent="0.25">
      <c r="A512" s="15" t="s">
        <v>652</v>
      </c>
      <c r="B512" s="27">
        <v>1203</v>
      </c>
      <c r="C512" s="27">
        <v>78699</v>
      </c>
      <c r="D512" s="28">
        <v>44774</v>
      </c>
      <c r="E512" s="29">
        <v>6</v>
      </c>
      <c r="F512" s="15" t="str">
        <f t="shared" si="7"/>
        <v>1203-78699-44774</v>
      </c>
    </row>
    <row r="513" spans="1:6" ht="14.25" customHeight="1" x14ac:dyDescent="0.25">
      <c r="A513" s="15" t="s">
        <v>653</v>
      </c>
      <c r="B513" s="27">
        <v>1203</v>
      </c>
      <c r="C513" s="27">
        <v>78699</v>
      </c>
      <c r="D513" s="28">
        <v>44781</v>
      </c>
      <c r="E513" s="29">
        <v>6</v>
      </c>
      <c r="F513" s="15" t="str">
        <f t="shared" si="7"/>
        <v>1203-78699-44781</v>
      </c>
    </row>
    <row r="514" spans="1:6" ht="14.25" customHeight="1" x14ac:dyDescent="0.25">
      <c r="A514" s="15" t="s">
        <v>654</v>
      </c>
      <c r="B514" s="27">
        <v>1203</v>
      </c>
      <c r="C514" s="27">
        <v>78699</v>
      </c>
      <c r="D514" s="28">
        <v>44788</v>
      </c>
      <c r="E514" s="29">
        <v>6</v>
      </c>
      <c r="F514" s="15" t="str">
        <f t="shared" si="7"/>
        <v>1203-78699-44788</v>
      </c>
    </row>
    <row r="515" spans="1:6" ht="14.25" customHeight="1" x14ac:dyDescent="0.25">
      <c r="A515" s="15" t="s">
        <v>655</v>
      </c>
      <c r="B515" s="27">
        <v>1203</v>
      </c>
      <c r="C515" s="27">
        <v>78869</v>
      </c>
      <c r="D515" s="28">
        <v>44739</v>
      </c>
      <c r="E515" s="29">
        <v>13</v>
      </c>
      <c r="F515" s="15" t="str">
        <f t="shared" ref="F515:F578" si="8">B515&amp;"-"&amp;C515&amp;"-"&amp;INT(D515)</f>
        <v>1203-78869-44739</v>
      </c>
    </row>
    <row r="516" spans="1:6" ht="14.25" customHeight="1" x14ac:dyDescent="0.25">
      <c r="A516" s="15" t="s">
        <v>656</v>
      </c>
      <c r="B516" s="27">
        <v>1203</v>
      </c>
      <c r="C516" s="27">
        <v>78869</v>
      </c>
      <c r="D516" s="28">
        <v>44746</v>
      </c>
      <c r="E516" s="29">
        <v>51</v>
      </c>
      <c r="F516" s="15" t="str">
        <f t="shared" si="8"/>
        <v>1203-78869-44746</v>
      </c>
    </row>
    <row r="517" spans="1:6" ht="14.25" customHeight="1" x14ac:dyDescent="0.25">
      <c r="A517" s="15" t="s">
        <v>657</v>
      </c>
      <c r="B517" s="27">
        <v>1203</v>
      </c>
      <c r="C517" s="27">
        <v>78869</v>
      </c>
      <c r="D517" s="28">
        <v>44753</v>
      </c>
      <c r="E517" s="29">
        <v>18</v>
      </c>
      <c r="F517" s="15" t="str">
        <f t="shared" si="8"/>
        <v>1203-78869-44753</v>
      </c>
    </row>
    <row r="518" spans="1:6" ht="14.25" customHeight="1" x14ac:dyDescent="0.25">
      <c r="A518" s="15" t="s">
        <v>658</v>
      </c>
      <c r="B518" s="27">
        <v>1203</v>
      </c>
      <c r="C518" s="27">
        <v>78869</v>
      </c>
      <c r="D518" s="28">
        <v>44760</v>
      </c>
      <c r="E518" s="29">
        <v>48</v>
      </c>
      <c r="F518" s="15" t="str">
        <f t="shared" si="8"/>
        <v>1203-78869-44760</v>
      </c>
    </row>
    <row r="519" spans="1:6" ht="14.25" customHeight="1" x14ac:dyDescent="0.25">
      <c r="A519" s="15" t="s">
        <v>659</v>
      </c>
      <c r="B519" s="27">
        <v>1203</v>
      </c>
      <c r="C519" s="27">
        <v>78869</v>
      </c>
      <c r="D519" s="28">
        <v>44767</v>
      </c>
      <c r="E519" s="29">
        <v>16</v>
      </c>
      <c r="F519" s="15" t="str">
        <f t="shared" si="8"/>
        <v>1203-78869-44767</v>
      </c>
    </row>
    <row r="520" spans="1:6" ht="14.25" customHeight="1" x14ac:dyDescent="0.25">
      <c r="A520" s="15" t="s">
        <v>660</v>
      </c>
      <c r="B520" s="27">
        <v>1203</v>
      </c>
      <c r="C520" s="27">
        <v>78869</v>
      </c>
      <c r="D520" s="28">
        <v>44774</v>
      </c>
      <c r="E520" s="29">
        <v>56</v>
      </c>
      <c r="F520" s="15" t="str">
        <f t="shared" si="8"/>
        <v>1203-78869-44774</v>
      </c>
    </row>
    <row r="521" spans="1:6" ht="14.25" customHeight="1" x14ac:dyDescent="0.25">
      <c r="A521" s="15" t="s">
        <v>661</v>
      </c>
      <c r="B521" s="27">
        <v>1203</v>
      </c>
      <c r="C521" s="27">
        <v>78869</v>
      </c>
      <c r="D521" s="28">
        <v>44781</v>
      </c>
      <c r="E521" s="29">
        <v>45</v>
      </c>
      <c r="F521" s="15" t="str">
        <f t="shared" si="8"/>
        <v>1203-78869-44781</v>
      </c>
    </row>
    <row r="522" spans="1:6" ht="14.25" customHeight="1" x14ac:dyDescent="0.25">
      <c r="A522" s="15" t="s">
        <v>662</v>
      </c>
      <c r="B522" s="27">
        <v>1203</v>
      </c>
      <c r="C522" s="27">
        <v>78869</v>
      </c>
      <c r="D522" s="28">
        <v>44788</v>
      </c>
      <c r="E522" s="29">
        <v>56</v>
      </c>
      <c r="F522" s="15" t="str">
        <f t="shared" si="8"/>
        <v>1203-78869-44788</v>
      </c>
    </row>
    <row r="523" spans="1:6" ht="14.25" customHeight="1" x14ac:dyDescent="0.25">
      <c r="A523" s="15" t="s">
        <v>663</v>
      </c>
      <c r="B523" s="27">
        <v>1203</v>
      </c>
      <c r="C523" s="27">
        <v>115600</v>
      </c>
      <c r="D523" s="28">
        <v>44739</v>
      </c>
      <c r="E523" s="29">
        <v>128</v>
      </c>
      <c r="F523" s="15" t="str">
        <f t="shared" si="8"/>
        <v>1203-115600-44739</v>
      </c>
    </row>
    <row r="524" spans="1:6" ht="14.25" customHeight="1" x14ac:dyDescent="0.25">
      <c r="A524" s="15" t="s">
        <v>664</v>
      </c>
      <c r="B524" s="27">
        <v>1203</v>
      </c>
      <c r="C524" s="27">
        <v>115600</v>
      </c>
      <c r="D524" s="28">
        <v>44746</v>
      </c>
      <c r="E524" s="29">
        <v>146</v>
      </c>
      <c r="F524" s="15" t="str">
        <f t="shared" si="8"/>
        <v>1203-115600-44746</v>
      </c>
    </row>
    <row r="525" spans="1:6" ht="14.25" customHeight="1" x14ac:dyDescent="0.25">
      <c r="A525" s="15" t="s">
        <v>665</v>
      </c>
      <c r="B525" s="27">
        <v>1203</v>
      </c>
      <c r="C525" s="27">
        <v>115600</v>
      </c>
      <c r="D525" s="28">
        <v>44753</v>
      </c>
      <c r="E525" s="29">
        <v>136</v>
      </c>
      <c r="F525" s="15" t="str">
        <f t="shared" si="8"/>
        <v>1203-115600-44753</v>
      </c>
    </row>
    <row r="526" spans="1:6" ht="14.25" customHeight="1" x14ac:dyDescent="0.25">
      <c r="A526" s="15" t="s">
        <v>666</v>
      </c>
      <c r="B526" s="27">
        <v>1203</v>
      </c>
      <c r="C526" s="27">
        <v>115600</v>
      </c>
      <c r="D526" s="28">
        <v>44760</v>
      </c>
      <c r="E526" s="29">
        <v>120</v>
      </c>
      <c r="F526" s="15" t="str">
        <f t="shared" si="8"/>
        <v>1203-115600-44760</v>
      </c>
    </row>
    <row r="527" spans="1:6" ht="14.25" customHeight="1" x14ac:dyDescent="0.25">
      <c r="A527" s="15" t="s">
        <v>667</v>
      </c>
      <c r="B527" s="27">
        <v>1203</v>
      </c>
      <c r="C527" s="27">
        <v>115600</v>
      </c>
      <c r="D527" s="28">
        <v>44767</v>
      </c>
      <c r="E527" s="29">
        <v>133</v>
      </c>
      <c r="F527" s="15" t="str">
        <f t="shared" si="8"/>
        <v>1203-115600-44767</v>
      </c>
    </row>
    <row r="528" spans="1:6" ht="14.25" customHeight="1" x14ac:dyDescent="0.25">
      <c r="A528" s="15" t="s">
        <v>668</v>
      </c>
      <c r="B528" s="27">
        <v>1203</v>
      </c>
      <c r="C528" s="27">
        <v>115600</v>
      </c>
      <c r="D528" s="28">
        <v>44774</v>
      </c>
      <c r="E528" s="29">
        <v>128</v>
      </c>
      <c r="F528" s="15" t="str">
        <f t="shared" si="8"/>
        <v>1203-115600-44774</v>
      </c>
    </row>
    <row r="529" spans="1:6" ht="14.25" customHeight="1" x14ac:dyDescent="0.25">
      <c r="A529" s="15" t="s">
        <v>669</v>
      </c>
      <c r="B529" s="27">
        <v>1203</v>
      </c>
      <c r="C529" s="27">
        <v>115600</v>
      </c>
      <c r="D529" s="28">
        <v>44781</v>
      </c>
      <c r="E529" s="29">
        <v>145</v>
      </c>
      <c r="F529" s="15" t="str">
        <f t="shared" si="8"/>
        <v>1203-115600-44781</v>
      </c>
    </row>
    <row r="530" spans="1:6" ht="14.25" customHeight="1" x14ac:dyDescent="0.25">
      <c r="A530" s="15" t="s">
        <v>670</v>
      </c>
      <c r="B530" s="27">
        <v>1203</v>
      </c>
      <c r="C530" s="27">
        <v>115600</v>
      </c>
      <c r="D530" s="28">
        <v>44788</v>
      </c>
      <c r="E530" s="29">
        <v>101</v>
      </c>
      <c r="F530" s="15" t="str">
        <f t="shared" si="8"/>
        <v>1203-115600-44788</v>
      </c>
    </row>
    <row r="531" spans="1:6" ht="14.25" customHeight="1" x14ac:dyDescent="0.25">
      <c r="A531" s="15" t="s">
        <v>671</v>
      </c>
      <c r="B531" s="27">
        <v>1203</v>
      </c>
      <c r="C531" s="27">
        <v>129208</v>
      </c>
      <c r="D531" s="28">
        <v>32874</v>
      </c>
      <c r="E531" s="29">
        <v>48</v>
      </c>
      <c r="F531" s="15" t="str">
        <f t="shared" si="8"/>
        <v>1203-129208-32874</v>
      </c>
    </row>
    <row r="532" spans="1:6" ht="14.25" customHeight="1" x14ac:dyDescent="0.25">
      <c r="A532" s="15" t="s">
        <v>672</v>
      </c>
      <c r="B532" s="27">
        <v>1203</v>
      </c>
      <c r="C532" s="27">
        <v>129208</v>
      </c>
      <c r="D532" s="28">
        <v>44739</v>
      </c>
      <c r="E532" s="29">
        <v>54</v>
      </c>
      <c r="F532" s="15" t="str">
        <f t="shared" si="8"/>
        <v>1203-129208-44739</v>
      </c>
    </row>
    <row r="533" spans="1:6" ht="14.25" customHeight="1" x14ac:dyDescent="0.25">
      <c r="A533" s="15" t="s">
        <v>673</v>
      </c>
      <c r="B533" s="27">
        <v>1203</v>
      </c>
      <c r="C533" s="27">
        <v>129208</v>
      </c>
      <c r="D533" s="28">
        <v>44746</v>
      </c>
      <c r="E533" s="29">
        <v>35</v>
      </c>
      <c r="F533" s="15" t="str">
        <f t="shared" si="8"/>
        <v>1203-129208-44746</v>
      </c>
    </row>
    <row r="534" spans="1:6" ht="14.25" customHeight="1" x14ac:dyDescent="0.25">
      <c r="A534" s="15" t="s">
        <v>674</v>
      </c>
      <c r="B534" s="27">
        <v>1203</v>
      </c>
      <c r="C534" s="27">
        <v>129208</v>
      </c>
      <c r="D534" s="28">
        <v>44753</v>
      </c>
      <c r="E534" s="29">
        <v>37</v>
      </c>
      <c r="F534" s="15" t="str">
        <f t="shared" si="8"/>
        <v>1203-129208-44753</v>
      </c>
    </row>
    <row r="535" spans="1:6" ht="14.25" customHeight="1" x14ac:dyDescent="0.25">
      <c r="A535" s="15" t="s">
        <v>675</v>
      </c>
      <c r="B535" s="27">
        <v>1203</v>
      </c>
      <c r="C535" s="27">
        <v>129208</v>
      </c>
      <c r="D535" s="28">
        <v>44760</v>
      </c>
      <c r="E535" s="29">
        <v>36</v>
      </c>
      <c r="F535" s="15" t="str">
        <f t="shared" si="8"/>
        <v>1203-129208-44760</v>
      </c>
    </row>
    <row r="536" spans="1:6" ht="14.25" customHeight="1" x14ac:dyDescent="0.25">
      <c r="A536" s="15" t="s">
        <v>676</v>
      </c>
      <c r="B536" s="27">
        <v>1203</v>
      </c>
      <c r="C536" s="27">
        <v>129208</v>
      </c>
      <c r="D536" s="28">
        <v>44767</v>
      </c>
      <c r="E536" s="29">
        <v>35</v>
      </c>
      <c r="F536" s="15" t="str">
        <f t="shared" si="8"/>
        <v>1203-129208-44767</v>
      </c>
    </row>
    <row r="537" spans="1:6" ht="14.25" customHeight="1" x14ac:dyDescent="0.25">
      <c r="A537" s="15" t="s">
        <v>677</v>
      </c>
      <c r="B537" s="27">
        <v>1203</v>
      </c>
      <c r="C537" s="27">
        <v>129208</v>
      </c>
      <c r="D537" s="28">
        <v>44774</v>
      </c>
      <c r="E537" s="29">
        <v>75</v>
      </c>
      <c r="F537" s="15" t="str">
        <f t="shared" si="8"/>
        <v>1203-129208-44774</v>
      </c>
    </row>
    <row r="538" spans="1:6" ht="14.25" customHeight="1" x14ac:dyDescent="0.25">
      <c r="A538" s="15" t="s">
        <v>678</v>
      </c>
      <c r="B538" s="27">
        <v>1203</v>
      </c>
      <c r="C538" s="27">
        <v>129208</v>
      </c>
      <c r="D538" s="28">
        <v>44781</v>
      </c>
      <c r="E538" s="29">
        <v>72</v>
      </c>
      <c r="F538" s="15" t="str">
        <f t="shared" si="8"/>
        <v>1203-129208-44781</v>
      </c>
    </row>
    <row r="539" spans="1:6" ht="14.25" customHeight="1" x14ac:dyDescent="0.25">
      <c r="A539" s="15" t="s">
        <v>679</v>
      </c>
      <c r="B539" s="27">
        <v>1203</v>
      </c>
      <c r="C539" s="27">
        <v>129208</v>
      </c>
      <c r="D539" s="28">
        <v>44788</v>
      </c>
      <c r="E539" s="29">
        <v>40</v>
      </c>
      <c r="F539" s="15" t="str">
        <f t="shared" si="8"/>
        <v>1203-129208-44788</v>
      </c>
    </row>
    <row r="540" spans="1:6" ht="14.25" customHeight="1" x14ac:dyDescent="0.25">
      <c r="A540" s="15" t="s">
        <v>680</v>
      </c>
      <c r="B540" s="27">
        <v>1203</v>
      </c>
      <c r="C540" s="27">
        <v>141622</v>
      </c>
      <c r="D540" s="28">
        <v>44739</v>
      </c>
      <c r="E540" s="29">
        <v>43</v>
      </c>
      <c r="F540" s="15" t="str">
        <f t="shared" si="8"/>
        <v>1203-141622-44739</v>
      </c>
    </row>
    <row r="541" spans="1:6" ht="14.25" customHeight="1" x14ac:dyDescent="0.25">
      <c r="A541" s="15" t="s">
        <v>681</v>
      </c>
      <c r="B541" s="27">
        <v>1203</v>
      </c>
      <c r="C541" s="27">
        <v>141622</v>
      </c>
      <c r="D541" s="28">
        <v>44746</v>
      </c>
      <c r="E541" s="29">
        <v>36</v>
      </c>
      <c r="F541" s="15" t="str">
        <f t="shared" si="8"/>
        <v>1203-141622-44746</v>
      </c>
    </row>
    <row r="542" spans="1:6" ht="14.25" customHeight="1" x14ac:dyDescent="0.25">
      <c r="A542" s="15" t="s">
        <v>682</v>
      </c>
      <c r="B542" s="27">
        <v>1203</v>
      </c>
      <c r="C542" s="27">
        <v>141622</v>
      </c>
      <c r="D542" s="28">
        <v>44753</v>
      </c>
      <c r="E542" s="29">
        <v>27</v>
      </c>
      <c r="F542" s="15" t="str">
        <f t="shared" si="8"/>
        <v>1203-141622-44753</v>
      </c>
    </row>
    <row r="543" spans="1:6" ht="14.25" customHeight="1" x14ac:dyDescent="0.25">
      <c r="A543" s="15" t="s">
        <v>683</v>
      </c>
      <c r="B543" s="27">
        <v>1203</v>
      </c>
      <c r="C543" s="27">
        <v>141622</v>
      </c>
      <c r="D543" s="28">
        <v>44760</v>
      </c>
      <c r="E543" s="29">
        <v>42</v>
      </c>
      <c r="F543" s="15" t="str">
        <f t="shared" si="8"/>
        <v>1203-141622-44760</v>
      </c>
    </row>
    <row r="544" spans="1:6" ht="14.25" customHeight="1" x14ac:dyDescent="0.25">
      <c r="A544" s="15" t="s">
        <v>684</v>
      </c>
      <c r="B544" s="27">
        <v>1203</v>
      </c>
      <c r="C544" s="27">
        <v>141622</v>
      </c>
      <c r="D544" s="28">
        <v>44767</v>
      </c>
      <c r="E544" s="29">
        <v>45</v>
      </c>
      <c r="F544" s="15" t="str">
        <f t="shared" si="8"/>
        <v>1203-141622-44767</v>
      </c>
    </row>
    <row r="545" spans="1:6" ht="14.25" customHeight="1" x14ac:dyDescent="0.25">
      <c r="A545" s="15" t="s">
        <v>685</v>
      </c>
      <c r="B545" s="27">
        <v>1203</v>
      </c>
      <c r="C545" s="27">
        <v>141622</v>
      </c>
      <c r="D545" s="28">
        <v>44774</v>
      </c>
      <c r="E545" s="29">
        <v>26</v>
      </c>
      <c r="F545" s="15" t="str">
        <f t="shared" si="8"/>
        <v>1203-141622-44774</v>
      </c>
    </row>
    <row r="546" spans="1:6" ht="14.25" customHeight="1" x14ac:dyDescent="0.25">
      <c r="A546" s="15" t="s">
        <v>686</v>
      </c>
      <c r="B546" s="27">
        <v>1203</v>
      </c>
      <c r="C546" s="27">
        <v>141622</v>
      </c>
      <c r="D546" s="28">
        <v>44781</v>
      </c>
      <c r="E546" s="29">
        <v>36</v>
      </c>
      <c r="F546" s="15" t="str">
        <f t="shared" si="8"/>
        <v>1203-141622-44781</v>
      </c>
    </row>
    <row r="547" spans="1:6" ht="14.25" customHeight="1" x14ac:dyDescent="0.25">
      <c r="A547" s="15" t="s">
        <v>687</v>
      </c>
      <c r="B547" s="27">
        <v>1203</v>
      </c>
      <c r="C547" s="27">
        <v>141622</v>
      </c>
      <c r="D547" s="28">
        <v>44788</v>
      </c>
      <c r="E547" s="29">
        <v>24</v>
      </c>
      <c r="F547" s="15" t="str">
        <f t="shared" si="8"/>
        <v>1203-141622-44788</v>
      </c>
    </row>
    <row r="548" spans="1:6" ht="14.25" customHeight="1" x14ac:dyDescent="0.25">
      <c r="A548" s="15" t="s">
        <v>688</v>
      </c>
      <c r="B548" s="27">
        <v>1203</v>
      </c>
      <c r="C548" s="27">
        <v>141626</v>
      </c>
      <c r="D548" s="28">
        <v>44739</v>
      </c>
      <c r="E548" s="29">
        <v>1098</v>
      </c>
      <c r="F548" s="15" t="str">
        <f t="shared" si="8"/>
        <v>1203-141626-44739</v>
      </c>
    </row>
    <row r="549" spans="1:6" ht="14.25" customHeight="1" x14ac:dyDescent="0.25">
      <c r="A549" s="15" t="s">
        <v>689</v>
      </c>
      <c r="B549" s="27">
        <v>1203</v>
      </c>
      <c r="C549" s="27">
        <v>141626</v>
      </c>
      <c r="D549" s="28">
        <v>44746</v>
      </c>
      <c r="E549" s="29">
        <v>1395</v>
      </c>
      <c r="F549" s="15" t="str">
        <f t="shared" si="8"/>
        <v>1203-141626-44746</v>
      </c>
    </row>
    <row r="550" spans="1:6" ht="14.25" customHeight="1" x14ac:dyDescent="0.25">
      <c r="A550" s="15" t="s">
        <v>690</v>
      </c>
      <c r="B550" s="27">
        <v>1203</v>
      </c>
      <c r="C550" s="27">
        <v>141626</v>
      </c>
      <c r="D550" s="28">
        <v>44753</v>
      </c>
      <c r="E550" s="29">
        <v>1060</v>
      </c>
      <c r="F550" s="15" t="str">
        <f t="shared" si="8"/>
        <v>1203-141626-44753</v>
      </c>
    </row>
    <row r="551" spans="1:6" ht="14.25" customHeight="1" x14ac:dyDescent="0.25">
      <c r="A551" s="15" t="s">
        <v>691</v>
      </c>
      <c r="B551" s="27">
        <v>1203</v>
      </c>
      <c r="C551" s="27">
        <v>141626</v>
      </c>
      <c r="D551" s="28">
        <v>44760</v>
      </c>
      <c r="E551" s="29">
        <v>1064</v>
      </c>
      <c r="F551" s="15" t="str">
        <f t="shared" si="8"/>
        <v>1203-141626-44760</v>
      </c>
    </row>
    <row r="552" spans="1:6" ht="14.25" customHeight="1" x14ac:dyDescent="0.25">
      <c r="A552" s="15" t="s">
        <v>692</v>
      </c>
      <c r="B552" s="27">
        <v>1203</v>
      </c>
      <c r="C552" s="27">
        <v>141626</v>
      </c>
      <c r="D552" s="28">
        <v>44767</v>
      </c>
      <c r="E552" s="29">
        <v>1242</v>
      </c>
      <c r="F552" s="15" t="str">
        <f t="shared" si="8"/>
        <v>1203-141626-44767</v>
      </c>
    </row>
    <row r="553" spans="1:6" ht="14.25" customHeight="1" x14ac:dyDescent="0.25">
      <c r="A553" s="15" t="s">
        <v>693</v>
      </c>
      <c r="B553" s="27">
        <v>1203</v>
      </c>
      <c r="C553" s="27">
        <v>141626</v>
      </c>
      <c r="D553" s="28">
        <v>44774</v>
      </c>
      <c r="E553" s="29">
        <v>928</v>
      </c>
      <c r="F553" s="15" t="str">
        <f t="shared" si="8"/>
        <v>1203-141626-44774</v>
      </c>
    </row>
    <row r="554" spans="1:6" ht="14.25" customHeight="1" x14ac:dyDescent="0.25">
      <c r="A554" s="15" t="s">
        <v>694</v>
      </c>
      <c r="B554" s="27">
        <v>1203</v>
      </c>
      <c r="C554" s="27">
        <v>141626</v>
      </c>
      <c r="D554" s="28">
        <v>44781</v>
      </c>
      <c r="E554" s="29">
        <v>635</v>
      </c>
      <c r="F554" s="15" t="str">
        <f t="shared" si="8"/>
        <v>1203-141626-44781</v>
      </c>
    </row>
    <row r="555" spans="1:6" ht="14.25" customHeight="1" x14ac:dyDescent="0.25">
      <c r="A555" s="15" t="s">
        <v>695</v>
      </c>
      <c r="B555" s="27">
        <v>1203</v>
      </c>
      <c r="C555" s="27">
        <v>141626</v>
      </c>
      <c r="D555" s="28">
        <v>44788</v>
      </c>
      <c r="E555" s="29">
        <v>1368</v>
      </c>
      <c r="F555" s="15" t="str">
        <f t="shared" si="8"/>
        <v>1203-141626-44788</v>
      </c>
    </row>
    <row r="556" spans="1:6" ht="14.25" customHeight="1" x14ac:dyDescent="0.25">
      <c r="A556" s="15" t="s">
        <v>696</v>
      </c>
      <c r="B556" s="27">
        <v>1203</v>
      </c>
      <c r="C556" s="27">
        <v>141791</v>
      </c>
      <c r="D556" s="28">
        <v>44739</v>
      </c>
      <c r="E556" s="29">
        <v>52</v>
      </c>
      <c r="F556" s="15" t="str">
        <f t="shared" si="8"/>
        <v>1203-141791-44739</v>
      </c>
    </row>
    <row r="557" spans="1:6" ht="14.25" customHeight="1" x14ac:dyDescent="0.25">
      <c r="A557" s="15" t="s">
        <v>697</v>
      </c>
      <c r="B557" s="27">
        <v>1203</v>
      </c>
      <c r="C557" s="27">
        <v>141791</v>
      </c>
      <c r="D557" s="28">
        <v>44746</v>
      </c>
      <c r="E557" s="29">
        <v>24</v>
      </c>
      <c r="F557" s="15" t="str">
        <f t="shared" si="8"/>
        <v>1203-141791-44746</v>
      </c>
    </row>
    <row r="558" spans="1:6" ht="14.25" customHeight="1" x14ac:dyDescent="0.25">
      <c r="A558" s="15" t="s">
        <v>698</v>
      </c>
      <c r="B558" s="27">
        <v>1203</v>
      </c>
      <c r="C558" s="27">
        <v>141791</v>
      </c>
      <c r="D558" s="28">
        <v>44753</v>
      </c>
      <c r="E558" s="29">
        <v>65</v>
      </c>
      <c r="F558" s="15" t="str">
        <f t="shared" si="8"/>
        <v>1203-141791-44753</v>
      </c>
    </row>
    <row r="559" spans="1:6" ht="14.25" customHeight="1" x14ac:dyDescent="0.25">
      <c r="A559" s="15" t="s">
        <v>699</v>
      </c>
      <c r="B559" s="27">
        <v>1203</v>
      </c>
      <c r="C559" s="27">
        <v>141791</v>
      </c>
      <c r="D559" s="28">
        <v>44760</v>
      </c>
      <c r="E559" s="29">
        <v>25</v>
      </c>
      <c r="F559" s="15" t="str">
        <f t="shared" si="8"/>
        <v>1203-141791-44760</v>
      </c>
    </row>
    <row r="560" spans="1:6" ht="14.25" customHeight="1" x14ac:dyDescent="0.25">
      <c r="A560" s="15" t="s">
        <v>700</v>
      </c>
      <c r="B560" s="27">
        <v>1203</v>
      </c>
      <c r="C560" s="27">
        <v>141791</v>
      </c>
      <c r="D560" s="28">
        <v>44767</v>
      </c>
      <c r="E560" s="29">
        <v>24</v>
      </c>
      <c r="F560" s="15" t="str">
        <f t="shared" si="8"/>
        <v>1203-141791-44767</v>
      </c>
    </row>
    <row r="561" spans="1:6" ht="14.25" customHeight="1" x14ac:dyDescent="0.25">
      <c r="A561" s="15" t="s">
        <v>701</v>
      </c>
      <c r="B561" s="27">
        <v>1203</v>
      </c>
      <c r="C561" s="27">
        <v>141791</v>
      </c>
      <c r="D561" s="28">
        <v>44774</v>
      </c>
      <c r="E561" s="29">
        <v>32</v>
      </c>
      <c r="F561" s="15" t="str">
        <f t="shared" si="8"/>
        <v>1203-141791-44774</v>
      </c>
    </row>
    <row r="562" spans="1:6" ht="14.25" customHeight="1" x14ac:dyDescent="0.25">
      <c r="A562" s="15" t="s">
        <v>702</v>
      </c>
      <c r="B562" s="27">
        <v>1203</v>
      </c>
      <c r="C562" s="27">
        <v>141791</v>
      </c>
      <c r="D562" s="28">
        <v>44781</v>
      </c>
      <c r="E562" s="29">
        <v>54</v>
      </c>
      <c r="F562" s="15" t="str">
        <f t="shared" si="8"/>
        <v>1203-141791-44781</v>
      </c>
    </row>
    <row r="563" spans="1:6" ht="14.25" customHeight="1" x14ac:dyDescent="0.25">
      <c r="A563" s="15" t="s">
        <v>703</v>
      </c>
      <c r="B563" s="27">
        <v>1203</v>
      </c>
      <c r="C563" s="27">
        <v>141791</v>
      </c>
      <c r="D563" s="28">
        <v>44788</v>
      </c>
      <c r="E563" s="29">
        <v>52</v>
      </c>
      <c r="F563" s="15" t="str">
        <f t="shared" si="8"/>
        <v>1203-141791-44788</v>
      </c>
    </row>
    <row r="564" spans="1:6" ht="14.25" customHeight="1" x14ac:dyDescent="0.25">
      <c r="A564" s="15" t="s">
        <v>704</v>
      </c>
      <c r="B564" s="27">
        <v>1203</v>
      </c>
      <c r="C564" s="27">
        <v>141846</v>
      </c>
      <c r="D564" s="28">
        <v>44739</v>
      </c>
      <c r="E564" s="29">
        <v>10</v>
      </c>
      <c r="F564" s="15" t="str">
        <f t="shared" si="8"/>
        <v>1203-141846-44739</v>
      </c>
    </row>
    <row r="565" spans="1:6" ht="14.25" customHeight="1" x14ac:dyDescent="0.25">
      <c r="A565" s="15" t="s">
        <v>705</v>
      </c>
      <c r="B565" s="27">
        <v>1203</v>
      </c>
      <c r="C565" s="27">
        <v>141846</v>
      </c>
      <c r="D565" s="28">
        <v>44746</v>
      </c>
      <c r="E565" s="29">
        <v>15</v>
      </c>
      <c r="F565" s="15" t="str">
        <f t="shared" si="8"/>
        <v>1203-141846-44746</v>
      </c>
    </row>
    <row r="566" spans="1:6" ht="14.25" customHeight="1" x14ac:dyDescent="0.25">
      <c r="A566" s="15" t="s">
        <v>706</v>
      </c>
      <c r="B566" s="27">
        <v>1203</v>
      </c>
      <c r="C566" s="27">
        <v>141846</v>
      </c>
      <c r="D566" s="28">
        <v>44753</v>
      </c>
      <c r="E566" s="29">
        <v>46</v>
      </c>
      <c r="F566" s="15" t="str">
        <f t="shared" si="8"/>
        <v>1203-141846-44753</v>
      </c>
    </row>
    <row r="567" spans="1:6" ht="14.25" customHeight="1" x14ac:dyDescent="0.25">
      <c r="A567" s="15" t="s">
        <v>707</v>
      </c>
      <c r="B567" s="27">
        <v>1203</v>
      </c>
      <c r="C567" s="27">
        <v>141846</v>
      </c>
      <c r="D567" s="28">
        <v>44760</v>
      </c>
      <c r="E567" s="29">
        <v>39</v>
      </c>
      <c r="F567" s="15" t="str">
        <f t="shared" si="8"/>
        <v>1203-141846-44760</v>
      </c>
    </row>
    <row r="568" spans="1:6" ht="14.25" customHeight="1" x14ac:dyDescent="0.25">
      <c r="A568" s="15" t="s">
        <v>708</v>
      </c>
      <c r="B568" s="27">
        <v>1203</v>
      </c>
      <c r="C568" s="27">
        <v>141846</v>
      </c>
      <c r="D568" s="28">
        <v>44767</v>
      </c>
      <c r="E568" s="29">
        <v>18</v>
      </c>
      <c r="F568" s="15" t="str">
        <f t="shared" si="8"/>
        <v>1203-141846-44767</v>
      </c>
    </row>
    <row r="569" spans="1:6" ht="14.25" customHeight="1" x14ac:dyDescent="0.25">
      <c r="A569" s="15" t="s">
        <v>709</v>
      </c>
      <c r="B569" s="27">
        <v>1203</v>
      </c>
      <c r="C569" s="27">
        <v>141846</v>
      </c>
      <c r="D569" s="28">
        <v>44774</v>
      </c>
      <c r="E569" s="29">
        <v>46</v>
      </c>
      <c r="F569" s="15" t="str">
        <f t="shared" si="8"/>
        <v>1203-141846-44774</v>
      </c>
    </row>
    <row r="570" spans="1:6" ht="14.25" customHeight="1" x14ac:dyDescent="0.25">
      <c r="A570" s="15" t="s">
        <v>710</v>
      </c>
      <c r="B570" s="27">
        <v>1203</v>
      </c>
      <c r="C570" s="27">
        <v>141846</v>
      </c>
      <c r="D570" s="28">
        <v>44781</v>
      </c>
      <c r="E570" s="29">
        <v>44</v>
      </c>
      <c r="F570" s="15" t="str">
        <f t="shared" si="8"/>
        <v>1203-141846-44781</v>
      </c>
    </row>
    <row r="571" spans="1:6" ht="14.25" customHeight="1" x14ac:dyDescent="0.25">
      <c r="A571" s="15" t="s">
        <v>711</v>
      </c>
      <c r="B571" s="27">
        <v>1203</v>
      </c>
      <c r="C571" s="27">
        <v>141846</v>
      </c>
      <c r="D571" s="28">
        <v>44788</v>
      </c>
      <c r="E571" s="29">
        <v>11</v>
      </c>
      <c r="F571" s="15" t="str">
        <f t="shared" si="8"/>
        <v>1203-141846-44788</v>
      </c>
    </row>
    <row r="572" spans="1:6" ht="14.25" customHeight="1" x14ac:dyDescent="0.25">
      <c r="A572" s="15" t="s">
        <v>712</v>
      </c>
      <c r="B572" s="27">
        <v>1203</v>
      </c>
      <c r="C572" s="27">
        <v>141967</v>
      </c>
      <c r="D572" s="28">
        <v>44739</v>
      </c>
      <c r="E572" s="29">
        <v>82</v>
      </c>
      <c r="F572" s="15" t="str">
        <f t="shared" si="8"/>
        <v>1203-141967-44739</v>
      </c>
    </row>
    <row r="573" spans="1:6" ht="14.25" customHeight="1" x14ac:dyDescent="0.25">
      <c r="A573" s="15" t="s">
        <v>713</v>
      </c>
      <c r="B573" s="27">
        <v>1203</v>
      </c>
      <c r="C573" s="27">
        <v>141967</v>
      </c>
      <c r="D573" s="28">
        <v>44746</v>
      </c>
      <c r="E573" s="29">
        <v>36</v>
      </c>
      <c r="F573" s="15" t="str">
        <f t="shared" si="8"/>
        <v>1203-141967-44746</v>
      </c>
    </row>
    <row r="574" spans="1:6" ht="14.25" customHeight="1" x14ac:dyDescent="0.25">
      <c r="A574" s="15" t="s">
        <v>714</v>
      </c>
      <c r="B574" s="27">
        <v>1203</v>
      </c>
      <c r="C574" s="27">
        <v>141967</v>
      </c>
      <c r="D574" s="28">
        <v>44753</v>
      </c>
      <c r="E574" s="29">
        <v>107</v>
      </c>
      <c r="F574" s="15" t="str">
        <f t="shared" si="8"/>
        <v>1203-141967-44753</v>
      </c>
    </row>
    <row r="575" spans="1:6" ht="14.25" customHeight="1" x14ac:dyDescent="0.25">
      <c r="A575" s="15" t="s">
        <v>715</v>
      </c>
      <c r="B575" s="27">
        <v>1203</v>
      </c>
      <c r="C575" s="27">
        <v>141967</v>
      </c>
      <c r="D575" s="28">
        <v>44760</v>
      </c>
      <c r="E575" s="29">
        <v>111</v>
      </c>
      <c r="F575" s="15" t="str">
        <f t="shared" si="8"/>
        <v>1203-141967-44760</v>
      </c>
    </row>
    <row r="576" spans="1:6" ht="14.25" customHeight="1" x14ac:dyDescent="0.25">
      <c r="A576" s="15" t="s">
        <v>716</v>
      </c>
      <c r="B576" s="27">
        <v>1203</v>
      </c>
      <c r="C576" s="27">
        <v>141967</v>
      </c>
      <c r="D576" s="28">
        <v>44767</v>
      </c>
      <c r="E576" s="29">
        <v>27</v>
      </c>
      <c r="F576" s="15" t="str">
        <f t="shared" si="8"/>
        <v>1203-141967-44767</v>
      </c>
    </row>
    <row r="577" spans="1:6" ht="14.25" customHeight="1" x14ac:dyDescent="0.25">
      <c r="A577" s="15" t="s">
        <v>717</v>
      </c>
      <c r="B577" s="27">
        <v>1203</v>
      </c>
      <c r="C577" s="27">
        <v>141967</v>
      </c>
      <c r="D577" s="28">
        <v>44774</v>
      </c>
      <c r="E577" s="29">
        <v>33</v>
      </c>
      <c r="F577" s="15" t="str">
        <f t="shared" si="8"/>
        <v>1203-141967-44774</v>
      </c>
    </row>
    <row r="578" spans="1:6" ht="14.25" customHeight="1" x14ac:dyDescent="0.25">
      <c r="A578" s="15" t="s">
        <v>718</v>
      </c>
      <c r="B578" s="27">
        <v>1203</v>
      </c>
      <c r="C578" s="27">
        <v>141967</v>
      </c>
      <c r="D578" s="28">
        <v>44781</v>
      </c>
      <c r="E578" s="29">
        <v>42</v>
      </c>
      <c r="F578" s="15" t="str">
        <f t="shared" si="8"/>
        <v>1203-141967-44781</v>
      </c>
    </row>
    <row r="579" spans="1:6" ht="14.25" customHeight="1" x14ac:dyDescent="0.25">
      <c r="A579" s="15" t="s">
        <v>719</v>
      </c>
      <c r="B579" s="27">
        <v>1203</v>
      </c>
      <c r="C579" s="27">
        <v>141967</v>
      </c>
      <c r="D579" s="28">
        <v>44788</v>
      </c>
      <c r="E579" s="29">
        <v>93</v>
      </c>
      <c r="F579" s="15" t="str">
        <f t="shared" ref="F579:F642" si="9">B579&amp;"-"&amp;C579&amp;"-"&amp;INT(D579)</f>
        <v>1203-141967-44788</v>
      </c>
    </row>
    <row r="580" spans="1:6" ht="14.25" customHeight="1" x14ac:dyDescent="0.25">
      <c r="A580" s="15" t="s">
        <v>720</v>
      </c>
      <c r="B580" s="27">
        <v>1203</v>
      </c>
      <c r="C580" s="27">
        <v>142194</v>
      </c>
      <c r="D580" s="28">
        <v>44739</v>
      </c>
      <c r="E580" s="29">
        <v>8</v>
      </c>
      <c r="F580" s="15" t="str">
        <f t="shared" si="9"/>
        <v>1203-142194-44739</v>
      </c>
    </row>
    <row r="581" spans="1:6" ht="14.25" customHeight="1" x14ac:dyDescent="0.25">
      <c r="A581" s="15" t="s">
        <v>721</v>
      </c>
      <c r="B581" s="27">
        <v>1203</v>
      </c>
      <c r="C581" s="27">
        <v>142194</v>
      </c>
      <c r="D581" s="28">
        <v>44746</v>
      </c>
      <c r="E581" s="29">
        <v>11</v>
      </c>
      <c r="F581" s="15" t="str">
        <f t="shared" si="9"/>
        <v>1203-142194-44746</v>
      </c>
    </row>
    <row r="582" spans="1:6" ht="14.25" customHeight="1" x14ac:dyDescent="0.25">
      <c r="A582" s="15" t="s">
        <v>722</v>
      </c>
      <c r="B582" s="27">
        <v>1203</v>
      </c>
      <c r="C582" s="27">
        <v>142194</v>
      </c>
      <c r="D582" s="28">
        <v>44753</v>
      </c>
      <c r="E582" s="29">
        <v>3</v>
      </c>
      <c r="F582" s="15" t="str">
        <f t="shared" si="9"/>
        <v>1203-142194-44753</v>
      </c>
    </row>
    <row r="583" spans="1:6" ht="14.25" customHeight="1" x14ac:dyDescent="0.25">
      <c r="A583" s="15" t="s">
        <v>723</v>
      </c>
      <c r="B583" s="27">
        <v>1203</v>
      </c>
      <c r="C583" s="27">
        <v>142194</v>
      </c>
      <c r="D583" s="28">
        <v>44760</v>
      </c>
      <c r="E583" s="29">
        <v>12</v>
      </c>
      <c r="F583" s="15" t="str">
        <f t="shared" si="9"/>
        <v>1203-142194-44760</v>
      </c>
    </row>
    <row r="584" spans="1:6" ht="14.25" customHeight="1" x14ac:dyDescent="0.25">
      <c r="A584" s="15" t="s">
        <v>724</v>
      </c>
      <c r="B584" s="27">
        <v>1203</v>
      </c>
      <c r="C584" s="27">
        <v>142194</v>
      </c>
      <c r="D584" s="28">
        <v>44767</v>
      </c>
      <c r="E584" s="29">
        <v>1</v>
      </c>
      <c r="F584" s="15" t="str">
        <f t="shared" si="9"/>
        <v>1203-142194-44767</v>
      </c>
    </row>
    <row r="585" spans="1:6" ht="14.25" customHeight="1" x14ac:dyDescent="0.25">
      <c r="A585" s="15" t="s">
        <v>725</v>
      </c>
      <c r="B585" s="27">
        <v>1203</v>
      </c>
      <c r="C585" s="27">
        <v>142194</v>
      </c>
      <c r="D585" s="28">
        <v>44774</v>
      </c>
      <c r="E585" s="29">
        <v>8</v>
      </c>
      <c r="F585" s="15" t="str">
        <f t="shared" si="9"/>
        <v>1203-142194-44774</v>
      </c>
    </row>
    <row r="586" spans="1:6" ht="14.25" customHeight="1" x14ac:dyDescent="0.25">
      <c r="A586" s="15" t="s">
        <v>726</v>
      </c>
      <c r="B586" s="27">
        <v>1203</v>
      </c>
      <c r="C586" s="27">
        <v>142194</v>
      </c>
      <c r="D586" s="28">
        <v>44781</v>
      </c>
      <c r="E586" s="29">
        <v>9</v>
      </c>
      <c r="F586" s="15" t="str">
        <f t="shared" si="9"/>
        <v>1203-142194-44781</v>
      </c>
    </row>
    <row r="587" spans="1:6" ht="14.25" customHeight="1" x14ac:dyDescent="0.25">
      <c r="A587" s="15" t="s">
        <v>727</v>
      </c>
      <c r="B587" s="27">
        <v>1203</v>
      </c>
      <c r="C587" s="27">
        <v>142194</v>
      </c>
      <c r="D587" s="28">
        <v>44788</v>
      </c>
      <c r="E587" s="29">
        <v>-2</v>
      </c>
      <c r="F587" s="15" t="str">
        <f t="shared" si="9"/>
        <v>1203-142194-44788</v>
      </c>
    </row>
    <row r="588" spans="1:6" ht="14.25" customHeight="1" x14ac:dyDescent="0.25">
      <c r="A588" s="15" t="s">
        <v>728</v>
      </c>
      <c r="B588" s="27">
        <v>1203</v>
      </c>
      <c r="C588" s="27">
        <v>149729</v>
      </c>
      <c r="D588" s="28">
        <v>44739</v>
      </c>
      <c r="E588" s="29">
        <v>86</v>
      </c>
      <c r="F588" s="15" t="str">
        <f t="shared" si="9"/>
        <v>1203-149729-44739</v>
      </c>
    </row>
    <row r="589" spans="1:6" ht="14.25" customHeight="1" x14ac:dyDescent="0.25">
      <c r="A589" s="15" t="s">
        <v>729</v>
      </c>
      <c r="B589" s="27">
        <v>1203</v>
      </c>
      <c r="C589" s="27">
        <v>149729</v>
      </c>
      <c r="D589" s="28">
        <v>44746</v>
      </c>
      <c r="E589" s="29">
        <v>75</v>
      </c>
      <c r="F589" s="15" t="str">
        <f t="shared" si="9"/>
        <v>1203-149729-44746</v>
      </c>
    </row>
    <row r="590" spans="1:6" ht="14.25" customHeight="1" x14ac:dyDescent="0.25">
      <c r="A590" s="15" t="s">
        <v>730</v>
      </c>
      <c r="B590" s="27">
        <v>1203</v>
      </c>
      <c r="C590" s="27">
        <v>149729</v>
      </c>
      <c r="D590" s="28">
        <v>44753</v>
      </c>
      <c r="E590" s="29">
        <v>78</v>
      </c>
      <c r="F590" s="15" t="str">
        <f t="shared" si="9"/>
        <v>1203-149729-44753</v>
      </c>
    </row>
    <row r="591" spans="1:6" ht="14.25" customHeight="1" x14ac:dyDescent="0.25">
      <c r="A591" s="15" t="s">
        <v>731</v>
      </c>
      <c r="B591" s="27">
        <v>1203</v>
      </c>
      <c r="C591" s="27">
        <v>149729</v>
      </c>
      <c r="D591" s="28">
        <v>44760</v>
      </c>
      <c r="E591" s="29">
        <v>32</v>
      </c>
      <c r="F591" s="15" t="str">
        <f t="shared" si="9"/>
        <v>1203-149729-44760</v>
      </c>
    </row>
    <row r="592" spans="1:6" ht="14.25" customHeight="1" x14ac:dyDescent="0.25">
      <c r="A592" s="15" t="s">
        <v>732</v>
      </c>
      <c r="B592" s="27">
        <v>1203</v>
      </c>
      <c r="C592" s="27">
        <v>149729</v>
      </c>
      <c r="D592" s="28">
        <v>44767</v>
      </c>
      <c r="E592" s="29">
        <v>32</v>
      </c>
      <c r="F592" s="15" t="str">
        <f t="shared" si="9"/>
        <v>1203-149729-44767</v>
      </c>
    </row>
    <row r="593" spans="1:6" ht="14.25" customHeight="1" x14ac:dyDescent="0.25">
      <c r="A593" s="15" t="s">
        <v>733</v>
      </c>
      <c r="B593" s="27">
        <v>1203</v>
      </c>
      <c r="C593" s="27">
        <v>149729</v>
      </c>
      <c r="D593" s="28">
        <v>44774</v>
      </c>
      <c r="E593" s="29">
        <v>76</v>
      </c>
      <c r="F593" s="15" t="str">
        <f t="shared" si="9"/>
        <v>1203-149729-44774</v>
      </c>
    </row>
    <row r="594" spans="1:6" ht="14.25" customHeight="1" x14ac:dyDescent="0.25">
      <c r="A594" s="15" t="s">
        <v>734</v>
      </c>
      <c r="B594" s="27">
        <v>1203</v>
      </c>
      <c r="C594" s="27">
        <v>149729</v>
      </c>
      <c r="D594" s="28">
        <v>44781</v>
      </c>
      <c r="E594" s="29">
        <v>34</v>
      </c>
      <c r="F594" s="15" t="str">
        <f t="shared" si="9"/>
        <v>1203-149729-44781</v>
      </c>
    </row>
    <row r="595" spans="1:6" ht="14.25" customHeight="1" x14ac:dyDescent="0.25">
      <c r="A595" s="15" t="s">
        <v>735</v>
      </c>
      <c r="B595" s="27">
        <v>1203</v>
      </c>
      <c r="C595" s="27">
        <v>149729</v>
      </c>
      <c r="D595" s="28">
        <v>44788</v>
      </c>
      <c r="E595" s="29">
        <v>36</v>
      </c>
      <c r="F595" s="15" t="str">
        <f t="shared" si="9"/>
        <v>1203-149729-44788</v>
      </c>
    </row>
    <row r="596" spans="1:6" ht="14.25" customHeight="1" x14ac:dyDescent="0.25">
      <c r="A596" s="15" t="s">
        <v>736</v>
      </c>
      <c r="B596" s="27">
        <v>1203</v>
      </c>
      <c r="C596" s="27">
        <v>149779</v>
      </c>
      <c r="D596" s="28">
        <v>44739</v>
      </c>
      <c r="E596" s="29">
        <v>110</v>
      </c>
      <c r="F596" s="15" t="str">
        <f t="shared" si="9"/>
        <v>1203-149779-44739</v>
      </c>
    </row>
    <row r="597" spans="1:6" ht="14.25" customHeight="1" x14ac:dyDescent="0.25">
      <c r="A597" s="15" t="s">
        <v>737</v>
      </c>
      <c r="B597" s="27">
        <v>1203</v>
      </c>
      <c r="C597" s="27">
        <v>149779</v>
      </c>
      <c r="D597" s="28">
        <v>44746</v>
      </c>
      <c r="E597" s="29">
        <v>290</v>
      </c>
      <c r="F597" s="15" t="str">
        <f t="shared" si="9"/>
        <v>1203-149779-44746</v>
      </c>
    </row>
    <row r="598" spans="1:6" ht="14.25" customHeight="1" x14ac:dyDescent="0.25">
      <c r="A598" s="15" t="s">
        <v>738</v>
      </c>
      <c r="B598" s="27">
        <v>1203</v>
      </c>
      <c r="C598" s="27">
        <v>149779</v>
      </c>
      <c r="D598" s="28">
        <v>44753</v>
      </c>
      <c r="E598" s="29">
        <v>270</v>
      </c>
      <c r="F598" s="15" t="str">
        <f t="shared" si="9"/>
        <v>1203-149779-44753</v>
      </c>
    </row>
    <row r="599" spans="1:6" ht="14.25" customHeight="1" x14ac:dyDescent="0.25">
      <c r="A599" s="15" t="s">
        <v>739</v>
      </c>
      <c r="B599" s="27">
        <v>1203</v>
      </c>
      <c r="C599" s="27">
        <v>149779</v>
      </c>
      <c r="D599" s="28">
        <v>44760</v>
      </c>
      <c r="E599" s="29">
        <v>106</v>
      </c>
      <c r="F599" s="15" t="str">
        <f t="shared" si="9"/>
        <v>1203-149779-44760</v>
      </c>
    </row>
    <row r="600" spans="1:6" ht="14.25" customHeight="1" x14ac:dyDescent="0.25">
      <c r="A600" s="15" t="s">
        <v>740</v>
      </c>
      <c r="B600" s="27">
        <v>1203</v>
      </c>
      <c r="C600" s="27">
        <v>149779</v>
      </c>
      <c r="D600" s="28">
        <v>44767</v>
      </c>
      <c r="E600" s="29">
        <v>248</v>
      </c>
      <c r="F600" s="15" t="str">
        <f t="shared" si="9"/>
        <v>1203-149779-44767</v>
      </c>
    </row>
    <row r="601" spans="1:6" ht="14.25" customHeight="1" x14ac:dyDescent="0.25">
      <c r="A601" s="15" t="s">
        <v>741</v>
      </c>
      <c r="B601" s="27">
        <v>1203</v>
      </c>
      <c r="C601" s="27">
        <v>149779</v>
      </c>
      <c r="D601" s="28">
        <v>44774</v>
      </c>
      <c r="E601" s="29">
        <v>259</v>
      </c>
      <c r="F601" s="15" t="str">
        <f t="shared" si="9"/>
        <v>1203-149779-44774</v>
      </c>
    </row>
    <row r="602" spans="1:6" ht="14.25" customHeight="1" x14ac:dyDescent="0.25">
      <c r="A602" s="15" t="s">
        <v>742</v>
      </c>
      <c r="B602" s="27">
        <v>1203</v>
      </c>
      <c r="C602" s="27">
        <v>149779</v>
      </c>
      <c r="D602" s="28">
        <v>44781</v>
      </c>
      <c r="E602" s="29">
        <v>295</v>
      </c>
      <c r="F602" s="15" t="str">
        <f t="shared" si="9"/>
        <v>1203-149779-44781</v>
      </c>
    </row>
    <row r="603" spans="1:6" ht="14.25" customHeight="1" x14ac:dyDescent="0.25">
      <c r="A603" s="15" t="s">
        <v>743</v>
      </c>
      <c r="B603" s="27">
        <v>1203</v>
      </c>
      <c r="C603" s="27">
        <v>149779</v>
      </c>
      <c r="D603" s="28">
        <v>44788</v>
      </c>
      <c r="E603" s="29">
        <v>381</v>
      </c>
      <c r="F603" s="15" t="str">
        <f t="shared" si="9"/>
        <v>1203-149779-44788</v>
      </c>
    </row>
    <row r="604" spans="1:6" ht="14.25" customHeight="1" x14ac:dyDescent="0.25">
      <c r="A604" s="15" t="s">
        <v>744</v>
      </c>
      <c r="B604" s="27">
        <v>1203</v>
      </c>
      <c r="C604" s="27">
        <v>189933</v>
      </c>
      <c r="D604" s="28">
        <v>44739</v>
      </c>
      <c r="E604" s="29">
        <v>554</v>
      </c>
      <c r="F604" s="15" t="str">
        <f t="shared" si="9"/>
        <v>1203-189933-44739</v>
      </c>
    </row>
    <row r="605" spans="1:6" ht="14.25" customHeight="1" x14ac:dyDescent="0.25">
      <c r="A605" s="15" t="s">
        <v>745</v>
      </c>
      <c r="B605" s="27">
        <v>1203</v>
      </c>
      <c r="C605" s="27">
        <v>189933</v>
      </c>
      <c r="D605" s="28">
        <v>44746</v>
      </c>
      <c r="E605" s="29">
        <v>570</v>
      </c>
      <c r="F605" s="15" t="str">
        <f t="shared" si="9"/>
        <v>1203-189933-44746</v>
      </c>
    </row>
    <row r="606" spans="1:6" ht="14.25" customHeight="1" x14ac:dyDescent="0.25">
      <c r="A606" s="15" t="s">
        <v>746</v>
      </c>
      <c r="B606" s="27">
        <v>1203</v>
      </c>
      <c r="C606" s="27">
        <v>189933</v>
      </c>
      <c r="D606" s="28">
        <v>44753</v>
      </c>
      <c r="E606" s="29">
        <v>528</v>
      </c>
      <c r="F606" s="15" t="str">
        <f t="shared" si="9"/>
        <v>1203-189933-44753</v>
      </c>
    </row>
    <row r="607" spans="1:6" ht="14.25" customHeight="1" x14ac:dyDescent="0.25">
      <c r="A607" s="15" t="s">
        <v>747</v>
      </c>
      <c r="B607" s="27">
        <v>1203</v>
      </c>
      <c r="C607" s="27">
        <v>189933</v>
      </c>
      <c r="D607" s="28">
        <v>44760</v>
      </c>
      <c r="E607" s="29">
        <v>158</v>
      </c>
      <c r="F607" s="15" t="str">
        <f t="shared" si="9"/>
        <v>1203-189933-44760</v>
      </c>
    </row>
    <row r="608" spans="1:6" ht="14.25" customHeight="1" x14ac:dyDescent="0.25">
      <c r="A608" s="15" t="s">
        <v>748</v>
      </c>
      <c r="B608" s="27">
        <v>1203</v>
      </c>
      <c r="C608" s="27">
        <v>189933</v>
      </c>
      <c r="D608" s="28">
        <v>44767</v>
      </c>
      <c r="E608" s="29">
        <v>374</v>
      </c>
      <c r="F608" s="15" t="str">
        <f t="shared" si="9"/>
        <v>1203-189933-44767</v>
      </c>
    </row>
    <row r="609" spans="1:6" ht="14.25" customHeight="1" x14ac:dyDescent="0.25">
      <c r="A609" s="15" t="s">
        <v>749</v>
      </c>
      <c r="B609" s="27">
        <v>1203</v>
      </c>
      <c r="C609" s="27">
        <v>189933</v>
      </c>
      <c r="D609" s="28">
        <v>44774</v>
      </c>
      <c r="E609" s="29">
        <v>650</v>
      </c>
      <c r="F609" s="15" t="str">
        <f t="shared" si="9"/>
        <v>1203-189933-44774</v>
      </c>
    </row>
    <row r="610" spans="1:6" ht="14.25" customHeight="1" x14ac:dyDescent="0.25">
      <c r="A610" s="15" t="s">
        <v>750</v>
      </c>
      <c r="B610" s="27">
        <v>1203</v>
      </c>
      <c r="C610" s="27">
        <v>189933</v>
      </c>
      <c r="D610" s="28">
        <v>44781</v>
      </c>
      <c r="E610" s="29">
        <v>728</v>
      </c>
      <c r="F610" s="15" t="str">
        <f t="shared" si="9"/>
        <v>1203-189933-44781</v>
      </c>
    </row>
    <row r="611" spans="1:6" ht="14.25" customHeight="1" x14ac:dyDescent="0.25">
      <c r="A611" s="15" t="s">
        <v>751</v>
      </c>
      <c r="B611" s="27">
        <v>1203</v>
      </c>
      <c r="C611" s="27">
        <v>189933</v>
      </c>
      <c r="D611" s="28">
        <v>44788</v>
      </c>
      <c r="E611" s="29">
        <v>154</v>
      </c>
      <c r="F611" s="15" t="str">
        <f t="shared" si="9"/>
        <v>1203-189933-44788</v>
      </c>
    </row>
    <row r="612" spans="1:6" ht="14.25" customHeight="1" x14ac:dyDescent="0.25">
      <c r="A612" s="15" t="s">
        <v>752</v>
      </c>
      <c r="B612" s="27">
        <v>1203</v>
      </c>
      <c r="C612" s="27">
        <v>202577</v>
      </c>
      <c r="D612" s="28">
        <v>44739</v>
      </c>
      <c r="E612" s="29">
        <v>23</v>
      </c>
      <c r="F612" s="15" t="str">
        <f t="shared" si="9"/>
        <v>1203-202577-44739</v>
      </c>
    </row>
    <row r="613" spans="1:6" ht="14.25" customHeight="1" x14ac:dyDescent="0.25">
      <c r="A613" s="15" t="s">
        <v>753</v>
      </c>
      <c r="B613" s="27">
        <v>1203</v>
      </c>
      <c r="C613" s="27">
        <v>202577</v>
      </c>
      <c r="D613" s="28">
        <v>44746</v>
      </c>
      <c r="E613" s="29">
        <v>76</v>
      </c>
      <c r="F613" s="15" t="str">
        <f t="shared" si="9"/>
        <v>1203-202577-44746</v>
      </c>
    </row>
    <row r="614" spans="1:6" ht="14.25" customHeight="1" x14ac:dyDescent="0.25">
      <c r="A614" s="15" t="s">
        <v>754</v>
      </c>
      <c r="B614" s="30">
        <v>1203</v>
      </c>
      <c r="C614" s="27">
        <v>202577</v>
      </c>
      <c r="D614" s="28">
        <v>44753</v>
      </c>
      <c r="E614" s="29">
        <v>100</v>
      </c>
      <c r="F614" s="15" t="str">
        <f t="shared" si="9"/>
        <v>1203-202577-44753</v>
      </c>
    </row>
    <row r="615" spans="1:6" ht="14.25" customHeight="1" x14ac:dyDescent="0.25">
      <c r="A615" s="15" t="s">
        <v>755</v>
      </c>
      <c r="B615" s="27">
        <v>1203</v>
      </c>
      <c r="C615" s="27">
        <v>202577</v>
      </c>
      <c r="D615" s="28">
        <v>44760</v>
      </c>
      <c r="E615" s="29">
        <v>61</v>
      </c>
      <c r="F615" s="15" t="str">
        <f t="shared" si="9"/>
        <v>1203-202577-44760</v>
      </c>
    </row>
    <row r="616" spans="1:6" ht="14.25" customHeight="1" x14ac:dyDescent="0.25">
      <c r="A616" s="15" t="s">
        <v>756</v>
      </c>
      <c r="B616" s="27">
        <v>1203</v>
      </c>
      <c r="C616" s="27">
        <v>202577</v>
      </c>
      <c r="D616" s="28">
        <v>44767</v>
      </c>
      <c r="E616" s="29">
        <v>25</v>
      </c>
      <c r="F616" s="15" t="str">
        <f t="shared" si="9"/>
        <v>1203-202577-44767</v>
      </c>
    </row>
    <row r="617" spans="1:6" ht="14.25" customHeight="1" x14ac:dyDescent="0.25">
      <c r="A617" s="15" t="s">
        <v>757</v>
      </c>
      <c r="B617" s="27">
        <v>1203</v>
      </c>
      <c r="C617" s="27">
        <v>202577</v>
      </c>
      <c r="D617" s="28">
        <v>44774</v>
      </c>
      <c r="E617" s="29">
        <v>97</v>
      </c>
      <c r="F617" s="15" t="str">
        <f t="shared" si="9"/>
        <v>1203-202577-44774</v>
      </c>
    </row>
    <row r="618" spans="1:6" ht="14.25" customHeight="1" x14ac:dyDescent="0.25">
      <c r="A618" s="15" t="s">
        <v>758</v>
      </c>
      <c r="B618" s="27">
        <v>1203</v>
      </c>
      <c r="C618" s="27">
        <v>202577</v>
      </c>
      <c r="D618" s="28">
        <v>44781</v>
      </c>
      <c r="E618" s="29">
        <v>69</v>
      </c>
      <c r="F618" s="15" t="str">
        <f t="shared" si="9"/>
        <v>1203-202577-44781</v>
      </c>
    </row>
    <row r="619" spans="1:6" ht="14.25" customHeight="1" x14ac:dyDescent="0.25">
      <c r="A619" s="15" t="s">
        <v>759</v>
      </c>
      <c r="B619" s="27">
        <v>1203</v>
      </c>
      <c r="C619" s="27">
        <v>202577</v>
      </c>
      <c r="D619" s="28">
        <v>44788</v>
      </c>
      <c r="E619" s="29">
        <v>64</v>
      </c>
      <c r="F619" s="15" t="str">
        <f t="shared" si="9"/>
        <v>1203-202577-44788</v>
      </c>
    </row>
    <row r="620" spans="1:6" ht="14.25" customHeight="1" x14ac:dyDescent="0.25">
      <c r="A620" s="15" t="s">
        <v>760</v>
      </c>
      <c r="B620" s="27">
        <v>1203</v>
      </c>
      <c r="C620" s="27">
        <v>234334</v>
      </c>
      <c r="D620" s="28">
        <v>44739</v>
      </c>
      <c r="E620" s="29">
        <v>148</v>
      </c>
      <c r="F620" s="15" t="str">
        <f t="shared" si="9"/>
        <v>1203-234334-44739</v>
      </c>
    </row>
    <row r="621" spans="1:6" ht="14.25" customHeight="1" x14ac:dyDescent="0.25">
      <c r="A621" s="15" t="s">
        <v>761</v>
      </c>
      <c r="B621" s="27">
        <v>1203</v>
      </c>
      <c r="C621" s="27">
        <v>234334</v>
      </c>
      <c r="D621" s="28">
        <v>44746</v>
      </c>
      <c r="E621" s="29">
        <v>154</v>
      </c>
      <c r="F621" s="15" t="str">
        <f t="shared" si="9"/>
        <v>1203-234334-44746</v>
      </c>
    </row>
    <row r="622" spans="1:6" ht="14.25" customHeight="1" x14ac:dyDescent="0.25">
      <c r="A622" s="15" t="s">
        <v>762</v>
      </c>
      <c r="B622" s="27">
        <v>1203</v>
      </c>
      <c r="C622" s="27">
        <v>234334</v>
      </c>
      <c r="D622" s="28">
        <v>44753</v>
      </c>
      <c r="E622" s="29">
        <v>106</v>
      </c>
      <c r="F622" s="15" t="str">
        <f t="shared" si="9"/>
        <v>1203-234334-44753</v>
      </c>
    </row>
    <row r="623" spans="1:6" ht="14.25" customHeight="1" x14ac:dyDescent="0.25">
      <c r="A623" s="15" t="s">
        <v>763</v>
      </c>
      <c r="B623" s="27">
        <v>1203</v>
      </c>
      <c r="C623" s="27">
        <v>234334</v>
      </c>
      <c r="D623" s="28">
        <v>44760</v>
      </c>
      <c r="E623" s="29">
        <v>55</v>
      </c>
      <c r="F623" s="15" t="str">
        <f t="shared" si="9"/>
        <v>1203-234334-44760</v>
      </c>
    </row>
    <row r="624" spans="1:6" ht="14.25" customHeight="1" x14ac:dyDescent="0.25">
      <c r="A624" s="15" t="s">
        <v>764</v>
      </c>
      <c r="B624" s="27">
        <v>1203</v>
      </c>
      <c r="C624" s="27">
        <v>234334</v>
      </c>
      <c r="D624" s="28">
        <v>44767</v>
      </c>
      <c r="E624" s="29">
        <v>156</v>
      </c>
      <c r="F624" s="15" t="str">
        <f t="shared" si="9"/>
        <v>1203-234334-44767</v>
      </c>
    </row>
    <row r="625" spans="1:6" ht="14.25" customHeight="1" x14ac:dyDescent="0.25">
      <c r="A625" s="15" t="s">
        <v>765</v>
      </c>
      <c r="B625" s="27">
        <v>1203</v>
      </c>
      <c r="C625" s="27">
        <v>234334</v>
      </c>
      <c r="D625" s="28">
        <v>44774</v>
      </c>
      <c r="E625" s="29">
        <v>137</v>
      </c>
      <c r="F625" s="15" t="str">
        <f t="shared" si="9"/>
        <v>1203-234334-44774</v>
      </c>
    </row>
    <row r="626" spans="1:6" ht="14.25" customHeight="1" x14ac:dyDescent="0.25">
      <c r="A626" s="15" t="s">
        <v>766</v>
      </c>
      <c r="B626" s="27">
        <v>1203</v>
      </c>
      <c r="C626" s="27">
        <v>234334</v>
      </c>
      <c r="D626" s="28">
        <v>44781</v>
      </c>
      <c r="E626" s="29">
        <v>113</v>
      </c>
      <c r="F626" s="15" t="str">
        <f t="shared" si="9"/>
        <v>1203-234334-44781</v>
      </c>
    </row>
    <row r="627" spans="1:6" ht="14.25" customHeight="1" x14ac:dyDescent="0.25">
      <c r="A627" s="15" t="s">
        <v>767</v>
      </c>
      <c r="B627" s="27">
        <v>1203</v>
      </c>
      <c r="C627" s="27">
        <v>234334</v>
      </c>
      <c r="D627" s="28">
        <v>44788</v>
      </c>
      <c r="E627" s="29">
        <v>56</v>
      </c>
      <c r="F627" s="15" t="str">
        <f t="shared" si="9"/>
        <v>1203-234334-44788</v>
      </c>
    </row>
    <row r="628" spans="1:6" ht="14.25" customHeight="1" x14ac:dyDescent="0.25">
      <c r="A628" s="15" t="s">
        <v>768</v>
      </c>
      <c r="B628" s="27">
        <v>1203</v>
      </c>
      <c r="C628" s="27">
        <v>249444</v>
      </c>
      <c r="D628" s="28">
        <v>44739</v>
      </c>
      <c r="E628" s="29">
        <v>566</v>
      </c>
      <c r="F628" s="15" t="str">
        <f t="shared" si="9"/>
        <v>1203-249444-44739</v>
      </c>
    </row>
    <row r="629" spans="1:6" ht="14.25" customHeight="1" x14ac:dyDescent="0.25">
      <c r="A629" s="15" t="s">
        <v>769</v>
      </c>
      <c r="B629" s="27">
        <v>1203</v>
      </c>
      <c r="C629" s="27">
        <v>249444</v>
      </c>
      <c r="D629" s="28">
        <v>44746</v>
      </c>
      <c r="E629" s="29">
        <v>221</v>
      </c>
      <c r="F629" s="15" t="str">
        <f t="shared" si="9"/>
        <v>1203-249444-44746</v>
      </c>
    </row>
    <row r="630" spans="1:6" ht="14.25" customHeight="1" x14ac:dyDescent="0.25">
      <c r="A630" s="15" t="s">
        <v>770</v>
      </c>
      <c r="B630" s="27">
        <v>1203</v>
      </c>
      <c r="C630" s="27">
        <v>249444</v>
      </c>
      <c r="D630" s="28">
        <v>44753</v>
      </c>
      <c r="E630" s="29">
        <v>459</v>
      </c>
      <c r="F630" s="15" t="str">
        <f t="shared" si="9"/>
        <v>1203-249444-44753</v>
      </c>
    </row>
    <row r="631" spans="1:6" ht="14.25" customHeight="1" x14ac:dyDescent="0.25">
      <c r="A631" s="15" t="s">
        <v>771</v>
      </c>
      <c r="B631" s="27">
        <v>1203</v>
      </c>
      <c r="C631" s="27">
        <v>249444</v>
      </c>
      <c r="D631" s="28">
        <v>44760</v>
      </c>
      <c r="E631" s="29">
        <v>216</v>
      </c>
      <c r="F631" s="15" t="str">
        <f t="shared" si="9"/>
        <v>1203-249444-44760</v>
      </c>
    </row>
    <row r="632" spans="1:6" ht="14.25" customHeight="1" x14ac:dyDescent="0.25">
      <c r="A632" s="15" t="s">
        <v>772</v>
      </c>
      <c r="B632" s="27">
        <v>1203</v>
      </c>
      <c r="C632" s="27">
        <v>249444</v>
      </c>
      <c r="D632" s="28">
        <v>44767</v>
      </c>
      <c r="E632" s="29">
        <v>334</v>
      </c>
      <c r="F632" s="15" t="str">
        <f t="shared" si="9"/>
        <v>1203-249444-44767</v>
      </c>
    </row>
    <row r="633" spans="1:6" ht="14.25" customHeight="1" x14ac:dyDescent="0.25">
      <c r="A633" s="15" t="s">
        <v>773</v>
      </c>
      <c r="B633" s="27">
        <v>1203</v>
      </c>
      <c r="C633" s="27">
        <v>249444</v>
      </c>
      <c r="D633" s="28">
        <v>44774</v>
      </c>
      <c r="E633" s="29">
        <v>221</v>
      </c>
      <c r="F633" s="15" t="str">
        <f t="shared" si="9"/>
        <v>1203-249444-44774</v>
      </c>
    </row>
    <row r="634" spans="1:6" ht="14.25" customHeight="1" x14ac:dyDescent="0.25">
      <c r="A634" s="15" t="s">
        <v>774</v>
      </c>
      <c r="B634" s="27">
        <v>1203</v>
      </c>
      <c r="C634" s="27">
        <v>249444</v>
      </c>
      <c r="D634" s="28">
        <v>44781</v>
      </c>
      <c r="E634" s="29">
        <v>219</v>
      </c>
      <c r="F634" s="15" t="str">
        <f t="shared" si="9"/>
        <v>1203-249444-44781</v>
      </c>
    </row>
    <row r="635" spans="1:6" ht="14.25" customHeight="1" x14ac:dyDescent="0.25">
      <c r="A635" s="15" t="s">
        <v>775</v>
      </c>
      <c r="B635" s="27">
        <v>1203</v>
      </c>
      <c r="C635" s="27">
        <v>249444</v>
      </c>
      <c r="D635" s="28">
        <v>44788</v>
      </c>
      <c r="E635" s="29">
        <v>223</v>
      </c>
      <c r="F635" s="15" t="str">
        <f t="shared" si="9"/>
        <v>1203-249444-44788</v>
      </c>
    </row>
    <row r="636" spans="1:6" ht="14.25" customHeight="1" x14ac:dyDescent="0.25">
      <c r="A636" s="15" t="s">
        <v>776</v>
      </c>
      <c r="B636" s="27">
        <v>1203</v>
      </c>
      <c r="C636" s="27">
        <v>249795</v>
      </c>
      <c r="D636" s="28">
        <v>44739</v>
      </c>
      <c r="E636" s="29">
        <v>72</v>
      </c>
      <c r="F636" s="15" t="str">
        <f t="shared" si="9"/>
        <v>1203-249795-44739</v>
      </c>
    </row>
    <row r="637" spans="1:6" ht="14.25" customHeight="1" x14ac:dyDescent="0.25">
      <c r="A637" s="15" t="s">
        <v>777</v>
      </c>
      <c r="B637" s="27">
        <v>1203</v>
      </c>
      <c r="C637" s="27">
        <v>249795</v>
      </c>
      <c r="D637" s="28">
        <v>44746</v>
      </c>
      <c r="E637" s="29">
        <v>70</v>
      </c>
      <c r="F637" s="15" t="str">
        <f t="shared" si="9"/>
        <v>1203-249795-44746</v>
      </c>
    </row>
    <row r="638" spans="1:6" ht="14.25" customHeight="1" x14ac:dyDescent="0.25">
      <c r="A638" s="15" t="s">
        <v>778</v>
      </c>
      <c r="B638" s="27">
        <v>1203</v>
      </c>
      <c r="C638" s="27">
        <v>249795</v>
      </c>
      <c r="D638" s="28">
        <v>44753</v>
      </c>
      <c r="E638" s="29">
        <v>26</v>
      </c>
      <c r="F638" s="15" t="str">
        <f t="shared" si="9"/>
        <v>1203-249795-44753</v>
      </c>
    </row>
    <row r="639" spans="1:6" ht="14.25" customHeight="1" x14ac:dyDescent="0.25">
      <c r="A639" s="15" t="s">
        <v>779</v>
      </c>
      <c r="B639" s="27">
        <v>1203</v>
      </c>
      <c r="C639" s="27">
        <v>249795</v>
      </c>
      <c r="D639" s="28">
        <v>44760</v>
      </c>
      <c r="E639" s="29">
        <v>26</v>
      </c>
      <c r="F639" s="15" t="str">
        <f t="shared" si="9"/>
        <v>1203-249795-44760</v>
      </c>
    </row>
    <row r="640" spans="1:6" ht="14.25" customHeight="1" x14ac:dyDescent="0.25">
      <c r="A640" s="15" t="s">
        <v>780</v>
      </c>
      <c r="B640" s="27">
        <v>1203</v>
      </c>
      <c r="C640" s="27">
        <v>249795</v>
      </c>
      <c r="D640" s="28">
        <v>44767</v>
      </c>
      <c r="E640" s="29">
        <v>54</v>
      </c>
      <c r="F640" s="15" t="str">
        <f t="shared" si="9"/>
        <v>1203-249795-44767</v>
      </c>
    </row>
    <row r="641" spans="1:6" ht="14.25" customHeight="1" x14ac:dyDescent="0.25">
      <c r="A641" s="15" t="s">
        <v>781</v>
      </c>
      <c r="B641" s="27">
        <v>1203</v>
      </c>
      <c r="C641" s="27">
        <v>249795</v>
      </c>
      <c r="D641" s="28">
        <v>44774</v>
      </c>
      <c r="E641" s="29">
        <v>61</v>
      </c>
      <c r="F641" s="15" t="str">
        <f t="shared" si="9"/>
        <v>1203-249795-44774</v>
      </c>
    </row>
    <row r="642" spans="1:6" ht="14.25" customHeight="1" x14ac:dyDescent="0.25">
      <c r="A642" s="15" t="s">
        <v>782</v>
      </c>
      <c r="B642" s="27">
        <v>1203</v>
      </c>
      <c r="C642" s="27">
        <v>249795</v>
      </c>
      <c r="D642" s="28">
        <v>44781</v>
      </c>
      <c r="E642" s="29">
        <v>48</v>
      </c>
      <c r="F642" s="15" t="str">
        <f t="shared" si="9"/>
        <v>1203-249795-44781</v>
      </c>
    </row>
    <row r="643" spans="1:6" ht="14.25" customHeight="1" x14ac:dyDescent="0.25">
      <c r="A643" s="15" t="s">
        <v>783</v>
      </c>
      <c r="B643" s="27">
        <v>1203</v>
      </c>
      <c r="C643" s="27">
        <v>249795</v>
      </c>
      <c r="D643" s="28">
        <v>44788</v>
      </c>
      <c r="E643" s="29">
        <v>25</v>
      </c>
      <c r="F643" s="15" t="str">
        <f t="shared" ref="F643:F706" si="10">B643&amp;"-"&amp;C643&amp;"-"&amp;INT(D643)</f>
        <v>1203-249795-44788</v>
      </c>
    </row>
    <row r="644" spans="1:6" ht="14.25" customHeight="1" x14ac:dyDescent="0.25">
      <c r="A644" s="15" t="s">
        <v>784</v>
      </c>
      <c r="B644" s="27">
        <v>1203</v>
      </c>
      <c r="C644" s="27">
        <v>250979</v>
      </c>
      <c r="D644" s="28">
        <v>44739</v>
      </c>
      <c r="E644" s="29">
        <v>136</v>
      </c>
      <c r="F644" s="15" t="str">
        <f t="shared" si="10"/>
        <v>1203-250979-44739</v>
      </c>
    </row>
    <row r="645" spans="1:6" ht="14.25" customHeight="1" x14ac:dyDescent="0.25">
      <c r="A645" s="15" t="s">
        <v>785</v>
      </c>
      <c r="B645" s="27">
        <v>1203</v>
      </c>
      <c r="C645" s="27">
        <v>250979</v>
      </c>
      <c r="D645" s="28">
        <v>44746</v>
      </c>
      <c r="E645" s="29">
        <v>74</v>
      </c>
      <c r="F645" s="15" t="str">
        <f t="shared" si="10"/>
        <v>1203-250979-44746</v>
      </c>
    </row>
    <row r="646" spans="1:6" ht="14.25" customHeight="1" x14ac:dyDescent="0.25">
      <c r="A646" s="15" t="s">
        <v>786</v>
      </c>
      <c r="B646" s="27">
        <v>1203</v>
      </c>
      <c r="C646" s="27">
        <v>250979</v>
      </c>
      <c r="D646" s="28">
        <v>44753</v>
      </c>
      <c r="E646" s="29">
        <v>274</v>
      </c>
      <c r="F646" s="15" t="str">
        <f t="shared" si="10"/>
        <v>1203-250979-44753</v>
      </c>
    </row>
    <row r="647" spans="1:6" ht="14.25" customHeight="1" x14ac:dyDescent="0.25">
      <c r="A647" s="15" t="s">
        <v>787</v>
      </c>
      <c r="B647" s="27">
        <v>1203</v>
      </c>
      <c r="C647" s="27">
        <v>250979</v>
      </c>
      <c r="D647" s="28">
        <v>44760</v>
      </c>
      <c r="E647" s="29">
        <v>239</v>
      </c>
      <c r="F647" s="15" t="str">
        <f t="shared" si="10"/>
        <v>1203-250979-44760</v>
      </c>
    </row>
    <row r="648" spans="1:6" ht="14.25" customHeight="1" x14ac:dyDescent="0.25">
      <c r="A648" s="15" t="s">
        <v>788</v>
      </c>
      <c r="B648" s="27">
        <v>1203</v>
      </c>
      <c r="C648" s="27">
        <v>250979</v>
      </c>
      <c r="D648" s="28">
        <v>44767</v>
      </c>
      <c r="E648" s="29">
        <v>204</v>
      </c>
      <c r="F648" s="15" t="str">
        <f t="shared" si="10"/>
        <v>1203-250979-44767</v>
      </c>
    </row>
    <row r="649" spans="1:6" ht="14.25" customHeight="1" x14ac:dyDescent="0.25">
      <c r="A649" s="15" t="s">
        <v>789</v>
      </c>
      <c r="B649" s="27">
        <v>1203</v>
      </c>
      <c r="C649" s="27">
        <v>250979</v>
      </c>
      <c r="D649" s="28">
        <v>44774</v>
      </c>
      <c r="E649" s="29">
        <v>188</v>
      </c>
      <c r="F649" s="15" t="str">
        <f t="shared" si="10"/>
        <v>1203-250979-44774</v>
      </c>
    </row>
    <row r="650" spans="1:6" ht="14.25" customHeight="1" x14ac:dyDescent="0.25">
      <c r="A650" s="15" t="s">
        <v>790</v>
      </c>
      <c r="B650" s="27">
        <v>1203</v>
      </c>
      <c r="C650" s="27">
        <v>250979</v>
      </c>
      <c r="D650" s="28">
        <v>44781</v>
      </c>
      <c r="E650" s="29">
        <v>71</v>
      </c>
      <c r="F650" s="15" t="str">
        <f t="shared" si="10"/>
        <v>1203-250979-44781</v>
      </c>
    </row>
    <row r="651" spans="1:6" ht="14.25" customHeight="1" x14ac:dyDescent="0.25">
      <c r="A651" s="15" t="s">
        <v>791</v>
      </c>
      <c r="B651" s="27">
        <v>1203</v>
      </c>
      <c r="C651" s="27">
        <v>250979</v>
      </c>
      <c r="D651" s="28">
        <v>44788</v>
      </c>
      <c r="E651" s="29">
        <v>263</v>
      </c>
      <c r="F651" s="15" t="str">
        <f t="shared" si="10"/>
        <v>1203-250979-44788</v>
      </c>
    </row>
    <row r="652" spans="1:6" ht="14.25" customHeight="1" x14ac:dyDescent="0.25">
      <c r="A652" s="15" t="s">
        <v>792</v>
      </c>
      <c r="B652" s="27">
        <v>1203</v>
      </c>
      <c r="C652" s="27">
        <v>250981</v>
      </c>
      <c r="D652" s="28">
        <v>44739</v>
      </c>
      <c r="E652" s="29">
        <v>27</v>
      </c>
      <c r="F652" s="15" t="str">
        <f t="shared" si="10"/>
        <v>1203-250981-44739</v>
      </c>
    </row>
    <row r="653" spans="1:6" ht="14.25" customHeight="1" x14ac:dyDescent="0.25">
      <c r="A653" s="15" t="s">
        <v>793</v>
      </c>
      <c r="B653" s="27">
        <v>1203</v>
      </c>
      <c r="C653" s="27">
        <v>250981</v>
      </c>
      <c r="D653" s="28">
        <v>44746</v>
      </c>
      <c r="E653" s="29">
        <v>89</v>
      </c>
      <c r="F653" s="15" t="str">
        <f t="shared" si="10"/>
        <v>1203-250981-44746</v>
      </c>
    </row>
    <row r="654" spans="1:6" ht="14.25" customHeight="1" x14ac:dyDescent="0.25">
      <c r="A654" s="15" t="s">
        <v>794</v>
      </c>
      <c r="B654" s="27">
        <v>1203</v>
      </c>
      <c r="C654" s="27">
        <v>250981</v>
      </c>
      <c r="D654" s="28">
        <v>44753</v>
      </c>
      <c r="E654" s="29">
        <v>94</v>
      </c>
      <c r="F654" s="15" t="str">
        <f t="shared" si="10"/>
        <v>1203-250981-44753</v>
      </c>
    </row>
    <row r="655" spans="1:6" ht="14.25" customHeight="1" x14ac:dyDescent="0.25">
      <c r="A655" s="15" t="s">
        <v>795</v>
      </c>
      <c r="B655" s="27">
        <v>1203</v>
      </c>
      <c r="C655" s="27">
        <v>250981</v>
      </c>
      <c r="D655" s="28">
        <v>44760</v>
      </c>
      <c r="E655" s="29">
        <v>116</v>
      </c>
      <c r="F655" s="15" t="str">
        <f t="shared" si="10"/>
        <v>1203-250981-44760</v>
      </c>
    </row>
    <row r="656" spans="1:6" ht="14.25" customHeight="1" x14ac:dyDescent="0.25">
      <c r="A656" s="15" t="s">
        <v>796</v>
      </c>
      <c r="B656" s="27">
        <v>1203</v>
      </c>
      <c r="C656" s="27">
        <v>250981</v>
      </c>
      <c r="D656" s="28">
        <v>44767</v>
      </c>
      <c r="E656" s="29">
        <v>106</v>
      </c>
      <c r="F656" s="15" t="str">
        <f t="shared" si="10"/>
        <v>1203-250981-44767</v>
      </c>
    </row>
    <row r="657" spans="1:6" ht="14.25" customHeight="1" x14ac:dyDescent="0.25">
      <c r="A657" s="15" t="s">
        <v>797</v>
      </c>
      <c r="B657" s="27">
        <v>1203</v>
      </c>
      <c r="C657" s="27">
        <v>250981</v>
      </c>
      <c r="D657" s="28">
        <v>44774</v>
      </c>
      <c r="E657" s="29">
        <v>80</v>
      </c>
      <c r="F657" s="15" t="str">
        <f t="shared" si="10"/>
        <v>1203-250981-44774</v>
      </c>
    </row>
    <row r="658" spans="1:6" ht="14.25" customHeight="1" x14ac:dyDescent="0.25">
      <c r="A658" s="15" t="s">
        <v>798</v>
      </c>
      <c r="B658" s="27">
        <v>1203</v>
      </c>
      <c r="C658" s="27">
        <v>250981</v>
      </c>
      <c r="D658" s="28">
        <v>44781</v>
      </c>
      <c r="E658" s="29">
        <v>77</v>
      </c>
      <c r="F658" s="15" t="str">
        <f t="shared" si="10"/>
        <v>1203-250981-44781</v>
      </c>
    </row>
    <row r="659" spans="1:6" ht="14.25" customHeight="1" x14ac:dyDescent="0.25">
      <c r="A659" s="15" t="s">
        <v>799</v>
      </c>
      <c r="B659" s="27">
        <v>1203</v>
      </c>
      <c r="C659" s="27">
        <v>250981</v>
      </c>
      <c r="D659" s="28">
        <v>44788</v>
      </c>
      <c r="E659" s="29">
        <v>81</v>
      </c>
      <c r="F659" s="15" t="str">
        <f t="shared" si="10"/>
        <v>1203-250981-44788</v>
      </c>
    </row>
    <row r="660" spans="1:6" ht="14.25" customHeight="1" x14ac:dyDescent="0.25">
      <c r="A660" s="15" t="s">
        <v>800</v>
      </c>
      <c r="B660" s="27">
        <v>1203</v>
      </c>
      <c r="C660" s="27">
        <v>262294</v>
      </c>
      <c r="D660" s="28">
        <v>44739</v>
      </c>
      <c r="E660" s="29">
        <v>19</v>
      </c>
      <c r="F660" s="15" t="str">
        <f t="shared" si="10"/>
        <v>1203-262294-44739</v>
      </c>
    </row>
    <row r="661" spans="1:6" ht="14.25" customHeight="1" x14ac:dyDescent="0.25">
      <c r="A661" s="15" t="s">
        <v>801</v>
      </c>
      <c r="B661" s="27">
        <v>1203</v>
      </c>
      <c r="C661" s="27">
        <v>262294</v>
      </c>
      <c r="D661" s="28">
        <v>44746</v>
      </c>
      <c r="E661" s="29">
        <v>60</v>
      </c>
      <c r="F661" s="15" t="str">
        <f t="shared" si="10"/>
        <v>1203-262294-44746</v>
      </c>
    </row>
    <row r="662" spans="1:6" ht="14.25" customHeight="1" x14ac:dyDescent="0.25">
      <c r="A662" s="15" t="s">
        <v>802</v>
      </c>
      <c r="B662" s="27">
        <v>1203</v>
      </c>
      <c r="C662" s="27">
        <v>262294</v>
      </c>
      <c r="D662" s="28">
        <v>44753</v>
      </c>
      <c r="E662" s="29">
        <v>29</v>
      </c>
      <c r="F662" s="15" t="str">
        <f t="shared" si="10"/>
        <v>1203-262294-44753</v>
      </c>
    </row>
    <row r="663" spans="1:6" ht="14.25" customHeight="1" x14ac:dyDescent="0.25">
      <c r="A663" s="15" t="s">
        <v>803</v>
      </c>
      <c r="B663" s="27">
        <v>1203</v>
      </c>
      <c r="C663" s="27">
        <v>262294</v>
      </c>
      <c r="D663" s="28">
        <v>44760</v>
      </c>
      <c r="E663" s="29">
        <v>69</v>
      </c>
      <c r="F663" s="15" t="str">
        <f t="shared" si="10"/>
        <v>1203-262294-44760</v>
      </c>
    </row>
    <row r="664" spans="1:6" ht="14.25" customHeight="1" x14ac:dyDescent="0.25">
      <c r="A664" s="15" t="s">
        <v>804</v>
      </c>
      <c r="B664" s="27">
        <v>1203</v>
      </c>
      <c r="C664" s="27">
        <v>262294</v>
      </c>
      <c r="D664" s="28">
        <v>44767</v>
      </c>
      <c r="E664" s="29">
        <v>17</v>
      </c>
      <c r="F664" s="15" t="str">
        <f t="shared" si="10"/>
        <v>1203-262294-44767</v>
      </c>
    </row>
    <row r="665" spans="1:6" ht="14.25" customHeight="1" x14ac:dyDescent="0.25">
      <c r="A665" s="15" t="s">
        <v>805</v>
      </c>
      <c r="B665" s="27">
        <v>1203</v>
      </c>
      <c r="C665" s="27">
        <v>262294</v>
      </c>
      <c r="D665" s="28">
        <v>44774</v>
      </c>
      <c r="E665" s="29">
        <v>59</v>
      </c>
      <c r="F665" s="15" t="str">
        <f t="shared" si="10"/>
        <v>1203-262294-44774</v>
      </c>
    </row>
    <row r="666" spans="1:6" ht="14.25" customHeight="1" x14ac:dyDescent="0.25">
      <c r="A666" s="15" t="s">
        <v>806</v>
      </c>
      <c r="B666" s="27">
        <v>1203</v>
      </c>
      <c r="C666" s="27">
        <v>262294</v>
      </c>
      <c r="D666" s="28">
        <v>44781</v>
      </c>
      <c r="E666" s="29">
        <v>62</v>
      </c>
      <c r="F666" s="15" t="str">
        <f t="shared" si="10"/>
        <v>1203-262294-44781</v>
      </c>
    </row>
    <row r="667" spans="1:6" ht="14.25" customHeight="1" x14ac:dyDescent="0.25">
      <c r="A667" s="15" t="s">
        <v>807</v>
      </c>
      <c r="B667" s="27">
        <v>1203</v>
      </c>
      <c r="C667" s="27">
        <v>262294</v>
      </c>
      <c r="D667" s="28">
        <v>44788</v>
      </c>
      <c r="E667" s="29">
        <v>48</v>
      </c>
      <c r="F667" s="15" t="str">
        <f t="shared" si="10"/>
        <v>1203-262294-44788</v>
      </c>
    </row>
    <row r="668" spans="1:6" ht="14.25" customHeight="1" x14ac:dyDescent="0.25">
      <c r="A668" s="15" t="s">
        <v>808</v>
      </c>
      <c r="B668" s="27">
        <v>1203</v>
      </c>
      <c r="C668" s="27">
        <v>268831</v>
      </c>
      <c r="D668" s="28">
        <v>44739</v>
      </c>
      <c r="E668" s="29">
        <v>1126</v>
      </c>
      <c r="F668" s="15" t="str">
        <f t="shared" si="10"/>
        <v>1203-268831-44739</v>
      </c>
    </row>
    <row r="669" spans="1:6" ht="14.25" customHeight="1" x14ac:dyDescent="0.25">
      <c r="A669" s="15" t="s">
        <v>809</v>
      </c>
      <c r="B669" s="27">
        <v>1203</v>
      </c>
      <c r="C669" s="27">
        <v>268831</v>
      </c>
      <c r="D669" s="28">
        <v>44746</v>
      </c>
      <c r="E669" s="29">
        <v>585</v>
      </c>
      <c r="F669" s="15" t="str">
        <f t="shared" si="10"/>
        <v>1203-268831-44746</v>
      </c>
    </row>
    <row r="670" spans="1:6" ht="14.25" customHeight="1" x14ac:dyDescent="0.25">
      <c r="A670" s="15" t="s">
        <v>810</v>
      </c>
      <c r="B670" s="27">
        <v>1203</v>
      </c>
      <c r="C670" s="27">
        <v>268831</v>
      </c>
      <c r="D670" s="28">
        <v>44753</v>
      </c>
      <c r="E670" s="29">
        <v>1169</v>
      </c>
      <c r="F670" s="15" t="str">
        <f t="shared" si="10"/>
        <v>1203-268831-44753</v>
      </c>
    </row>
    <row r="671" spans="1:6" ht="14.25" customHeight="1" x14ac:dyDescent="0.25">
      <c r="A671" s="15" t="s">
        <v>811</v>
      </c>
      <c r="B671" s="27">
        <v>1203</v>
      </c>
      <c r="C671" s="27">
        <v>268831</v>
      </c>
      <c r="D671" s="28">
        <v>44760</v>
      </c>
      <c r="E671" s="29">
        <v>1156</v>
      </c>
      <c r="F671" s="15" t="str">
        <f t="shared" si="10"/>
        <v>1203-268831-44760</v>
      </c>
    </row>
    <row r="672" spans="1:6" ht="14.25" customHeight="1" x14ac:dyDescent="0.25">
      <c r="A672" s="15" t="s">
        <v>812</v>
      </c>
      <c r="B672" s="27">
        <v>1203</v>
      </c>
      <c r="C672" s="27">
        <v>268831</v>
      </c>
      <c r="D672" s="28">
        <v>44767</v>
      </c>
      <c r="E672" s="29">
        <v>464</v>
      </c>
      <c r="F672" s="15" t="str">
        <f t="shared" si="10"/>
        <v>1203-268831-44767</v>
      </c>
    </row>
    <row r="673" spans="1:6" ht="14.25" customHeight="1" x14ac:dyDescent="0.25">
      <c r="A673" s="15" t="s">
        <v>813</v>
      </c>
      <c r="B673" s="27">
        <v>1203</v>
      </c>
      <c r="C673" s="27">
        <v>268831</v>
      </c>
      <c r="D673" s="28">
        <v>44774</v>
      </c>
      <c r="E673" s="29">
        <v>1300</v>
      </c>
      <c r="F673" s="15" t="str">
        <f t="shared" si="10"/>
        <v>1203-268831-44774</v>
      </c>
    </row>
    <row r="674" spans="1:6" ht="14.25" customHeight="1" x14ac:dyDescent="0.25">
      <c r="A674" s="15" t="s">
        <v>814</v>
      </c>
      <c r="B674" s="27">
        <v>1203</v>
      </c>
      <c r="C674" s="27">
        <v>268831</v>
      </c>
      <c r="D674" s="28">
        <v>44781</v>
      </c>
      <c r="E674" s="29">
        <v>1226</v>
      </c>
      <c r="F674" s="15" t="str">
        <f t="shared" si="10"/>
        <v>1203-268831-44781</v>
      </c>
    </row>
    <row r="675" spans="1:6" ht="14.25" customHeight="1" x14ac:dyDescent="0.25">
      <c r="A675" s="15" t="s">
        <v>815</v>
      </c>
      <c r="B675" s="27">
        <v>1203</v>
      </c>
      <c r="C675" s="27">
        <v>268831</v>
      </c>
      <c r="D675" s="28">
        <v>44788</v>
      </c>
      <c r="E675" s="29">
        <v>460</v>
      </c>
      <c r="F675" s="15" t="str">
        <f t="shared" si="10"/>
        <v>1203-268831-44788</v>
      </c>
    </row>
    <row r="676" spans="1:6" ht="14.25" customHeight="1" x14ac:dyDescent="0.25">
      <c r="A676" s="15" t="s">
        <v>816</v>
      </c>
      <c r="B676" s="27">
        <v>1203</v>
      </c>
      <c r="C676" s="27">
        <v>273701</v>
      </c>
      <c r="D676" s="28">
        <v>44739</v>
      </c>
      <c r="E676" s="29">
        <v>18</v>
      </c>
      <c r="F676" s="15" t="str">
        <f t="shared" si="10"/>
        <v>1203-273701-44739</v>
      </c>
    </row>
    <row r="677" spans="1:6" ht="14.25" customHeight="1" x14ac:dyDescent="0.25">
      <c r="A677" s="15" t="s">
        <v>817</v>
      </c>
      <c r="B677" s="27">
        <v>1203</v>
      </c>
      <c r="C677" s="27">
        <v>273701</v>
      </c>
      <c r="D677" s="28">
        <v>44746</v>
      </c>
      <c r="E677" s="29">
        <v>30</v>
      </c>
      <c r="F677" s="15" t="str">
        <f t="shared" si="10"/>
        <v>1203-273701-44746</v>
      </c>
    </row>
    <row r="678" spans="1:6" ht="14.25" customHeight="1" x14ac:dyDescent="0.25">
      <c r="A678" s="15" t="s">
        <v>818</v>
      </c>
      <c r="B678" s="27">
        <v>1203</v>
      </c>
      <c r="C678" s="27">
        <v>273701</v>
      </c>
      <c r="D678" s="28">
        <v>44753</v>
      </c>
      <c r="E678" s="29">
        <v>33</v>
      </c>
      <c r="F678" s="15" t="str">
        <f t="shared" si="10"/>
        <v>1203-273701-44753</v>
      </c>
    </row>
    <row r="679" spans="1:6" ht="14.25" customHeight="1" x14ac:dyDescent="0.25">
      <c r="A679" s="15" t="s">
        <v>819</v>
      </c>
      <c r="B679" s="27">
        <v>1203</v>
      </c>
      <c r="C679" s="27">
        <v>273701</v>
      </c>
      <c r="D679" s="28">
        <v>44760</v>
      </c>
      <c r="E679" s="29">
        <v>13</v>
      </c>
      <c r="F679" s="15" t="str">
        <f t="shared" si="10"/>
        <v>1203-273701-44760</v>
      </c>
    </row>
    <row r="680" spans="1:6" ht="14.25" customHeight="1" x14ac:dyDescent="0.25">
      <c r="A680" s="15" t="s">
        <v>820</v>
      </c>
      <c r="B680" s="27">
        <v>1203</v>
      </c>
      <c r="C680" s="27">
        <v>273701</v>
      </c>
      <c r="D680" s="28">
        <v>44767</v>
      </c>
      <c r="E680" s="29">
        <v>38</v>
      </c>
      <c r="F680" s="15" t="str">
        <f t="shared" si="10"/>
        <v>1203-273701-44767</v>
      </c>
    </row>
    <row r="681" spans="1:6" ht="14.25" customHeight="1" x14ac:dyDescent="0.25">
      <c r="A681" s="15" t="s">
        <v>821</v>
      </c>
      <c r="B681" s="27">
        <v>1203</v>
      </c>
      <c r="C681" s="27">
        <v>273701</v>
      </c>
      <c r="D681" s="28">
        <v>44774</v>
      </c>
      <c r="E681" s="29">
        <v>33</v>
      </c>
      <c r="F681" s="15" t="str">
        <f t="shared" si="10"/>
        <v>1203-273701-44774</v>
      </c>
    </row>
    <row r="682" spans="1:6" ht="14.25" customHeight="1" x14ac:dyDescent="0.25">
      <c r="A682" s="15" t="s">
        <v>822</v>
      </c>
      <c r="B682" s="27">
        <v>1203</v>
      </c>
      <c r="C682" s="27">
        <v>273701</v>
      </c>
      <c r="D682" s="28">
        <v>44781</v>
      </c>
      <c r="E682" s="29">
        <v>31</v>
      </c>
      <c r="F682" s="15" t="str">
        <f t="shared" si="10"/>
        <v>1203-273701-44781</v>
      </c>
    </row>
    <row r="683" spans="1:6" ht="14.25" customHeight="1" x14ac:dyDescent="0.25">
      <c r="A683" s="15" t="s">
        <v>823</v>
      </c>
      <c r="B683" s="27">
        <v>1203</v>
      </c>
      <c r="C683" s="27">
        <v>273701</v>
      </c>
      <c r="D683" s="28">
        <v>44788</v>
      </c>
      <c r="E683" s="29">
        <v>35</v>
      </c>
      <c r="F683" s="15" t="str">
        <f t="shared" si="10"/>
        <v>1203-273701-44788</v>
      </c>
    </row>
    <row r="684" spans="1:6" ht="14.25" customHeight="1" x14ac:dyDescent="0.25">
      <c r="A684" s="15" t="s">
        <v>824</v>
      </c>
      <c r="B684" s="27">
        <v>1203</v>
      </c>
      <c r="C684" s="27">
        <v>291726</v>
      </c>
      <c r="D684" s="28">
        <v>44739</v>
      </c>
      <c r="E684" s="29">
        <v>28</v>
      </c>
      <c r="F684" s="15" t="str">
        <f t="shared" si="10"/>
        <v>1203-291726-44739</v>
      </c>
    </row>
    <row r="685" spans="1:6" ht="14.25" customHeight="1" x14ac:dyDescent="0.25">
      <c r="A685" s="15" t="s">
        <v>825</v>
      </c>
      <c r="B685" s="27">
        <v>1203</v>
      </c>
      <c r="C685" s="27">
        <v>291726</v>
      </c>
      <c r="D685" s="28">
        <v>44746</v>
      </c>
      <c r="E685" s="29">
        <v>28</v>
      </c>
      <c r="F685" s="15" t="str">
        <f t="shared" si="10"/>
        <v>1203-291726-44746</v>
      </c>
    </row>
    <row r="686" spans="1:6" ht="14.25" customHeight="1" x14ac:dyDescent="0.25">
      <c r="A686" s="15" t="s">
        <v>826</v>
      </c>
      <c r="B686" s="27">
        <v>1203</v>
      </c>
      <c r="C686" s="27">
        <v>291726</v>
      </c>
      <c r="D686" s="28">
        <v>44753</v>
      </c>
      <c r="E686" s="29">
        <v>32</v>
      </c>
      <c r="F686" s="15" t="str">
        <f t="shared" si="10"/>
        <v>1203-291726-44753</v>
      </c>
    </row>
    <row r="687" spans="1:6" ht="14.25" customHeight="1" x14ac:dyDescent="0.25">
      <c r="A687" s="15" t="s">
        <v>827</v>
      </c>
      <c r="B687" s="27">
        <v>1203</v>
      </c>
      <c r="C687" s="27">
        <v>291726</v>
      </c>
      <c r="D687" s="28">
        <v>44760</v>
      </c>
      <c r="E687" s="29">
        <v>26</v>
      </c>
      <c r="F687" s="15" t="str">
        <f t="shared" si="10"/>
        <v>1203-291726-44760</v>
      </c>
    </row>
    <row r="688" spans="1:6" ht="14.25" customHeight="1" x14ac:dyDescent="0.25">
      <c r="A688" s="15" t="s">
        <v>828</v>
      </c>
      <c r="B688" s="27">
        <v>1203</v>
      </c>
      <c r="C688" s="27">
        <v>291726</v>
      </c>
      <c r="D688" s="28">
        <v>44767</v>
      </c>
      <c r="E688" s="29">
        <v>30</v>
      </c>
      <c r="F688" s="15" t="str">
        <f t="shared" si="10"/>
        <v>1203-291726-44767</v>
      </c>
    </row>
    <row r="689" spans="1:6" ht="14.25" customHeight="1" x14ac:dyDescent="0.25">
      <c r="A689" s="15" t="s">
        <v>829</v>
      </c>
      <c r="B689" s="27">
        <v>1203</v>
      </c>
      <c r="C689" s="27">
        <v>291726</v>
      </c>
      <c r="D689" s="28">
        <v>44774</v>
      </c>
      <c r="E689" s="29">
        <v>28</v>
      </c>
      <c r="F689" s="15" t="str">
        <f t="shared" si="10"/>
        <v>1203-291726-44774</v>
      </c>
    </row>
    <row r="690" spans="1:6" ht="14.25" customHeight="1" x14ac:dyDescent="0.25">
      <c r="A690" s="15" t="s">
        <v>830</v>
      </c>
      <c r="B690" s="27">
        <v>1203</v>
      </c>
      <c r="C690" s="27">
        <v>291726</v>
      </c>
      <c r="D690" s="28">
        <v>44781</v>
      </c>
      <c r="E690" s="29">
        <v>14</v>
      </c>
      <c r="F690" s="15" t="str">
        <f t="shared" si="10"/>
        <v>1203-291726-44781</v>
      </c>
    </row>
    <row r="691" spans="1:6" ht="14.25" customHeight="1" x14ac:dyDescent="0.25">
      <c r="A691" s="15" t="s">
        <v>831</v>
      </c>
      <c r="B691" s="27">
        <v>1203</v>
      </c>
      <c r="C691" s="27">
        <v>291726</v>
      </c>
      <c r="D691" s="28">
        <v>44788</v>
      </c>
      <c r="E691" s="29">
        <v>25</v>
      </c>
      <c r="F691" s="15" t="str">
        <f t="shared" si="10"/>
        <v>1203-291726-44788</v>
      </c>
    </row>
    <row r="692" spans="1:6" ht="14.25" customHeight="1" x14ac:dyDescent="0.25">
      <c r="A692" s="15" t="s">
        <v>832</v>
      </c>
      <c r="B692" s="27">
        <v>1203</v>
      </c>
      <c r="C692" s="27">
        <v>291728</v>
      </c>
      <c r="D692" s="28">
        <v>44739</v>
      </c>
      <c r="E692" s="29">
        <v>202</v>
      </c>
      <c r="F692" s="15" t="str">
        <f t="shared" si="10"/>
        <v>1203-291728-44739</v>
      </c>
    </row>
    <row r="693" spans="1:6" ht="14.25" customHeight="1" x14ac:dyDescent="0.25">
      <c r="A693" s="15" t="s">
        <v>833</v>
      </c>
      <c r="B693" s="27">
        <v>1203</v>
      </c>
      <c r="C693" s="27">
        <v>291728</v>
      </c>
      <c r="D693" s="28">
        <v>44746</v>
      </c>
      <c r="E693" s="29">
        <v>221</v>
      </c>
      <c r="F693" s="15" t="str">
        <f t="shared" si="10"/>
        <v>1203-291728-44746</v>
      </c>
    </row>
    <row r="694" spans="1:6" ht="14.25" customHeight="1" x14ac:dyDescent="0.25">
      <c r="A694" s="15" t="s">
        <v>834</v>
      </c>
      <c r="B694" s="27">
        <v>1203</v>
      </c>
      <c r="C694" s="27">
        <v>291728</v>
      </c>
      <c r="D694" s="28">
        <v>44753</v>
      </c>
      <c r="E694" s="29">
        <v>47</v>
      </c>
      <c r="F694" s="15" t="str">
        <f t="shared" si="10"/>
        <v>1203-291728-44753</v>
      </c>
    </row>
    <row r="695" spans="1:6" ht="14.25" customHeight="1" x14ac:dyDescent="0.25">
      <c r="A695" s="15" t="s">
        <v>835</v>
      </c>
      <c r="B695" s="27">
        <v>1203</v>
      </c>
      <c r="C695" s="27">
        <v>291728</v>
      </c>
      <c r="D695" s="28">
        <v>44760</v>
      </c>
      <c r="E695" s="29">
        <v>147</v>
      </c>
      <c r="F695" s="15" t="str">
        <f t="shared" si="10"/>
        <v>1203-291728-44760</v>
      </c>
    </row>
    <row r="696" spans="1:6" ht="14.25" customHeight="1" x14ac:dyDescent="0.25">
      <c r="A696" s="15" t="s">
        <v>836</v>
      </c>
      <c r="B696" s="27">
        <v>1203</v>
      </c>
      <c r="C696" s="27">
        <v>291728</v>
      </c>
      <c r="D696" s="28">
        <v>44767</v>
      </c>
      <c r="E696" s="29">
        <v>215</v>
      </c>
      <c r="F696" s="15" t="str">
        <f t="shared" si="10"/>
        <v>1203-291728-44767</v>
      </c>
    </row>
    <row r="697" spans="1:6" ht="14.25" customHeight="1" x14ac:dyDescent="0.25">
      <c r="A697" s="15" t="s">
        <v>837</v>
      </c>
      <c r="B697" s="27">
        <v>1203</v>
      </c>
      <c r="C697" s="27">
        <v>291728</v>
      </c>
      <c r="D697" s="28">
        <v>44774</v>
      </c>
      <c r="E697" s="29">
        <v>47</v>
      </c>
      <c r="F697" s="15" t="str">
        <f t="shared" si="10"/>
        <v>1203-291728-44774</v>
      </c>
    </row>
    <row r="698" spans="1:6" ht="14.25" customHeight="1" x14ac:dyDescent="0.25">
      <c r="A698" s="15" t="s">
        <v>838</v>
      </c>
      <c r="B698" s="27">
        <v>1203</v>
      </c>
      <c r="C698" s="27">
        <v>291728</v>
      </c>
      <c r="D698" s="28">
        <v>44781</v>
      </c>
      <c r="E698" s="29">
        <v>171</v>
      </c>
      <c r="F698" s="15" t="str">
        <f t="shared" si="10"/>
        <v>1203-291728-44781</v>
      </c>
    </row>
    <row r="699" spans="1:6" ht="14.25" customHeight="1" x14ac:dyDescent="0.25">
      <c r="A699" s="15" t="s">
        <v>839</v>
      </c>
      <c r="B699" s="27">
        <v>1203</v>
      </c>
      <c r="C699" s="27">
        <v>291728</v>
      </c>
      <c r="D699" s="28">
        <v>44788</v>
      </c>
      <c r="E699" s="29">
        <v>162</v>
      </c>
      <c r="F699" s="15" t="str">
        <f t="shared" si="10"/>
        <v>1203-291728-44788</v>
      </c>
    </row>
    <row r="700" spans="1:6" ht="14.25" customHeight="1" x14ac:dyDescent="0.25">
      <c r="A700" s="15" t="s">
        <v>840</v>
      </c>
      <c r="B700" s="27">
        <v>1203</v>
      </c>
      <c r="C700" s="27">
        <v>300380</v>
      </c>
      <c r="D700" s="28">
        <v>32874</v>
      </c>
      <c r="E700" s="29">
        <v>42</v>
      </c>
      <c r="F700" s="15" t="str">
        <f t="shared" si="10"/>
        <v>1203-300380-32874</v>
      </c>
    </row>
    <row r="701" spans="1:6" ht="14.25" customHeight="1" x14ac:dyDescent="0.25">
      <c r="A701" s="15" t="s">
        <v>841</v>
      </c>
      <c r="B701" s="27">
        <v>1203</v>
      </c>
      <c r="C701" s="27">
        <v>300380</v>
      </c>
      <c r="D701" s="28">
        <v>44739</v>
      </c>
      <c r="E701" s="29">
        <v>39</v>
      </c>
      <c r="F701" s="15" t="str">
        <f t="shared" si="10"/>
        <v>1203-300380-44739</v>
      </c>
    </row>
    <row r="702" spans="1:6" ht="14.25" customHeight="1" x14ac:dyDescent="0.25">
      <c r="A702" s="15" t="s">
        <v>842</v>
      </c>
      <c r="B702" s="27">
        <v>1203</v>
      </c>
      <c r="C702" s="27">
        <v>300380</v>
      </c>
      <c r="D702" s="28">
        <v>44746</v>
      </c>
      <c r="E702" s="29">
        <v>40</v>
      </c>
      <c r="F702" s="15" t="str">
        <f t="shared" si="10"/>
        <v>1203-300380-44746</v>
      </c>
    </row>
    <row r="703" spans="1:6" ht="14.25" customHeight="1" x14ac:dyDescent="0.25">
      <c r="A703" s="15" t="s">
        <v>843</v>
      </c>
      <c r="B703" s="27">
        <v>1203</v>
      </c>
      <c r="C703" s="27">
        <v>300380</v>
      </c>
      <c r="D703" s="28">
        <v>44753</v>
      </c>
      <c r="E703" s="29">
        <v>43</v>
      </c>
      <c r="F703" s="15" t="str">
        <f t="shared" si="10"/>
        <v>1203-300380-44753</v>
      </c>
    </row>
    <row r="704" spans="1:6" ht="14.25" customHeight="1" x14ac:dyDescent="0.25">
      <c r="A704" s="15" t="s">
        <v>844</v>
      </c>
      <c r="B704" s="27">
        <v>1203</v>
      </c>
      <c r="C704" s="27">
        <v>300380</v>
      </c>
      <c r="D704" s="28">
        <v>44760</v>
      </c>
      <c r="E704" s="29">
        <v>26</v>
      </c>
      <c r="F704" s="15" t="str">
        <f t="shared" si="10"/>
        <v>1203-300380-44760</v>
      </c>
    </row>
    <row r="705" spans="1:6" ht="14.25" customHeight="1" x14ac:dyDescent="0.25">
      <c r="A705" s="15" t="s">
        <v>845</v>
      </c>
      <c r="B705" s="27">
        <v>1203</v>
      </c>
      <c r="C705" s="27">
        <v>300380</v>
      </c>
      <c r="D705" s="28">
        <v>44767</v>
      </c>
      <c r="E705" s="29">
        <v>40</v>
      </c>
      <c r="F705" s="15" t="str">
        <f t="shared" si="10"/>
        <v>1203-300380-44767</v>
      </c>
    </row>
    <row r="706" spans="1:6" ht="14.25" customHeight="1" x14ac:dyDescent="0.25">
      <c r="A706" s="15" t="s">
        <v>846</v>
      </c>
      <c r="B706" s="27">
        <v>1203</v>
      </c>
      <c r="C706" s="27">
        <v>300380</v>
      </c>
      <c r="D706" s="28">
        <v>44774</v>
      </c>
      <c r="E706" s="29">
        <v>24</v>
      </c>
      <c r="F706" s="15" t="str">
        <f t="shared" si="10"/>
        <v>1203-300380-44774</v>
      </c>
    </row>
    <row r="707" spans="1:6" ht="14.25" customHeight="1" x14ac:dyDescent="0.25">
      <c r="A707" s="15" t="s">
        <v>847</v>
      </c>
      <c r="B707" s="27">
        <v>1203</v>
      </c>
      <c r="C707" s="27">
        <v>300380</v>
      </c>
      <c r="D707" s="28">
        <v>44781</v>
      </c>
      <c r="E707" s="29">
        <v>41</v>
      </c>
      <c r="F707" s="15" t="str">
        <f t="shared" ref="F707:F770" si="11">B707&amp;"-"&amp;C707&amp;"-"&amp;INT(D707)</f>
        <v>1203-300380-44781</v>
      </c>
    </row>
    <row r="708" spans="1:6" ht="14.25" customHeight="1" x14ac:dyDescent="0.25">
      <c r="A708" s="15" t="s">
        <v>848</v>
      </c>
      <c r="B708" s="27">
        <v>1203</v>
      </c>
      <c r="C708" s="27">
        <v>300380</v>
      </c>
      <c r="D708" s="28">
        <v>44788</v>
      </c>
      <c r="E708" s="29">
        <v>38</v>
      </c>
      <c r="F708" s="15" t="str">
        <f t="shared" si="11"/>
        <v>1203-300380-44788</v>
      </c>
    </row>
    <row r="709" spans="1:6" ht="14.25" customHeight="1" x14ac:dyDescent="0.25">
      <c r="A709" s="15" t="s">
        <v>849</v>
      </c>
      <c r="B709" s="27">
        <v>1203</v>
      </c>
      <c r="C709" s="27">
        <v>571521</v>
      </c>
      <c r="D709" s="28">
        <v>44739</v>
      </c>
      <c r="E709" s="29">
        <v>132</v>
      </c>
      <c r="F709" s="15" t="str">
        <f t="shared" si="11"/>
        <v>1203-571521-44739</v>
      </c>
    </row>
    <row r="710" spans="1:6" ht="14.25" customHeight="1" x14ac:dyDescent="0.25">
      <c r="A710" s="15" t="s">
        <v>850</v>
      </c>
      <c r="B710" s="27">
        <v>1203</v>
      </c>
      <c r="C710" s="27">
        <v>571521</v>
      </c>
      <c r="D710" s="28">
        <v>44746</v>
      </c>
      <c r="E710" s="29">
        <v>95</v>
      </c>
      <c r="F710" s="15" t="str">
        <f t="shared" si="11"/>
        <v>1203-571521-44746</v>
      </c>
    </row>
    <row r="711" spans="1:6" ht="14.25" customHeight="1" x14ac:dyDescent="0.25">
      <c r="A711" s="15" t="s">
        <v>851</v>
      </c>
      <c r="B711" s="27">
        <v>1203</v>
      </c>
      <c r="C711" s="27">
        <v>571521</v>
      </c>
      <c r="D711" s="28">
        <v>44753</v>
      </c>
      <c r="E711" s="29">
        <v>41</v>
      </c>
      <c r="F711" s="15" t="str">
        <f t="shared" si="11"/>
        <v>1203-571521-44753</v>
      </c>
    </row>
    <row r="712" spans="1:6" ht="14.25" customHeight="1" x14ac:dyDescent="0.25">
      <c r="A712" s="15" t="s">
        <v>852</v>
      </c>
      <c r="B712" s="27">
        <v>1203</v>
      </c>
      <c r="C712" s="27">
        <v>571521</v>
      </c>
      <c r="D712" s="28">
        <v>44760</v>
      </c>
      <c r="E712" s="29">
        <v>150</v>
      </c>
      <c r="F712" s="15" t="str">
        <f t="shared" si="11"/>
        <v>1203-571521-44760</v>
      </c>
    </row>
    <row r="713" spans="1:6" ht="14.25" customHeight="1" x14ac:dyDescent="0.25">
      <c r="A713" s="15" t="s">
        <v>853</v>
      </c>
      <c r="B713" s="27">
        <v>1203</v>
      </c>
      <c r="C713" s="27">
        <v>571521</v>
      </c>
      <c r="D713" s="28">
        <v>44767</v>
      </c>
      <c r="E713" s="29">
        <v>38</v>
      </c>
      <c r="F713" s="15" t="str">
        <f t="shared" si="11"/>
        <v>1203-571521-44767</v>
      </c>
    </row>
    <row r="714" spans="1:6" ht="14.25" customHeight="1" x14ac:dyDescent="0.25">
      <c r="A714" s="15" t="s">
        <v>854</v>
      </c>
      <c r="B714" s="27">
        <v>1203</v>
      </c>
      <c r="C714" s="27">
        <v>571521</v>
      </c>
      <c r="D714" s="28">
        <v>44774</v>
      </c>
      <c r="E714" s="29">
        <v>74</v>
      </c>
      <c r="F714" s="15" t="str">
        <f t="shared" si="11"/>
        <v>1203-571521-44774</v>
      </c>
    </row>
    <row r="715" spans="1:6" ht="14.25" customHeight="1" x14ac:dyDescent="0.25">
      <c r="A715" s="15" t="s">
        <v>855</v>
      </c>
      <c r="B715" s="27">
        <v>1203</v>
      </c>
      <c r="C715" s="27">
        <v>571521</v>
      </c>
      <c r="D715" s="28">
        <v>44781</v>
      </c>
      <c r="E715" s="29">
        <v>118</v>
      </c>
      <c r="F715" s="15" t="str">
        <f t="shared" si="11"/>
        <v>1203-571521-44781</v>
      </c>
    </row>
    <row r="716" spans="1:6" ht="14.25" customHeight="1" x14ac:dyDescent="0.25">
      <c r="A716" s="15" t="s">
        <v>856</v>
      </c>
      <c r="B716" s="27">
        <v>1203</v>
      </c>
      <c r="C716" s="27">
        <v>571521</v>
      </c>
      <c r="D716" s="28">
        <v>44788</v>
      </c>
      <c r="E716" s="29">
        <v>163</v>
      </c>
      <c r="F716" s="15" t="str">
        <f t="shared" si="11"/>
        <v>1203-571521-44788</v>
      </c>
    </row>
    <row r="717" spans="1:6" ht="14.25" customHeight="1" x14ac:dyDescent="0.25">
      <c r="A717" s="15" t="s">
        <v>857</v>
      </c>
      <c r="B717" s="27">
        <v>1203</v>
      </c>
      <c r="C717" s="27">
        <v>614993</v>
      </c>
      <c r="D717" s="28">
        <v>44739</v>
      </c>
      <c r="E717" s="29">
        <v>140</v>
      </c>
      <c r="F717" s="15" t="str">
        <f t="shared" si="11"/>
        <v>1203-614993-44739</v>
      </c>
    </row>
    <row r="718" spans="1:6" ht="14.25" customHeight="1" x14ac:dyDescent="0.25">
      <c r="A718" s="15" t="s">
        <v>858</v>
      </c>
      <c r="B718" s="27">
        <v>1203</v>
      </c>
      <c r="C718" s="27">
        <v>614993</v>
      </c>
      <c r="D718" s="28">
        <v>44746</v>
      </c>
      <c r="E718" s="29">
        <v>357</v>
      </c>
      <c r="F718" s="15" t="str">
        <f t="shared" si="11"/>
        <v>1203-614993-44746</v>
      </c>
    </row>
    <row r="719" spans="1:6" ht="14.25" customHeight="1" x14ac:dyDescent="0.25">
      <c r="A719" s="15" t="s">
        <v>859</v>
      </c>
      <c r="B719" s="27">
        <v>1203</v>
      </c>
      <c r="C719" s="27">
        <v>614993</v>
      </c>
      <c r="D719" s="28">
        <v>44753</v>
      </c>
      <c r="E719" s="29">
        <v>198</v>
      </c>
      <c r="F719" s="15" t="str">
        <f t="shared" si="11"/>
        <v>1203-614993-44753</v>
      </c>
    </row>
    <row r="720" spans="1:6" ht="14.25" customHeight="1" x14ac:dyDescent="0.25">
      <c r="A720" s="15" t="s">
        <v>860</v>
      </c>
      <c r="B720" s="30">
        <v>1203</v>
      </c>
      <c r="C720" s="27">
        <v>614993</v>
      </c>
      <c r="D720" s="28">
        <v>44760</v>
      </c>
      <c r="E720" s="29">
        <v>339</v>
      </c>
      <c r="F720" s="15" t="str">
        <f t="shared" si="11"/>
        <v>1203-614993-44760</v>
      </c>
    </row>
    <row r="721" spans="1:6" ht="14.25" customHeight="1" x14ac:dyDescent="0.25">
      <c r="A721" s="15" t="s">
        <v>861</v>
      </c>
      <c r="B721" s="27">
        <v>1203</v>
      </c>
      <c r="C721" s="27">
        <v>614993</v>
      </c>
      <c r="D721" s="28">
        <v>44767</v>
      </c>
      <c r="E721" s="29">
        <v>249</v>
      </c>
      <c r="F721" s="15" t="str">
        <f t="shared" si="11"/>
        <v>1203-614993-44767</v>
      </c>
    </row>
    <row r="722" spans="1:6" ht="14.25" customHeight="1" x14ac:dyDescent="0.25">
      <c r="A722" s="15" t="s">
        <v>862</v>
      </c>
      <c r="B722" s="27">
        <v>1203</v>
      </c>
      <c r="C722" s="27">
        <v>614993</v>
      </c>
      <c r="D722" s="28">
        <v>44774</v>
      </c>
      <c r="E722" s="29">
        <v>254</v>
      </c>
      <c r="F722" s="15" t="str">
        <f t="shared" si="11"/>
        <v>1203-614993-44774</v>
      </c>
    </row>
    <row r="723" spans="1:6" ht="14.25" customHeight="1" x14ac:dyDescent="0.25">
      <c r="A723" s="15" t="s">
        <v>863</v>
      </c>
      <c r="B723" s="27">
        <v>1203</v>
      </c>
      <c r="C723" s="27">
        <v>614993</v>
      </c>
      <c r="D723" s="28">
        <v>44781</v>
      </c>
      <c r="E723" s="29">
        <v>279</v>
      </c>
      <c r="F723" s="15" t="str">
        <f t="shared" si="11"/>
        <v>1203-614993-44781</v>
      </c>
    </row>
    <row r="724" spans="1:6" ht="14.25" customHeight="1" x14ac:dyDescent="0.25">
      <c r="A724" s="15" t="s">
        <v>864</v>
      </c>
      <c r="B724" s="27">
        <v>1203</v>
      </c>
      <c r="C724" s="27">
        <v>614993</v>
      </c>
      <c r="D724" s="28">
        <v>44788</v>
      </c>
      <c r="E724" s="29">
        <v>138</v>
      </c>
      <c r="F724" s="15" t="str">
        <f t="shared" si="11"/>
        <v>1203-614993-44788</v>
      </c>
    </row>
    <row r="725" spans="1:6" ht="14.25" customHeight="1" x14ac:dyDescent="0.25">
      <c r="A725" s="15" t="s">
        <v>865</v>
      </c>
      <c r="B725" s="27">
        <v>1204</v>
      </c>
      <c r="C725" s="27">
        <v>23393</v>
      </c>
      <c r="D725" s="28">
        <v>44739</v>
      </c>
      <c r="E725" s="29">
        <v>252</v>
      </c>
      <c r="F725" s="15" t="str">
        <f t="shared" si="11"/>
        <v>1204-23393-44739</v>
      </c>
    </row>
    <row r="726" spans="1:6" ht="14.25" customHeight="1" x14ac:dyDescent="0.25">
      <c r="A726" s="15" t="s">
        <v>866</v>
      </c>
      <c r="B726" s="27">
        <v>1204</v>
      </c>
      <c r="C726" s="27">
        <v>23393</v>
      </c>
      <c r="D726" s="28">
        <v>44746</v>
      </c>
      <c r="E726" s="29">
        <v>314</v>
      </c>
      <c r="F726" s="15" t="str">
        <f t="shared" si="11"/>
        <v>1204-23393-44746</v>
      </c>
    </row>
    <row r="727" spans="1:6" ht="14.25" customHeight="1" x14ac:dyDescent="0.25">
      <c r="A727" s="15" t="s">
        <v>867</v>
      </c>
      <c r="B727" s="27">
        <v>1204</v>
      </c>
      <c r="C727" s="27">
        <v>23393</v>
      </c>
      <c r="D727" s="28">
        <v>44753</v>
      </c>
      <c r="E727" s="29">
        <v>290</v>
      </c>
      <c r="F727" s="15" t="str">
        <f t="shared" si="11"/>
        <v>1204-23393-44753</v>
      </c>
    </row>
    <row r="728" spans="1:6" ht="14.25" customHeight="1" x14ac:dyDescent="0.25">
      <c r="A728" s="15" t="s">
        <v>868</v>
      </c>
      <c r="B728" s="27">
        <v>1204</v>
      </c>
      <c r="C728" s="27">
        <v>23393</v>
      </c>
      <c r="D728" s="28">
        <v>44760</v>
      </c>
      <c r="E728" s="29">
        <v>210</v>
      </c>
      <c r="F728" s="15" t="str">
        <f t="shared" si="11"/>
        <v>1204-23393-44760</v>
      </c>
    </row>
    <row r="729" spans="1:6" ht="14.25" customHeight="1" x14ac:dyDescent="0.25">
      <c r="A729" s="15" t="s">
        <v>869</v>
      </c>
      <c r="B729" s="27">
        <v>1204</v>
      </c>
      <c r="C729" s="27">
        <v>23393</v>
      </c>
      <c r="D729" s="28">
        <v>44767</v>
      </c>
      <c r="E729" s="29">
        <v>308</v>
      </c>
      <c r="F729" s="15" t="str">
        <f t="shared" si="11"/>
        <v>1204-23393-44767</v>
      </c>
    </row>
    <row r="730" spans="1:6" ht="14.25" customHeight="1" x14ac:dyDescent="0.25">
      <c r="A730" s="15" t="s">
        <v>870</v>
      </c>
      <c r="B730" s="27">
        <v>1204</v>
      </c>
      <c r="C730" s="27">
        <v>23393</v>
      </c>
      <c r="D730" s="28">
        <v>44774</v>
      </c>
      <c r="E730" s="29">
        <v>209</v>
      </c>
      <c r="F730" s="15" t="str">
        <f t="shared" si="11"/>
        <v>1204-23393-44774</v>
      </c>
    </row>
    <row r="731" spans="1:6" ht="14.25" customHeight="1" x14ac:dyDescent="0.25">
      <c r="A731" s="15" t="s">
        <v>871</v>
      </c>
      <c r="B731" s="27">
        <v>1204</v>
      </c>
      <c r="C731" s="27">
        <v>23393</v>
      </c>
      <c r="D731" s="28">
        <v>44781</v>
      </c>
      <c r="E731" s="29">
        <v>260</v>
      </c>
      <c r="F731" s="15" t="str">
        <f t="shared" si="11"/>
        <v>1204-23393-44781</v>
      </c>
    </row>
    <row r="732" spans="1:6" ht="14.25" customHeight="1" x14ac:dyDescent="0.25">
      <c r="A732" s="15" t="s">
        <v>872</v>
      </c>
      <c r="B732" s="27">
        <v>1204</v>
      </c>
      <c r="C732" s="27">
        <v>23393</v>
      </c>
      <c r="D732" s="28">
        <v>44788</v>
      </c>
      <c r="E732" s="29">
        <v>313</v>
      </c>
      <c r="F732" s="15" t="str">
        <f t="shared" si="11"/>
        <v>1204-23393-44788</v>
      </c>
    </row>
    <row r="733" spans="1:6" ht="14.25" customHeight="1" x14ac:dyDescent="0.25">
      <c r="A733" s="15" t="s">
        <v>873</v>
      </c>
      <c r="B733" s="27">
        <v>1204</v>
      </c>
      <c r="C733" s="27">
        <v>26764</v>
      </c>
      <c r="D733" s="28">
        <v>44739</v>
      </c>
      <c r="E733" s="29">
        <v>66</v>
      </c>
      <c r="F733" s="15" t="str">
        <f t="shared" si="11"/>
        <v>1204-26764-44739</v>
      </c>
    </row>
    <row r="734" spans="1:6" ht="14.25" customHeight="1" x14ac:dyDescent="0.25">
      <c r="A734" s="15" t="s">
        <v>874</v>
      </c>
      <c r="B734" s="27">
        <v>1204</v>
      </c>
      <c r="C734" s="27">
        <v>26764</v>
      </c>
      <c r="D734" s="28">
        <v>44746</v>
      </c>
      <c r="E734" s="29">
        <v>21</v>
      </c>
      <c r="F734" s="15" t="str">
        <f t="shared" si="11"/>
        <v>1204-26764-44746</v>
      </c>
    </row>
    <row r="735" spans="1:6" ht="14.25" customHeight="1" x14ac:dyDescent="0.25">
      <c r="A735" s="15" t="s">
        <v>875</v>
      </c>
      <c r="B735" s="27">
        <v>1204</v>
      </c>
      <c r="C735" s="27">
        <v>26764</v>
      </c>
      <c r="D735" s="28">
        <v>44753</v>
      </c>
      <c r="E735" s="29">
        <v>50</v>
      </c>
      <c r="F735" s="15" t="str">
        <f t="shared" si="11"/>
        <v>1204-26764-44753</v>
      </c>
    </row>
    <row r="736" spans="1:6" ht="14.25" customHeight="1" x14ac:dyDescent="0.25">
      <c r="A736" s="15" t="s">
        <v>876</v>
      </c>
      <c r="B736" s="27">
        <v>1204</v>
      </c>
      <c r="C736" s="27">
        <v>26764</v>
      </c>
      <c r="D736" s="28">
        <v>44760</v>
      </c>
      <c r="E736" s="29">
        <v>64</v>
      </c>
      <c r="F736" s="15" t="str">
        <f t="shared" si="11"/>
        <v>1204-26764-44760</v>
      </c>
    </row>
    <row r="737" spans="1:6" ht="14.25" customHeight="1" x14ac:dyDescent="0.25">
      <c r="A737" s="15" t="s">
        <v>877</v>
      </c>
      <c r="B737" s="27">
        <v>1204</v>
      </c>
      <c r="C737" s="27">
        <v>26764</v>
      </c>
      <c r="D737" s="28">
        <v>44767</v>
      </c>
      <c r="E737" s="29">
        <v>16</v>
      </c>
      <c r="F737" s="15" t="str">
        <f t="shared" si="11"/>
        <v>1204-26764-44767</v>
      </c>
    </row>
    <row r="738" spans="1:6" ht="14.25" customHeight="1" x14ac:dyDescent="0.25">
      <c r="A738" s="15" t="s">
        <v>878</v>
      </c>
      <c r="B738" s="27">
        <v>1204</v>
      </c>
      <c r="C738" s="27">
        <v>26764</v>
      </c>
      <c r="D738" s="28">
        <v>44774</v>
      </c>
      <c r="E738" s="29">
        <v>50</v>
      </c>
      <c r="F738" s="15" t="str">
        <f t="shared" si="11"/>
        <v>1204-26764-44774</v>
      </c>
    </row>
    <row r="739" spans="1:6" ht="14.25" customHeight="1" x14ac:dyDescent="0.25">
      <c r="A739" s="15" t="s">
        <v>879</v>
      </c>
      <c r="B739" s="27">
        <v>1204</v>
      </c>
      <c r="C739" s="27">
        <v>26764</v>
      </c>
      <c r="D739" s="28">
        <v>44781</v>
      </c>
      <c r="E739" s="29">
        <v>16</v>
      </c>
      <c r="F739" s="15" t="str">
        <f t="shared" si="11"/>
        <v>1204-26764-44781</v>
      </c>
    </row>
    <row r="740" spans="1:6" ht="14.25" customHeight="1" x14ac:dyDescent="0.25">
      <c r="A740" s="15" t="s">
        <v>880</v>
      </c>
      <c r="B740" s="27">
        <v>1204</v>
      </c>
      <c r="C740" s="27">
        <v>26764</v>
      </c>
      <c r="D740" s="28">
        <v>44788</v>
      </c>
      <c r="E740" s="29">
        <v>49</v>
      </c>
      <c r="F740" s="15" t="str">
        <f t="shared" si="11"/>
        <v>1204-26764-44788</v>
      </c>
    </row>
    <row r="741" spans="1:6" ht="14.25" customHeight="1" x14ac:dyDescent="0.25">
      <c r="A741" s="15" t="s">
        <v>881</v>
      </c>
      <c r="B741" s="27">
        <v>1204</v>
      </c>
      <c r="C741" s="27">
        <v>53934</v>
      </c>
      <c r="D741" s="28">
        <v>44739</v>
      </c>
      <c r="E741" s="29">
        <v>12</v>
      </c>
      <c r="F741" s="15" t="str">
        <f t="shared" si="11"/>
        <v>1204-53934-44739</v>
      </c>
    </row>
    <row r="742" spans="1:6" ht="14.25" customHeight="1" x14ac:dyDescent="0.25">
      <c r="A742" s="15" t="s">
        <v>882</v>
      </c>
      <c r="B742" s="27">
        <v>1204</v>
      </c>
      <c r="C742" s="27">
        <v>53934</v>
      </c>
      <c r="D742" s="28">
        <v>44746</v>
      </c>
      <c r="E742" s="29">
        <v>12</v>
      </c>
      <c r="F742" s="15" t="str">
        <f t="shared" si="11"/>
        <v>1204-53934-44746</v>
      </c>
    </row>
    <row r="743" spans="1:6" ht="14.25" customHeight="1" x14ac:dyDescent="0.25">
      <c r="A743" s="15" t="s">
        <v>883</v>
      </c>
      <c r="B743" s="27">
        <v>1204</v>
      </c>
      <c r="C743" s="27">
        <v>53934</v>
      </c>
      <c r="D743" s="28">
        <v>44753</v>
      </c>
      <c r="E743" s="29">
        <v>12</v>
      </c>
      <c r="F743" s="15" t="str">
        <f t="shared" si="11"/>
        <v>1204-53934-44753</v>
      </c>
    </row>
    <row r="744" spans="1:6" ht="14.25" customHeight="1" x14ac:dyDescent="0.25">
      <c r="A744" s="15" t="s">
        <v>884</v>
      </c>
      <c r="B744" s="27">
        <v>1204</v>
      </c>
      <c r="C744" s="27">
        <v>53934</v>
      </c>
      <c r="D744" s="28">
        <v>44760</v>
      </c>
      <c r="E744" s="29">
        <v>12</v>
      </c>
      <c r="F744" s="15" t="str">
        <f t="shared" si="11"/>
        <v>1204-53934-44760</v>
      </c>
    </row>
    <row r="745" spans="1:6" ht="14.25" customHeight="1" x14ac:dyDescent="0.25">
      <c r="A745" s="15" t="s">
        <v>885</v>
      </c>
      <c r="B745" s="27">
        <v>1204</v>
      </c>
      <c r="C745" s="27">
        <v>53934</v>
      </c>
      <c r="D745" s="28">
        <v>44767</v>
      </c>
      <c r="E745" s="29">
        <v>12</v>
      </c>
      <c r="F745" s="15" t="str">
        <f t="shared" si="11"/>
        <v>1204-53934-44767</v>
      </c>
    </row>
    <row r="746" spans="1:6" ht="14.25" customHeight="1" x14ac:dyDescent="0.25">
      <c r="A746" s="15" t="s">
        <v>886</v>
      </c>
      <c r="B746" s="27">
        <v>1204</v>
      </c>
      <c r="C746" s="27">
        <v>53934</v>
      </c>
      <c r="D746" s="28">
        <v>44774</v>
      </c>
      <c r="E746" s="29">
        <v>12</v>
      </c>
      <c r="F746" s="15" t="str">
        <f t="shared" si="11"/>
        <v>1204-53934-44774</v>
      </c>
    </row>
    <row r="747" spans="1:6" ht="14.25" customHeight="1" x14ac:dyDescent="0.25">
      <c r="A747" s="15" t="s">
        <v>887</v>
      </c>
      <c r="B747" s="27">
        <v>1204</v>
      </c>
      <c r="C747" s="27">
        <v>53934</v>
      </c>
      <c r="D747" s="28">
        <v>44781</v>
      </c>
      <c r="E747" s="29">
        <v>12</v>
      </c>
      <c r="F747" s="15" t="str">
        <f t="shared" si="11"/>
        <v>1204-53934-44781</v>
      </c>
    </row>
    <row r="748" spans="1:6" ht="14.25" customHeight="1" x14ac:dyDescent="0.25">
      <c r="A748" s="15" t="s">
        <v>888</v>
      </c>
      <c r="B748" s="27">
        <v>1204</v>
      </c>
      <c r="C748" s="27">
        <v>53934</v>
      </c>
      <c r="D748" s="28">
        <v>44788</v>
      </c>
      <c r="E748" s="29">
        <v>12</v>
      </c>
      <c r="F748" s="15" t="str">
        <f t="shared" si="11"/>
        <v>1204-53934-44788</v>
      </c>
    </row>
    <row r="749" spans="1:6" ht="14.25" customHeight="1" x14ac:dyDescent="0.25">
      <c r="A749" s="15" t="s">
        <v>889</v>
      </c>
      <c r="B749" s="27">
        <v>1204</v>
      </c>
      <c r="C749" s="27">
        <v>78699</v>
      </c>
      <c r="D749" s="28">
        <v>44739</v>
      </c>
      <c r="E749" s="29">
        <v>7</v>
      </c>
      <c r="F749" s="15" t="str">
        <f t="shared" si="11"/>
        <v>1204-78699-44739</v>
      </c>
    </row>
    <row r="750" spans="1:6" ht="14.25" customHeight="1" x14ac:dyDescent="0.25">
      <c r="A750" s="15" t="s">
        <v>890</v>
      </c>
      <c r="B750" s="27">
        <v>1204</v>
      </c>
      <c r="C750" s="27">
        <v>78699</v>
      </c>
      <c r="D750" s="28">
        <v>44746</v>
      </c>
      <c r="E750" s="29">
        <v>25</v>
      </c>
      <c r="F750" s="15" t="str">
        <f t="shared" si="11"/>
        <v>1204-78699-44746</v>
      </c>
    </row>
    <row r="751" spans="1:6" ht="14.25" customHeight="1" x14ac:dyDescent="0.25">
      <c r="A751" s="15" t="s">
        <v>891</v>
      </c>
      <c r="B751" s="27">
        <v>1204</v>
      </c>
      <c r="C751" s="27">
        <v>78699</v>
      </c>
      <c r="D751" s="28">
        <v>44753</v>
      </c>
      <c r="E751" s="29">
        <v>7</v>
      </c>
      <c r="F751" s="15" t="str">
        <f t="shared" si="11"/>
        <v>1204-78699-44753</v>
      </c>
    </row>
    <row r="752" spans="1:6" ht="14.25" customHeight="1" x14ac:dyDescent="0.25">
      <c r="A752" s="15" t="s">
        <v>892</v>
      </c>
      <c r="B752" s="27">
        <v>1204</v>
      </c>
      <c r="C752" s="27">
        <v>78699</v>
      </c>
      <c r="D752" s="28">
        <v>44760</v>
      </c>
      <c r="E752" s="29">
        <v>22</v>
      </c>
      <c r="F752" s="15" t="str">
        <f t="shared" si="11"/>
        <v>1204-78699-44760</v>
      </c>
    </row>
    <row r="753" spans="1:6" ht="14.25" customHeight="1" x14ac:dyDescent="0.25">
      <c r="A753" s="15" t="s">
        <v>893</v>
      </c>
      <c r="B753" s="27">
        <v>1204</v>
      </c>
      <c r="C753" s="27">
        <v>78699</v>
      </c>
      <c r="D753" s="28">
        <v>44767</v>
      </c>
      <c r="E753" s="29">
        <v>34</v>
      </c>
      <c r="F753" s="15" t="str">
        <f t="shared" si="11"/>
        <v>1204-78699-44767</v>
      </c>
    </row>
    <row r="754" spans="1:6" ht="14.25" customHeight="1" x14ac:dyDescent="0.25">
      <c r="A754" s="15" t="s">
        <v>894</v>
      </c>
      <c r="B754" s="27">
        <v>1204</v>
      </c>
      <c r="C754" s="27">
        <v>78699</v>
      </c>
      <c r="D754" s="28">
        <v>44774</v>
      </c>
      <c r="E754" s="29">
        <v>30</v>
      </c>
      <c r="F754" s="15" t="str">
        <f t="shared" si="11"/>
        <v>1204-78699-44774</v>
      </c>
    </row>
    <row r="755" spans="1:6" ht="14.25" customHeight="1" x14ac:dyDescent="0.25">
      <c r="A755" s="15" t="s">
        <v>895</v>
      </c>
      <c r="B755" s="27">
        <v>1204</v>
      </c>
      <c r="C755" s="27">
        <v>78699</v>
      </c>
      <c r="D755" s="28">
        <v>44781</v>
      </c>
      <c r="E755" s="29">
        <v>24</v>
      </c>
      <c r="F755" s="15" t="str">
        <f t="shared" si="11"/>
        <v>1204-78699-44781</v>
      </c>
    </row>
    <row r="756" spans="1:6" ht="14.25" customHeight="1" x14ac:dyDescent="0.25">
      <c r="A756" s="15" t="s">
        <v>896</v>
      </c>
      <c r="B756" s="27">
        <v>1204</v>
      </c>
      <c r="C756" s="27">
        <v>78699</v>
      </c>
      <c r="D756" s="28">
        <v>44788</v>
      </c>
      <c r="E756" s="29">
        <v>5</v>
      </c>
      <c r="F756" s="15" t="str">
        <f t="shared" si="11"/>
        <v>1204-78699-44788</v>
      </c>
    </row>
    <row r="757" spans="1:6" ht="14.25" customHeight="1" x14ac:dyDescent="0.25">
      <c r="A757" s="15" t="s">
        <v>897</v>
      </c>
      <c r="B757" s="27">
        <v>1204</v>
      </c>
      <c r="C757" s="27">
        <v>78869</v>
      </c>
      <c r="D757" s="28">
        <v>44739</v>
      </c>
      <c r="E757" s="29">
        <v>16</v>
      </c>
      <c r="F757" s="15" t="str">
        <f t="shared" si="11"/>
        <v>1204-78869-44739</v>
      </c>
    </row>
    <row r="758" spans="1:6" ht="14.25" customHeight="1" x14ac:dyDescent="0.25">
      <c r="A758" s="15" t="s">
        <v>898</v>
      </c>
      <c r="B758" s="27">
        <v>1204</v>
      </c>
      <c r="C758" s="27">
        <v>78869</v>
      </c>
      <c r="D758" s="28">
        <v>44746</v>
      </c>
      <c r="E758" s="29">
        <v>15</v>
      </c>
      <c r="F758" s="15" t="str">
        <f t="shared" si="11"/>
        <v>1204-78869-44746</v>
      </c>
    </row>
    <row r="759" spans="1:6" ht="14.25" customHeight="1" x14ac:dyDescent="0.25">
      <c r="A759" s="15" t="s">
        <v>899</v>
      </c>
      <c r="B759" s="27">
        <v>1204</v>
      </c>
      <c r="C759" s="27">
        <v>78869</v>
      </c>
      <c r="D759" s="28">
        <v>44753</v>
      </c>
      <c r="E759" s="29">
        <v>10</v>
      </c>
      <c r="F759" s="15" t="str">
        <f t="shared" si="11"/>
        <v>1204-78869-44753</v>
      </c>
    </row>
    <row r="760" spans="1:6" ht="14.25" customHeight="1" x14ac:dyDescent="0.25">
      <c r="A760" s="15" t="s">
        <v>900</v>
      </c>
      <c r="B760" s="27">
        <v>1204</v>
      </c>
      <c r="C760" s="27">
        <v>78869</v>
      </c>
      <c r="D760" s="28">
        <v>44760</v>
      </c>
      <c r="E760" s="29">
        <v>12</v>
      </c>
      <c r="F760" s="15" t="str">
        <f t="shared" si="11"/>
        <v>1204-78869-44760</v>
      </c>
    </row>
    <row r="761" spans="1:6" ht="14.25" customHeight="1" x14ac:dyDescent="0.25">
      <c r="A761" s="15" t="s">
        <v>901</v>
      </c>
      <c r="B761" s="27">
        <v>1204</v>
      </c>
      <c r="C761" s="27">
        <v>78869</v>
      </c>
      <c r="D761" s="28">
        <v>44767</v>
      </c>
      <c r="E761" s="29">
        <v>-1</v>
      </c>
      <c r="F761" s="15" t="str">
        <f t="shared" si="11"/>
        <v>1204-78869-44767</v>
      </c>
    </row>
    <row r="762" spans="1:6" ht="14.25" customHeight="1" x14ac:dyDescent="0.25">
      <c r="A762" s="15" t="s">
        <v>902</v>
      </c>
      <c r="B762" s="27">
        <v>1204</v>
      </c>
      <c r="C762" s="27">
        <v>78869</v>
      </c>
      <c r="D762" s="28">
        <v>44774</v>
      </c>
      <c r="E762" s="29">
        <v>9</v>
      </c>
      <c r="F762" s="15" t="str">
        <f t="shared" si="11"/>
        <v>1204-78869-44774</v>
      </c>
    </row>
    <row r="763" spans="1:6" ht="14.25" customHeight="1" x14ac:dyDescent="0.25">
      <c r="A763" s="15" t="s">
        <v>903</v>
      </c>
      <c r="B763" s="27">
        <v>1204</v>
      </c>
      <c r="C763" s="27">
        <v>78869</v>
      </c>
      <c r="D763" s="28">
        <v>44781</v>
      </c>
      <c r="E763" s="29">
        <v>5</v>
      </c>
      <c r="F763" s="15" t="str">
        <f t="shared" si="11"/>
        <v>1204-78869-44781</v>
      </c>
    </row>
    <row r="764" spans="1:6" ht="14.25" customHeight="1" x14ac:dyDescent="0.25">
      <c r="A764" s="15" t="s">
        <v>904</v>
      </c>
      <c r="B764" s="27">
        <v>1204</v>
      </c>
      <c r="C764" s="27">
        <v>78869</v>
      </c>
      <c r="D764" s="28">
        <v>44788</v>
      </c>
      <c r="E764" s="29">
        <v>14</v>
      </c>
      <c r="F764" s="15" t="str">
        <f t="shared" si="11"/>
        <v>1204-78869-44788</v>
      </c>
    </row>
    <row r="765" spans="1:6" ht="14.25" customHeight="1" x14ac:dyDescent="0.25">
      <c r="A765" s="15" t="s">
        <v>905</v>
      </c>
      <c r="B765" s="27">
        <v>1204</v>
      </c>
      <c r="C765" s="27">
        <v>115600</v>
      </c>
      <c r="D765" s="28">
        <v>44739</v>
      </c>
      <c r="E765" s="29">
        <v>14</v>
      </c>
      <c r="F765" s="15" t="str">
        <f t="shared" si="11"/>
        <v>1204-115600-44739</v>
      </c>
    </row>
    <row r="766" spans="1:6" ht="14.25" customHeight="1" x14ac:dyDescent="0.25">
      <c r="A766" s="15" t="s">
        <v>906</v>
      </c>
      <c r="B766" s="27">
        <v>1204</v>
      </c>
      <c r="C766" s="27">
        <v>115600</v>
      </c>
      <c r="D766" s="28">
        <v>44746</v>
      </c>
      <c r="E766" s="29">
        <v>38</v>
      </c>
      <c r="F766" s="15" t="str">
        <f t="shared" si="11"/>
        <v>1204-115600-44746</v>
      </c>
    </row>
    <row r="767" spans="1:6" ht="14.25" customHeight="1" x14ac:dyDescent="0.25">
      <c r="A767" s="15" t="s">
        <v>907</v>
      </c>
      <c r="B767" s="27">
        <v>1204</v>
      </c>
      <c r="C767" s="27">
        <v>115600</v>
      </c>
      <c r="D767" s="28">
        <v>44753</v>
      </c>
      <c r="E767" s="29">
        <v>34</v>
      </c>
      <c r="F767" s="15" t="str">
        <f t="shared" si="11"/>
        <v>1204-115600-44753</v>
      </c>
    </row>
    <row r="768" spans="1:6" ht="14.25" customHeight="1" x14ac:dyDescent="0.25">
      <c r="A768" s="15" t="s">
        <v>908</v>
      </c>
      <c r="B768" s="27">
        <v>1204</v>
      </c>
      <c r="C768" s="27">
        <v>115600</v>
      </c>
      <c r="D768" s="28">
        <v>44760</v>
      </c>
      <c r="E768" s="29">
        <v>42</v>
      </c>
      <c r="F768" s="15" t="str">
        <f t="shared" si="11"/>
        <v>1204-115600-44760</v>
      </c>
    </row>
    <row r="769" spans="1:6" ht="14.25" customHeight="1" x14ac:dyDescent="0.25">
      <c r="A769" s="15" t="s">
        <v>909</v>
      </c>
      <c r="B769" s="27">
        <v>1204</v>
      </c>
      <c r="C769" s="27">
        <v>115600</v>
      </c>
      <c r="D769" s="28">
        <v>44767</v>
      </c>
      <c r="E769" s="29">
        <v>10</v>
      </c>
      <c r="F769" s="15" t="str">
        <f t="shared" si="11"/>
        <v>1204-115600-44767</v>
      </c>
    </row>
    <row r="770" spans="1:6" ht="14.25" customHeight="1" x14ac:dyDescent="0.25">
      <c r="A770" s="15" t="s">
        <v>910</v>
      </c>
      <c r="B770" s="27">
        <v>1204</v>
      </c>
      <c r="C770" s="27">
        <v>115600</v>
      </c>
      <c r="D770" s="28">
        <v>44774</v>
      </c>
      <c r="E770" s="29">
        <v>39</v>
      </c>
      <c r="F770" s="15" t="str">
        <f t="shared" si="11"/>
        <v>1204-115600-44774</v>
      </c>
    </row>
    <row r="771" spans="1:6" ht="14.25" customHeight="1" x14ac:dyDescent="0.25">
      <c r="A771" s="15" t="s">
        <v>911</v>
      </c>
      <c r="B771" s="27">
        <v>1204</v>
      </c>
      <c r="C771" s="27">
        <v>115600</v>
      </c>
      <c r="D771" s="28">
        <v>44781</v>
      </c>
      <c r="E771" s="29">
        <v>10</v>
      </c>
      <c r="F771" s="15" t="str">
        <f t="shared" ref="F771:F834" si="12">B771&amp;"-"&amp;C771&amp;"-"&amp;INT(D771)</f>
        <v>1204-115600-44781</v>
      </c>
    </row>
    <row r="772" spans="1:6" ht="14.25" customHeight="1" x14ac:dyDescent="0.25">
      <c r="A772" s="15" t="s">
        <v>912</v>
      </c>
      <c r="B772" s="27">
        <v>1204</v>
      </c>
      <c r="C772" s="27">
        <v>115600</v>
      </c>
      <c r="D772" s="28">
        <v>44788</v>
      </c>
      <c r="E772" s="29">
        <v>47</v>
      </c>
      <c r="F772" s="15" t="str">
        <f t="shared" si="12"/>
        <v>1204-115600-44788</v>
      </c>
    </row>
    <row r="773" spans="1:6" ht="14.25" customHeight="1" x14ac:dyDescent="0.25">
      <c r="A773" s="15" t="s">
        <v>913</v>
      </c>
      <c r="B773" s="27">
        <v>1204</v>
      </c>
      <c r="C773" s="27">
        <v>129208</v>
      </c>
      <c r="D773" s="28">
        <v>32874</v>
      </c>
      <c r="E773" s="29">
        <v>27</v>
      </c>
      <c r="F773" s="15" t="str">
        <f t="shared" si="12"/>
        <v>1204-129208-32874</v>
      </c>
    </row>
    <row r="774" spans="1:6" ht="14.25" customHeight="1" x14ac:dyDescent="0.25">
      <c r="A774" s="15" t="s">
        <v>914</v>
      </c>
      <c r="B774" s="27">
        <v>1204</v>
      </c>
      <c r="C774" s="27">
        <v>129208</v>
      </c>
      <c r="D774" s="28">
        <v>44739</v>
      </c>
      <c r="E774" s="29">
        <v>48</v>
      </c>
      <c r="F774" s="15" t="str">
        <f t="shared" si="12"/>
        <v>1204-129208-44739</v>
      </c>
    </row>
    <row r="775" spans="1:6" ht="14.25" customHeight="1" x14ac:dyDescent="0.25">
      <c r="A775" s="15" t="s">
        <v>915</v>
      </c>
      <c r="B775" s="27">
        <v>1204</v>
      </c>
      <c r="C775" s="27">
        <v>129208</v>
      </c>
      <c r="D775" s="28">
        <v>44746</v>
      </c>
      <c r="E775" s="29">
        <v>40</v>
      </c>
      <c r="F775" s="15" t="str">
        <f t="shared" si="12"/>
        <v>1204-129208-44746</v>
      </c>
    </row>
    <row r="776" spans="1:6" ht="14.25" customHeight="1" x14ac:dyDescent="0.25">
      <c r="A776" s="15" t="s">
        <v>916</v>
      </c>
      <c r="B776" s="27">
        <v>1204</v>
      </c>
      <c r="C776" s="27">
        <v>129208</v>
      </c>
      <c r="D776" s="28">
        <v>44753</v>
      </c>
      <c r="E776" s="29">
        <v>24</v>
      </c>
      <c r="F776" s="15" t="str">
        <f t="shared" si="12"/>
        <v>1204-129208-44753</v>
      </c>
    </row>
    <row r="777" spans="1:6" ht="14.25" customHeight="1" x14ac:dyDescent="0.25">
      <c r="A777" s="15" t="s">
        <v>917</v>
      </c>
      <c r="B777" s="27">
        <v>1204</v>
      </c>
      <c r="C777" s="27">
        <v>129208</v>
      </c>
      <c r="D777" s="28">
        <v>44760</v>
      </c>
      <c r="E777" s="29">
        <v>18</v>
      </c>
      <c r="F777" s="15" t="str">
        <f t="shared" si="12"/>
        <v>1204-129208-44760</v>
      </c>
    </row>
    <row r="778" spans="1:6" ht="14.25" customHeight="1" x14ac:dyDescent="0.25">
      <c r="A778" s="15" t="s">
        <v>918</v>
      </c>
      <c r="B778" s="27">
        <v>1204</v>
      </c>
      <c r="C778" s="27">
        <v>129208</v>
      </c>
      <c r="D778" s="28">
        <v>44767</v>
      </c>
      <c r="E778" s="29">
        <v>36</v>
      </c>
      <c r="F778" s="15" t="str">
        <f t="shared" si="12"/>
        <v>1204-129208-44767</v>
      </c>
    </row>
    <row r="779" spans="1:6" ht="14.25" customHeight="1" x14ac:dyDescent="0.25">
      <c r="A779" s="15" t="s">
        <v>919</v>
      </c>
      <c r="B779" s="27">
        <v>1204</v>
      </c>
      <c r="C779" s="27">
        <v>129208</v>
      </c>
      <c r="D779" s="28">
        <v>44774</v>
      </c>
      <c r="E779" s="29">
        <v>41</v>
      </c>
      <c r="F779" s="15" t="str">
        <f t="shared" si="12"/>
        <v>1204-129208-44774</v>
      </c>
    </row>
    <row r="780" spans="1:6" ht="14.25" customHeight="1" x14ac:dyDescent="0.25">
      <c r="A780" s="15" t="s">
        <v>920</v>
      </c>
      <c r="B780" s="27">
        <v>1204</v>
      </c>
      <c r="C780" s="27">
        <v>129208</v>
      </c>
      <c r="D780" s="28">
        <v>44781</v>
      </c>
      <c r="E780" s="29">
        <v>46</v>
      </c>
      <c r="F780" s="15" t="str">
        <f t="shared" si="12"/>
        <v>1204-129208-44781</v>
      </c>
    </row>
    <row r="781" spans="1:6" ht="14.25" customHeight="1" x14ac:dyDescent="0.25">
      <c r="A781" s="15" t="s">
        <v>921</v>
      </c>
      <c r="B781" s="27">
        <v>1204</v>
      </c>
      <c r="C781" s="27">
        <v>129208</v>
      </c>
      <c r="D781" s="28">
        <v>44788</v>
      </c>
      <c r="E781" s="29">
        <v>36</v>
      </c>
      <c r="F781" s="15" t="str">
        <f t="shared" si="12"/>
        <v>1204-129208-44788</v>
      </c>
    </row>
    <row r="782" spans="1:6" ht="14.25" customHeight="1" x14ac:dyDescent="0.25">
      <c r="A782" s="15" t="s">
        <v>922</v>
      </c>
      <c r="B782" s="27">
        <v>1204</v>
      </c>
      <c r="C782" s="27">
        <v>141622</v>
      </c>
      <c r="D782" s="28">
        <v>44739</v>
      </c>
      <c r="E782" s="29">
        <v>7</v>
      </c>
      <c r="F782" s="15" t="str">
        <f t="shared" si="12"/>
        <v>1204-141622-44739</v>
      </c>
    </row>
    <row r="783" spans="1:6" ht="14.25" customHeight="1" x14ac:dyDescent="0.25">
      <c r="A783" s="15" t="s">
        <v>923</v>
      </c>
      <c r="B783" s="27">
        <v>1204</v>
      </c>
      <c r="C783" s="27">
        <v>141622</v>
      </c>
      <c r="D783" s="28">
        <v>44746</v>
      </c>
      <c r="E783" s="29">
        <v>8</v>
      </c>
      <c r="F783" s="15" t="str">
        <f t="shared" si="12"/>
        <v>1204-141622-44746</v>
      </c>
    </row>
    <row r="784" spans="1:6" ht="14.25" customHeight="1" x14ac:dyDescent="0.25">
      <c r="A784" s="15" t="s">
        <v>924</v>
      </c>
      <c r="B784" s="27">
        <v>1204</v>
      </c>
      <c r="C784" s="27">
        <v>141622</v>
      </c>
      <c r="D784" s="28">
        <v>44753</v>
      </c>
      <c r="E784" s="29">
        <v>6</v>
      </c>
      <c r="F784" s="15" t="str">
        <f t="shared" si="12"/>
        <v>1204-141622-44753</v>
      </c>
    </row>
    <row r="785" spans="1:6" ht="14.25" customHeight="1" x14ac:dyDescent="0.25">
      <c r="A785" s="15" t="s">
        <v>925</v>
      </c>
      <c r="B785" s="27">
        <v>1204</v>
      </c>
      <c r="C785" s="27">
        <v>141622</v>
      </c>
      <c r="D785" s="28">
        <v>44760</v>
      </c>
      <c r="E785" s="29">
        <v>8</v>
      </c>
      <c r="F785" s="15" t="str">
        <f t="shared" si="12"/>
        <v>1204-141622-44760</v>
      </c>
    </row>
    <row r="786" spans="1:6" ht="14.25" customHeight="1" x14ac:dyDescent="0.25">
      <c r="A786" s="15" t="s">
        <v>926</v>
      </c>
      <c r="B786" s="27">
        <v>1204</v>
      </c>
      <c r="C786" s="27">
        <v>141622</v>
      </c>
      <c r="D786" s="28">
        <v>44767</v>
      </c>
      <c r="E786" s="29">
        <v>2</v>
      </c>
      <c r="F786" s="15" t="str">
        <f t="shared" si="12"/>
        <v>1204-141622-44767</v>
      </c>
    </row>
    <row r="787" spans="1:6" ht="14.25" customHeight="1" x14ac:dyDescent="0.25">
      <c r="A787" s="15" t="s">
        <v>927</v>
      </c>
      <c r="B787" s="27">
        <v>1204</v>
      </c>
      <c r="C787" s="27">
        <v>141622</v>
      </c>
      <c r="D787" s="28">
        <v>44774</v>
      </c>
      <c r="E787" s="29">
        <v>9</v>
      </c>
      <c r="F787" s="15" t="str">
        <f t="shared" si="12"/>
        <v>1204-141622-44774</v>
      </c>
    </row>
    <row r="788" spans="1:6" ht="14.25" customHeight="1" x14ac:dyDescent="0.25">
      <c r="A788" s="15" t="s">
        <v>928</v>
      </c>
      <c r="B788" s="27">
        <v>1204</v>
      </c>
      <c r="C788" s="27">
        <v>141622</v>
      </c>
      <c r="D788" s="28">
        <v>44781</v>
      </c>
      <c r="E788" s="29">
        <v>6</v>
      </c>
      <c r="F788" s="15" t="str">
        <f t="shared" si="12"/>
        <v>1204-141622-44781</v>
      </c>
    </row>
    <row r="789" spans="1:6" ht="14.25" customHeight="1" x14ac:dyDescent="0.25">
      <c r="A789" s="15" t="s">
        <v>929</v>
      </c>
      <c r="B789" s="27">
        <v>1204</v>
      </c>
      <c r="C789" s="27">
        <v>141622</v>
      </c>
      <c r="D789" s="28">
        <v>44788</v>
      </c>
      <c r="E789" s="29">
        <v>10</v>
      </c>
      <c r="F789" s="15" t="str">
        <f t="shared" si="12"/>
        <v>1204-141622-44788</v>
      </c>
    </row>
    <row r="790" spans="1:6" ht="14.25" customHeight="1" x14ac:dyDescent="0.25">
      <c r="A790" s="15" t="s">
        <v>930</v>
      </c>
      <c r="B790" s="27">
        <v>1204</v>
      </c>
      <c r="C790" s="27">
        <v>141626</v>
      </c>
      <c r="D790" s="28">
        <v>44739</v>
      </c>
      <c r="E790" s="29">
        <v>484</v>
      </c>
      <c r="F790" s="15" t="str">
        <f t="shared" si="12"/>
        <v>1204-141626-44739</v>
      </c>
    </row>
    <row r="791" spans="1:6" ht="14.25" customHeight="1" x14ac:dyDescent="0.25">
      <c r="A791" s="15" t="s">
        <v>931</v>
      </c>
      <c r="B791" s="27">
        <v>1204</v>
      </c>
      <c r="C791" s="27">
        <v>141626</v>
      </c>
      <c r="D791" s="28">
        <v>44746</v>
      </c>
      <c r="E791" s="29">
        <v>918</v>
      </c>
      <c r="F791" s="15" t="str">
        <f t="shared" si="12"/>
        <v>1204-141626-44746</v>
      </c>
    </row>
    <row r="792" spans="1:6" ht="14.25" customHeight="1" x14ac:dyDescent="0.25">
      <c r="A792" s="15" t="s">
        <v>932</v>
      </c>
      <c r="B792" s="27">
        <v>1204</v>
      </c>
      <c r="C792" s="27">
        <v>141626</v>
      </c>
      <c r="D792" s="28">
        <v>44753</v>
      </c>
      <c r="E792" s="29">
        <v>1117</v>
      </c>
      <c r="F792" s="15" t="str">
        <f t="shared" si="12"/>
        <v>1204-141626-44753</v>
      </c>
    </row>
    <row r="793" spans="1:6" ht="14.25" customHeight="1" x14ac:dyDescent="0.25">
      <c r="A793" s="15" t="s">
        <v>933</v>
      </c>
      <c r="B793" s="27">
        <v>1204</v>
      </c>
      <c r="C793" s="27">
        <v>141626</v>
      </c>
      <c r="D793" s="28">
        <v>44760</v>
      </c>
      <c r="E793" s="29">
        <v>1071</v>
      </c>
      <c r="F793" s="15" t="str">
        <f t="shared" si="12"/>
        <v>1204-141626-44760</v>
      </c>
    </row>
    <row r="794" spans="1:6" ht="14.25" customHeight="1" x14ac:dyDescent="0.25">
      <c r="A794" s="15" t="s">
        <v>934</v>
      </c>
      <c r="B794" s="27">
        <v>1204</v>
      </c>
      <c r="C794" s="27">
        <v>141626</v>
      </c>
      <c r="D794" s="28">
        <v>44767</v>
      </c>
      <c r="E794" s="29">
        <v>342</v>
      </c>
      <c r="F794" s="15" t="str">
        <f t="shared" si="12"/>
        <v>1204-141626-44767</v>
      </c>
    </row>
    <row r="795" spans="1:6" ht="14.25" customHeight="1" x14ac:dyDescent="0.25">
      <c r="A795" s="15" t="s">
        <v>935</v>
      </c>
      <c r="B795" s="27">
        <v>1204</v>
      </c>
      <c r="C795" s="27">
        <v>141626</v>
      </c>
      <c r="D795" s="28">
        <v>44774</v>
      </c>
      <c r="E795" s="29">
        <v>1087</v>
      </c>
      <c r="F795" s="15" t="str">
        <f t="shared" si="12"/>
        <v>1204-141626-44774</v>
      </c>
    </row>
    <row r="796" spans="1:6" ht="14.25" customHeight="1" x14ac:dyDescent="0.25">
      <c r="A796" s="15" t="s">
        <v>936</v>
      </c>
      <c r="B796" s="27">
        <v>1204</v>
      </c>
      <c r="C796" s="27">
        <v>141626</v>
      </c>
      <c r="D796" s="28">
        <v>44781</v>
      </c>
      <c r="E796" s="29">
        <v>1265</v>
      </c>
      <c r="F796" s="15" t="str">
        <f t="shared" si="12"/>
        <v>1204-141626-44781</v>
      </c>
    </row>
    <row r="797" spans="1:6" ht="14.25" customHeight="1" x14ac:dyDescent="0.25">
      <c r="A797" s="15" t="s">
        <v>937</v>
      </c>
      <c r="B797" s="27">
        <v>1204</v>
      </c>
      <c r="C797" s="27">
        <v>141626</v>
      </c>
      <c r="D797" s="28">
        <v>44788</v>
      </c>
      <c r="E797" s="29">
        <v>971</v>
      </c>
      <c r="F797" s="15" t="str">
        <f t="shared" si="12"/>
        <v>1204-141626-44788</v>
      </c>
    </row>
    <row r="798" spans="1:6" ht="14.25" customHeight="1" x14ac:dyDescent="0.25">
      <c r="A798" s="15" t="s">
        <v>938</v>
      </c>
      <c r="B798" s="27">
        <v>1204</v>
      </c>
      <c r="C798" s="27">
        <v>141791</v>
      </c>
      <c r="D798" s="28">
        <v>44739</v>
      </c>
      <c r="E798" s="29">
        <v>35</v>
      </c>
      <c r="F798" s="15" t="str">
        <f t="shared" si="12"/>
        <v>1204-141791-44739</v>
      </c>
    </row>
    <row r="799" spans="1:6" ht="14.25" customHeight="1" x14ac:dyDescent="0.25">
      <c r="A799" s="15" t="s">
        <v>939</v>
      </c>
      <c r="B799" s="27">
        <v>1204</v>
      </c>
      <c r="C799" s="27">
        <v>141791</v>
      </c>
      <c r="D799" s="28">
        <v>44746</v>
      </c>
      <c r="E799" s="29">
        <v>36</v>
      </c>
      <c r="F799" s="15" t="str">
        <f t="shared" si="12"/>
        <v>1204-141791-44746</v>
      </c>
    </row>
    <row r="800" spans="1:6" ht="14.25" customHeight="1" x14ac:dyDescent="0.25">
      <c r="A800" s="15" t="s">
        <v>940</v>
      </c>
      <c r="B800" s="27">
        <v>1204</v>
      </c>
      <c r="C800" s="27">
        <v>141791</v>
      </c>
      <c r="D800" s="28">
        <v>44753</v>
      </c>
      <c r="E800" s="29">
        <v>24</v>
      </c>
      <c r="F800" s="15" t="str">
        <f t="shared" si="12"/>
        <v>1204-141791-44753</v>
      </c>
    </row>
    <row r="801" spans="1:6" ht="14.25" customHeight="1" x14ac:dyDescent="0.25">
      <c r="A801" s="15" t="s">
        <v>941</v>
      </c>
      <c r="B801" s="27">
        <v>1204</v>
      </c>
      <c r="C801" s="27">
        <v>141791</v>
      </c>
      <c r="D801" s="28">
        <v>44760</v>
      </c>
      <c r="E801" s="29">
        <v>24</v>
      </c>
      <c r="F801" s="15" t="str">
        <f t="shared" si="12"/>
        <v>1204-141791-44760</v>
      </c>
    </row>
    <row r="802" spans="1:6" ht="14.25" customHeight="1" x14ac:dyDescent="0.25">
      <c r="A802" s="15" t="s">
        <v>942</v>
      </c>
      <c r="B802" s="27">
        <v>1204</v>
      </c>
      <c r="C802" s="27">
        <v>141791</v>
      </c>
      <c r="D802" s="28">
        <v>44767</v>
      </c>
      <c r="E802" s="29">
        <v>27</v>
      </c>
      <c r="F802" s="15" t="str">
        <f t="shared" si="12"/>
        <v>1204-141791-44767</v>
      </c>
    </row>
    <row r="803" spans="1:6" ht="14.25" customHeight="1" x14ac:dyDescent="0.25">
      <c r="A803" s="15" t="s">
        <v>943</v>
      </c>
      <c r="B803" s="27">
        <v>1204</v>
      </c>
      <c r="C803" s="27">
        <v>141791</v>
      </c>
      <c r="D803" s="28">
        <v>44774</v>
      </c>
      <c r="E803" s="29">
        <v>36</v>
      </c>
      <c r="F803" s="15" t="str">
        <f t="shared" si="12"/>
        <v>1204-141791-44774</v>
      </c>
    </row>
    <row r="804" spans="1:6" ht="14.25" customHeight="1" x14ac:dyDescent="0.25">
      <c r="A804" s="15" t="s">
        <v>944</v>
      </c>
      <c r="B804" s="27">
        <v>1204</v>
      </c>
      <c r="C804" s="27">
        <v>141791</v>
      </c>
      <c r="D804" s="28">
        <v>44781</v>
      </c>
      <c r="E804" s="29">
        <v>12</v>
      </c>
      <c r="F804" s="15" t="str">
        <f t="shared" si="12"/>
        <v>1204-141791-44781</v>
      </c>
    </row>
    <row r="805" spans="1:6" ht="14.25" customHeight="1" x14ac:dyDescent="0.25">
      <c r="A805" s="15" t="s">
        <v>945</v>
      </c>
      <c r="B805" s="27">
        <v>1204</v>
      </c>
      <c r="C805" s="27">
        <v>141791</v>
      </c>
      <c r="D805" s="28">
        <v>44788</v>
      </c>
      <c r="E805" s="29">
        <v>29</v>
      </c>
      <c r="F805" s="15" t="str">
        <f t="shared" si="12"/>
        <v>1204-141791-44788</v>
      </c>
    </row>
    <row r="806" spans="1:6" ht="14.25" customHeight="1" x14ac:dyDescent="0.25">
      <c r="A806" s="15" t="s">
        <v>946</v>
      </c>
      <c r="B806" s="27">
        <v>1204</v>
      </c>
      <c r="C806" s="27">
        <v>141846</v>
      </c>
      <c r="D806" s="28">
        <v>44739</v>
      </c>
      <c r="E806" s="29">
        <v>10</v>
      </c>
      <c r="F806" s="15" t="str">
        <f t="shared" si="12"/>
        <v>1204-141846-44739</v>
      </c>
    </row>
    <row r="807" spans="1:6" ht="14.25" customHeight="1" x14ac:dyDescent="0.25">
      <c r="A807" s="15" t="s">
        <v>947</v>
      </c>
      <c r="B807" s="27">
        <v>1204</v>
      </c>
      <c r="C807" s="27">
        <v>141846</v>
      </c>
      <c r="D807" s="28">
        <v>44746</v>
      </c>
      <c r="E807" s="29">
        <v>10</v>
      </c>
      <c r="F807" s="15" t="str">
        <f t="shared" si="12"/>
        <v>1204-141846-44746</v>
      </c>
    </row>
    <row r="808" spans="1:6" ht="14.25" customHeight="1" x14ac:dyDescent="0.25">
      <c r="A808" s="15" t="s">
        <v>948</v>
      </c>
      <c r="B808" s="27">
        <v>1204</v>
      </c>
      <c r="C808" s="27">
        <v>141846</v>
      </c>
      <c r="D808" s="28">
        <v>44753</v>
      </c>
      <c r="E808" s="29">
        <v>10</v>
      </c>
      <c r="F808" s="15" t="str">
        <f t="shared" si="12"/>
        <v>1204-141846-44753</v>
      </c>
    </row>
    <row r="809" spans="1:6" ht="14.25" customHeight="1" x14ac:dyDescent="0.25">
      <c r="A809" s="15" t="s">
        <v>949</v>
      </c>
      <c r="B809" s="27">
        <v>1204</v>
      </c>
      <c r="C809" s="27">
        <v>141846</v>
      </c>
      <c r="D809" s="28">
        <v>44760</v>
      </c>
      <c r="E809" s="29">
        <v>8</v>
      </c>
      <c r="F809" s="15" t="str">
        <f t="shared" si="12"/>
        <v>1204-141846-44760</v>
      </c>
    </row>
    <row r="810" spans="1:6" ht="14.25" customHeight="1" x14ac:dyDescent="0.25">
      <c r="A810" s="15" t="s">
        <v>950</v>
      </c>
      <c r="B810" s="27">
        <v>1204</v>
      </c>
      <c r="C810" s="27">
        <v>141846</v>
      </c>
      <c r="D810" s="28">
        <v>44767</v>
      </c>
      <c r="E810" s="29">
        <v>1</v>
      </c>
      <c r="F810" s="15" t="str">
        <f t="shared" si="12"/>
        <v>1204-141846-44767</v>
      </c>
    </row>
    <row r="811" spans="1:6" ht="14.25" customHeight="1" x14ac:dyDescent="0.25">
      <c r="A811" s="15" t="s">
        <v>951</v>
      </c>
      <c r="B811" s="27">
        <v>1204</v>
      </c>
      <c r="C811" s="27">
        <v>141846</v>
      </c>
      <c r="D811" s="28">
        <v>44774</v>
      </c>
      <c r="E811" s="29">
        <v>6</v>
      </c>
      <c r="F811" s="15" t="str">
        <f t="shared" si="12"/>
        <v>1204-141846-44774</v>
      </c>
    </row>
    <row r="812" spans="1:6" ht="14.25" customHeight="1" x14ac:dyDescent="0.25">
      <c r="A812" s="15" t="s">
        <v>952</v>
      </c>
      <c r="B812" s="27">
        <v>1204</v>
      </c>
      <c r="C812" s="27">
        <v>141846</v>
      </c>
      <c r="D812" s="28">
        <v>44781</v>
      </c>
      <c r="E812" s="29">
        <v>6</v>
      </c>
      <c r="F812" s="15" t="str">
        <f t="shared" si="12"/>
        <v>1204-141846-44781</v>
      </c>
    </row>
    <row r="813" spans="1:6" ht="14.25" customHeight="1" x14ac:dyDescent="0.25">
      <c r="A813" s="15" t="s">
        <v>953</v>
      </c>
      <c r="B813" s="27">
        <v>1204</v>
      </c>
      <c r="C813" s="27">
        <v>141846</v>
      </c>
      <c r="D813" s="28">
        <v>44788</v>
      </c>
      <c r="E813" s="29">
        <v>10</v>
      </c>
      <c r="F813" s="15" t="str">
        <f t="shared" si="12"/>
        <v>1204-141846-44788</v>
      </c>
    </row>
    <row r="814" spans="1:6" ht="14.25" customHeight="1" x14ac:dyDescent="0.25">
      <c r="A814" s="15" t="s">
        <v>954</v>
      </c>
      <c r="B814" s="27">
        <v>1204</v>
      </c>
      <c r="C814" s="27">
        <v>141967</v>
      </c>
      <c r="D814" s="28">
        <v>44739</v>
      </c>
      <c r="E814" s="29">
        <v>15</v>
      </c>
      <c r="F814" s="15" t="str">
        <f t="shared" si="12"/>
        <v>1204-141967-44739</v>
      </c>
    </row>
    <row r="815" spans="1:6" ht="14.25" customHeight="1" x14ac:dyDescent="0.25">
      <c r="A815" s="15" t="s">
        <v>955</v>
      </c>
      <c r="B815" s="27">
        <v>1204</v>
      </c>
      <c r="C815" s="27">
        <v>141967</v>
      </c>
      <c r="D815" s="28">
        <v>44746</v>
      </c>
      <c r="E815" s="29">
        <v>8</v>
      </c>
      <c r="F815" s="15" t="str">
        <f t="shared" si="12"/>
        <v>1204-141967-44746</v>
      </c>
    </row>
    <row r="816" spans="1:6" ht="14.25" customHeight="1" x14ac:dyDescent="0.25">
      <c r="A816" s="15" t="s">
        <v>956</v>
      </c>
      <c r="B816" s="27">
        <v>1204</v>
      </c>
      <c r="C816" s="27">
        <v>141967</v>
      </c>
      <c r="D816" s="28">
        <v>44753</v>
      </c>
      <c r="E816" s="29">
        <v>6</v>
      </c>
      <c r="F816" s="15" t="str">
        <f t="shared" si="12"/>
        <v>1204-141967-44753</v>
      </c>
    </row>
    <row r="817" spans="1:6" ht="14.25" customHeight="1" x14ac:dyDescent="0.25">
      <c r="A817" s="15" t="s">
        <v>957</v>
      </c>
      <c r="B817" s="27">
        <v>1204</v>
      </c>
      <c r="C817" s="27">
        <v>141967</v>
      </c>
      <c r="D817" s="28">
        <v>44760</v>
      </c>
      <c r="E817" s="29">
        <v>15</v>
      </c>
      <c r="F817" s="15" t="str">
        <f t="shared" si="12"/>
        <v>1204-141967-44760</v>
      </c>
    </row>
    <row r="818" spans="1:6" ht="14.25" customHeight="1" x14ac:dyDescent="0.25">
      <c r="A818" s="15" t="s">
        <v>958</v>
      </c>
      <c r="B818" s="27">
        <v>1204</v>
      </c>
      <c r="C818" s="27">
        <v>141967</v>
      </c>
      <c r="D818" s="28">
        <v>44767</v>
      </c>
      <c r="E818" s="29">
        <v>24</v>
      </c>
      <c r="F818" s="15" t="str">
        <f t="shared" si="12"/>
        <v>1204-141967-44767</v>
      </c>
    </row>
    <row r="819" spans="1:6" ht="14.25" customHeight="1" x14ac:dyDescent="0.25">
      <c r="A819" s="15" t="s">
        <v>959</v>
      </c>
      <c r="B819" s="27">
        <v>1204</v>
      </c>
      <c r="C819" s="27">
        <v>141967</v>
      </c>
      <c r="D819" s="28">
        <v>44774</v>
      </c>
      <c r="E819" s="29">
        <v>30</v>
      </c>
      <c r="F819" s="15" t="str">
        <f t="shared" si="12"/>
        <v>1204-141967-44774</v>
      </c>
    </row>
    <row r="820" spans="1:6" ht="14.25" customHeight="1" x14ac:dyDescent="0.25">
      <c r="A820" s="15" t="s">
        <v>960</v>
      </c>
      <c r="B820" s="27">
        <v>1204</v>
      </c>
      <c r="C820" s="27">
        <v>141967</v>
      </c>
      <c r="D820" s="28">
        <v>44781</v>
      </c>
      <c r="E820" s="29">
        <v>26</v>
      </c>
      <c r="F820" s="15" t="str">
        <f t="shared" si="12"/>
        <v>1204-141967-44781</v>
      </c>
    </row>
    <row r="821" spans="1:6" ht="14.25" customHeight="1" x14ac:dyDescent="0.25">
      <c r="A821" s="15" t="s">
        <v>961</v>
      </c>
      <c r="B821" s="27">
        <v>1204</v>
      </c>
      <c r="C821" s="27">
        <v>141967</v>
      </c>
      <c r="D821" s="28">
        <v>44788</v>
      </c>
      <c r="E821" s="29">
        <v>9</v>
      </c>
      <c r="F821" s="15" t="str">
        <f t="shared" si="12"/>
        <v>1204-141967-44788</v>
      </c>
    </row>
    <row r="822" spans="1:6" ht="14.25" customHeight="1" x14ac:dyDescent="0.25">
      <c r="A822" s="15" t="s">
        <v>962</v>
      </c>
      <c r="B822" s="27">
        <v>1204</v>
      </c>
      <c r="C822" s="27">
        <v>142194</v>
      </c>
      <c r="D822" s="28">
        <v>44739</v>
      </c>
      <c r="E822" s="29">
        <v>27</v>
      </c>
      <c r="F822" s="15" t="str">
        <f t="shared" si="12"/>
        <v>1204-142194-44739</v>
      </c>
    </row>
    <row r="823" spans="1:6" ht="14.25" customHeight="1" x14ac:dyDescent="0.25">
      <c r="A823" s="15" t="s">
        <v>963</v>
      </c>
      <c r="B823" s="27">
        <v>1204</v>
      </c>
      <c r="C823" s="27">
        <v>142194</v>
      </c>
      <c r="D823" s="28">
        <v>44746</v>
      </c>
      <c r="E823" s="29">
        <v>24</v>
      </c>
      <c r="F823" s="15" t="str">
        <f t="shared" si="12"/>
        <v>1204-142194-44746</v>
      </c>
    </row>
    <row r="824" spans="1:6" ht="14.25" customHeight="1" x14ac:dyDescent="0.25">
      <c r="A824" s="15" t="s">
        <v>964</v>
      </c>
      <c r="B824" s="27">
        <v>1204</v>
      </c>
      <c r="C824" s="27">
        <v>142194</v>
      </c>
      <c r="D824" s="28">
        <v>44753</v>
      </c>
      <c r="E824" s="29">
        <v>13</v>
      </c>
      <c r="F824" s="15" t="str">
        <f t="shared" si="12"/>
        <v>1204-142194-44753</v>
      </c>
    </row>
    <row r="825" spans="1:6" ht="14.25" customHeight="1" x14ac:dyDescent="0.25">
      <c r="A825" s="15" t="s">
        <v>965</v>
      </c>
      <c r="B825" s="27">
        <v>1204</v>
      </c>
      <c r="C825" s="27">
        <v>142194</v>
      </c>
      <c r="D825" s="28">
        <v>44760</v>
      </c>
      <c r="E825" s="29">
        <v>35</v>
      </c>
      <c r="F825" s="15" t="str">
        <f t="shared" si="12"/>
        <v>1204-142194-44760</v>
      </c>
    </row>
    <row r="826" spans="1:6" ht="14.25" customHeight="1" x14ac:dyDescent="0.25">
      <c r="A826" s="15" t="s">
        <v>966</v>
      </c>
      <c r="B826" s="27">
        <v>1204</v>
      </c>
      <c r="C826" s="27">
        <v>142194</v>
      </c>
      <c r="D826" s="28">
        <v>44767</v>
      </c>
      <c r="E826" s="29">
        <v>33</v>
      </c>
      <c r="F826" s="15" t="str">
        <f t="shared" si="12"/>
        <v>1204-142194-44767</v>
      </c>
    </row>
    <row r="827" spans="1:6" ht="14.25" customHeight="1" x14ac:dyDescent="0.25">
      <c r="A827" s="15" t="s">
        <v>967</v>
      </c>
      <c r="B827" s="27">
        <v>1204</v>
      </c>
      <c r="C827" s="27">
        <v>142194</v>
      </c>
      <c r="D827" s="28">
        <v>44774</v>
      </c>
      <c r="E827" s="29">
        <v>35</v>
      </c>
      <c r="F827" s="15" t="str">
        <f t="shared" si="12"/>
        <v>1204-142194-44774</v>
      </c>
    </row>
    <row r="828" spans="1:6" ht="14.25" customHeight="1" x14ac:dyDescent="0.25">
      <c r="A828" s="15" t="s">
        <v>968</v>
      </c>
      <c r="B828" s="27">
        <v>1204</v>
      </c>
      <c r="C828" s="27">
        <v>142194</v>
      </c>
      <c r="D828" s="28">
        <v>44781</v>
      </c>
      <c r="E828" s="29">
        <v>11</v>
      </c>
      <c r="F828" s="15" t="str">
        <f t="shared" si="12"/>
        <v>1204-142194-44781</v>
      </c>
    </row>
    <row r="829" spans="1:6" ht="14.25" customHeight="1" x14ac:dyDescent="0.25">
      <c r="A829" s="15" t="s">
        <v>969</v>
      </c>
      <c r="B829" s="27">
        <v>1204</v>
      </c>
      <c r="C829" s="27">
        <v>142194</v>
      </c>
      <c r="D829" s="28">
        <v>44788</v>
      </c>
      <c r="E829" s="29">
        <v>34</v>
      </c>
      <c r="F829" s="15" t="str">
        <f t="shared" si="12"/>
        <v>1204-142194-44788</v>
      </c>
    </row>
    <row r="830" spans="1:6" ht="14.25" customHeight="1" x14ac:dyDescent="0.25">
      <c r="A830" s="15" t="s">
        <v>970</v>
      </c>
      <c r="B830" s="27">
        <v>1204</v>
      </c>
      <c r="C830" s="27">
        <v>149729</v>
      </c>
      <c r="D830" s="28">
        <v>44739</v>
      </c>
      <c r="E830" s="29">
        <v>18</v>
      </c>
      <c r="F830" s="15" t="str">
        <f t="shared" si="12"/>
        <v>1204-149729-44739</v>
      </c>
    </row>
    <row r="831" spans="1:6" ht="14.25" customHeight="1" x14ac:dyDescent="0.25">
      <c r="A831" s="15" t="s">
        <v>971</v>
      </c>
      <c r="B831" s="27">
        <v>1204</v>
      </c>
      <c r="C831" s="27">
        <v>149729</v>
      </c>
      <c r="D831" s="28">
        <v>44746</v>
      </c>
      <c r="E831" s="29">
        <v>15</v>
      </c>
      <c r="F831" s="15" t="str">
        <f t="shared" si="12"/>
        <v>1204-149729-44746</v>
      </c>
    </row>
    <row r="832" spans="1:6" ht="14.25" customHeight="1" x14ac:dyDescent="0.25">
      <c r="A832" s="15" t="s">
        <v>972</v>
      </c>
      <c r="B832" s="27">
        <v>1204</v>
      </c>
      <c r="C832" s="27">
        <v>149729</v>
      </c>
      <c r="D832" s="28">
        <v>44753</v>
      </c>
      <c r="E832" s="29">
        <v>26</v>
      </c>
      <c r="F832" s="15" t="str">
        <f t="shared" si="12"/>
        <v>1204-149729-44753</v>
      </c>
    </row>
    <row r="833" spans="1:6" ht="14.25" customHeight="1" x14ac:dyDescent="0.25">
      <c r="A833" s="15" t="s">
        <v>973</v>
      </c>
      <c r="B833" s="27">
        <v>1204</v>
      </c>
      <c r="C833" s="27">
        <v>149729</v>
      </c>
      <c r="D833" s="28">
        <v>44760</v>
      </c>
      <c r="E833" s="29">
        <v>34</v>
      </c>
      <c r="F833" s="15" t="str">
        <f t="shared" si="12"/>
        <v>1204-149729-44760</v>
      </c>
    </row>
    <row r="834" spans="1:6" ht="14.25" customHeight="1" x14ac:dyDescent="0.25">
      <c r="A834" s="15" t="s">
        <v>974</v>
      </c>
      <c r="B834" s="27">
        <v>1204</v>
      </c>
      <c r="C834" s="27">
        <v>149729</v>
      </c>
      <c r="D834" s="28">
        <v>44767</v>
      </c>
      <c r="E834" s="29">
        <v>31</v>
      </c>
      <c r="F834" s="15" t="str">
        <f t="shared" si="12"/>
        <v>1204-149729-44767</v>
      </c>
    </row>
    <row r="835" spans="1:6" ht="14.25" customHeight="1" x14ac:dyDescent="0.25">
      <c r="A835" s="15" t="s">
        <v>975</v>
      </c>
      <c r="B835" s="27">
        <v>1204</v>
      </c>
      <c r="C835" s="27">
        <v>149729</v>
      </c>
      <c r="D835" s="28">
        <v>44774</v>
      </c>
      <c r="E835" s="29">
        <v>31</v>
      </c>
      <c r="F835" s="15" t="str">
        <f t="shared" ref="F835:F898" si="13">B835&amp;"-"&amp;C835&amp;"-"&amp;INT(D835)</f>
        <v>1204-149729-44774</v>
      </c>
    </row>
    <row r="836" spans="1:6" ht="14.25" customHeight="1" x14ac:dyDescent="0.25">
      <c r="A836" s="15" t="s">
        <v>976</v>
      </c>
      <c r="B836" s="27">
        <v>1204</v>
      </c>
      <c r="C836" s="27">
        <v>149729</v>
      </c>
      <c r="D836" s="28">
        <v>44781</v>
      </c>
      <c r="E836" s="29">
        <v>27</v>
      </c>
      <c r="F836" s="15" t="str">
        <f t="shared" si="13"/>
        <v>1204-149729-44781</v>
      </c>
    </row>
    <row r="837" spans="1:6" ht="14.25" customHeight="1" x14ac:dyDescent="0.25">
      <c r="A837" s="15" t="s">
        <v>977</v>
      </c>
      <c r="B837" s="27">
        <v>1204</v>
      </c>
      <c r="C837" s="27">
        <v>149729</v>
      </c>
      <c r="D837" s="28">
        <v>44788</v>
      </c>
      <c r="E837" s="29">
        <v>35</v>
      </c>
      <c r="F837" s="15" t="str">
        <f t="shared" si="13"/>
        <v>1204-149729-44788</v>
      </c>
    </row>
    <row r="838" spans="1:6" ht="14.25" customHeight="1" x14ac:dyDescent="0.25">
      <c r="A838" s="15" t="s">
        <v>978</v>
      </c>
      <c r="B838" s="27">
        <v>1204</v>
      </c>
      <c r="C838" s="27">
        <v>149779</v>
      </c>
      <c r="D838" s="28">
        <v>44739</v>
      </c>
      <c r="E838" s="29">
        <v>3</v>
      </c>
      <c r="F838" s="15" t="str">
        <f t="shared" si="13"/>
        <v>1204-149779-44739</v>
      </c>
    </row>
    <row r="839" spans="1:6" ht="14.25" customHeight="1" x14ac:dyDescent="0.25">
      <c r="A839" s="15" t="s">
        <v>979</v>
      </c>
      <c r="B839" s="27">
        <v>1204</v>
      </c>
      <c r="C839" s="27">
        <v>149779</v>
      </c>
      <c r="D839" s="28">
        <v>44746</v>
      </c>
      <c r="E839" s="29">
        <v>3</v>
      </c>
      <c r="F839" s="15" t="str">
        <f t="shared" si="13"/>
        <v>1204-149779-44746</v>
      </c>
    </row>
    <row r="840" spans="1:6" ht="14.25" customHeight="1" x14ac:dyDescent="0.25">
      <c r="A840" s="15" t="s">
        <v>980</v>
      </c>
      <c r="B840" s="27">
        <v>1204</v>
      </c>
      <c r="C840" s="27">
        <v>149779</v>
      </c>
      <c r="D840" s="28">
        <v>44753</v>
      </c>
      <c r="E840" s="29">
        <v>3</v>
      </c>
      <c r="F840" s="15" t="str">
        <f t="shared" si="13"/>
        <v>1204-149779-44753</v>
      </c>
    </row>
    <row r="841" spans="1:6" ht="14.25" customHeight="1" x14ac:dyDescent="0.25">
      <c r="A841" s="15" t="s">
        <v>981</v>
      </c>
      <c r="B841" s="27">
        <v>1204</v>
      </c>
      <c r="C841" s="27">
        <v>149779</v>
      </c>
      <c r="D841" s="28">
        <v>44760</v>
      </c>
      <c r="E841" s="29">
        <v>3</v>
      </c>
      <c r="F841" s="15" t="str">
        <f t="shared" si="13"/>
        <v>1204-149779-44760</v>
      </c>
    </row>
    <row r="842" spans="1:6" ht="14.25" customHeight="1" x14ac:dyDescent="0.25">
      <c r="A842" s="15" t="s">
        <v>982</v>
      </c>
      <c r="B842" s="27">
        <v>1204</v>
      </c>
      <c r="C842" s="27">
        <v>149779</v>
      </c>
      <c r="D842" s="28">
        <v>44767</v>
      </c>
      <c r="E842" s="29">
        <v>3</v>
      </c>
      <c r="F842" s="15" t="str">
        <f t="shared" si="13"/>
        <v>1204-149779-44767</v>
      </c>
    </row>
    <row r="843" spans="1:6" ht="14.25" customHeight="1" x14ac:dyDescent="0.25">
      <c r="A843" s="15" t="s">
        <v>983</v>
      </c>
      <c r="B843" s="27">
        <v>1204</v>
      </c>
      <c r="C843" s="27">
        <v>149779</v>
      </c>
      <c r="D843" s="28">
        <v>44774</v>
      </c>
      <c r="E843" s="29">
        <v>3</v>
      </c>
      <c r="F843" s="15" t="str">
        <f t="shared" si="13"/>
        <v>1204-149779-44774</v>
      </c>
    </row>
    <row r="844" spans="1:6" ht="14.25" customHeight="1" x14ac:dyDescent="0.25">
      <c r="A844" s="15" t="s">
        <v>984</v>
      </c>
      <c r="B844" s="27">
        <v>1204</v>
      </c>
      <c r="C844" s="27">
        <v>149779</v>
      </c>
      <c r="D844" s="28">
        <v>44781</v>
      </c>
      <c r="E844" s="29">
        <v>3</v>
      </c>
      <c r="F844" s="15" t="str">
        <f t="shared" si="13"/>
        <v>1204-149779-44781</v>
      </c>
    </row>
    <row r="845" spans="1:6" ht="14.25" customHeight="1" x14ac:dyDescent="0.25">
      <c r="A845" s="15" t="s">
        <v>985</v>
      </c>
      <c r="B845" s="27">
        <v>1204</v>
      </c>
      <c r="C845" s="27">
        <v>149779</v>
      </c>
      <c r="D845" s="28">
        <v>44788</v>
      </c>
      <c r="E845" s="29">
        <v>3</v>
      </c>
      <c r="F845" s="15" t="str">
        <f t="shared" si="13"/>
        <v>1204-149779-44788</v>
      </c>
    </row>
    <row r="846" spans="1:6" ht="14.25" customHeight="1" x14ac:dyDescent="0.25">
      <c r="A846" s="15" t="s">
        <v>986</v>
      </c>
      <c r="B846" s="30">
        <v>1204</v>
      </c>
      <c r="C846" s="27">
        <v>189933</v>
      </c>
      <c r="D846" s="28">
        <v>44739</v>
      </c>
      <c r="E846" s="29">
        <v>11</v>
      </c>
      <c r="F846" s="15" t="str">
        <f t="shared" si="13"/>
        <v>1204-189933-44739</v>
      </c>
    </row>
    <row r="847" spans="1:6" ht="14.25" customHeight="1" x14ac:dyDescent="0.25">
      <c r="A847" s="15" t="s">
        <v>987</v>
      </c>
      <c r="B847" s="27">
        <v>1204</v>
      </c>
      <c r="C847" s="27">
        <v>189933</v>
      </c>
      <c r="D847" s="28">
        <v>44746</v>
      </c>
      <c r="E847" s="29">
        <v>24</v>
      </c>
      <c r="F847" s="15" t="str">
        <f t="shared" si="13"/>
        <v>1204-189933-44746</v>
      </c>
    </row>
    <row r="848" spans="1:6" ht="14.25" customHeight="1" x14ac:dyDescent="0.25">
      <c r="A848" s="15" t="s">
        <v>988</v>
      </c>
      <c r="B848" s="27">
        <v>1204</v>
      </c>
      <c r="C848" s="27">
        <v>189933</v>
      </c>
      <c r="D848" s="28">
        <v>44753</v>
      </c>
      <c r="E848" s="29">
        <v>26</v>
      </c>
      <c r="F848" s="15" t="str">
        <f t="shared" si="13"/>
        <v>1204-189933-44753</v>
      </c>
    </row>
    <row r="849" spans="1:6" ht="14.25" customHeight="1" x14ac:dyDescent="0.25">
      <c r="A849" s="15" t="s">
        <v>989</v>
      </c>
      <c r="B849" s="27">
        <v>1204</v>
      </c>
      <c r="C849" s="27">
        <v>189933</v>
      </c>
      <c r="D849" s="28">
        <v>44760</v>
      </c>
      <c r="E849" s="29">
        <v>29</v>
      </c>
      <c r="F849" s="15" t="str">
        <f t="shared" si="13"/>
        <v>1204-189933-44760</v>
      </c>
    </row>
    <row r="850" spans="1:6" ht="14.25" customHeight="1" x14ac:dyDescent="0.25">
      <c r="A850" s="15" t="s">
        <v>990</v>
      </c>
      <c r="B850" s="27">
        <v>1204</v>
      </c>
      <c r="C850" s="27">
        <v>189933</v>
      </c>
      <c r="D850" s="28">
        <v>44767</v>
      </c>
      <c r="E850" s="29">
        <v>27</v>
      </c>
      <c r="F850" s="15" t="str">
        <f t="shared" si="13"/>
        <v>1204-189933-44767</v>
      </c>
    </row>
    <row r="851" spans="1:6" ht="14.25" customHeight="1" x14ac:dyDescent="0.25">
      <c r="A851" s="15" t="s">
        <v>991</v>
      </c>
      <c r="B851" s="27">
        <v>1204</v>
      </c>
      <c r="C851" s="27">
        <v>189933</v>
      </c>
      <c r="D851" s="28">
        <v>44774</v>
      </c>
      <c r="E851" s="29">
        <v>18</v>
      </c>
      <c r="F851" s="15" t="str">
        <f t="shared" si="13"/>
        <v>1204-189933-44774</v>
      </c>
    </row>
    <row r="852" spans="1:6" ht="14.25" customHeight="1" x14ac:dyDescent="0.25">
      <c r="A852" s="15" t="s">
        <v>992</v>
      </c>
      <c r="B852" s="27">
        <v>1204</v>
      </c>
      <c r="C852" s="27">
        <v>189933</v>
      </c>
      <c r="D852" s="28">
        <v>44781</v>
      </c>
      <c r="E852" s="29">
        <v>18</v>
      </c>
      <c r="F852" s="15" t="str">
        <f t="shared" si="13"/>
        <v>1204-189933-44781</v>
      </c>
    </row>
    <row r="853" spans="1:6" ht="14.25" customHeight="1" x14ac:dyDescent="0.25">
      <c r="A853" s="15" t="s">
        <v>993</v>
      </c>
      <c r="B853" s="27">
        <v>1204</v>
      </c>
      <c r="C853" s="27">
        <v>189933</v>
      </c>
      <c r="D853" s="28">
        <v>44788</v>
      </c>
      <c r="E853" s="29">
        <v>10</v>
      </c>
      <c r="F853" s="15" t="str">
        <f t="shared" si="13"/>
        <v>1204-189933-44788</v>
      </c>
    </row>
    <row r="854" spans="1:6" ht="14.25" customHeight="1" x14ac:dyDescent="0.25">
      <c r="A854" s="15" t="s">
        <v>994</v>
      </c>
      <c r="B854" s="27">
        <v>1204</v>
      </c>
      <c r="C854" s="27">
        <v>202577</v>
      </c>
      <c r="D854" s="28">
        <v>44739</v>
      </c>
      <c r="E854" s="29">
        <v>12</v>
      </c>
      <c r="F854" s="15" t="str">
        <f t="shared" si="13"/>
        <v>1204-202577-44739</v>
      </c>
    </row>
    <row r="855" spans="1:6" ht="14.25" customHeight="1" x14ac:dyDescent="0.25">
      <c r="A855" s="15" t="s">
        <v>995</v>
      </c>
      <c r="B855" s="27">
        <v>1204</v>
      </c>
      <c r="C855" s="27">
        <v>202577</v>
      </c>
      <c r="D855" s="28">
        <v>44746</v>
      </c>
      <c r="E855" s="29">
        <v>25</v>
      </c>
      <c r="F855" s="15" t="str">
        <f t="shared" si="13"/>
        <v>1204-202577-44746</v>
      </c>
    </row>
    <row r="856" spans="1:6" ht="14.25" customHeight="1" x14ac:dyDescent="0.25">
      <c r="A856" s="15" t="s">
        <v>996</v>
      </c>
      <c r="B856" s="27">
        <v>1204</v>
      </c>
      <c r="C856" s="27">
        <v>202577</v>
      </c>
      <c r="D856" s="28">
        <v>44753</v>
      </c>
      <c r="E856" s="29">
        <v>11</v>
      </c>
      <c r="F856" s="15" t="str">
        <f t="shared" si="13"/>
        <v>1204-202577-44753</v>
      </c>
    </row>
    <row r="857" spans="1:6" ht="14.25" customHeight="1" x14ac:dyDescent="0.25">
      <c r="A857" s="15" t="s">
        <v>997</v>
      </c>
      <c r="B857" s="27">
        <v>1204</v>
      </c>
      <c r="C857" s="27">
        <v>202577</v>
      </c>
      <c r="D857" s="28">
        <v>44760</v>
      </c>
      <c r="E857" s="29">
        <v>20</v>
      </c>
      <c r="F857" s="15" t="str">
        <f t="shared" si="13"/>
        <v>1204-202577-44760</v>
      </c>
    </row>
    <row r="858" spans="1:6" ht="14.25" customHeight="1" x14ac:dyDescent="0.25">
      <c r="A858" s="15" t="s">
        <v>998</v>
      </c>
      <c r="B858" s="27">
        <v>1204</v>
      </c>
      <c r="C858" s="27">
        <v>202577</v>
      </c>
      <c r="D858" s="28">
        <v>44767</v>
      </c>
      <c r="E858" s="29">
        <v>12</v>
      </c>
      <c r="F858" s="15" t="str">
        <f t="shared" si="13"/>
        <v>1204-202577-44767</v>
      </c>
    </row>
    <row r="859" spans="1:6" ht="14.25" customHeight="1" x14ac:dyDescent="0.25">
      <c r="A859" s="15" t="s">
        <v>999</v>
      </c>
      <c r="B859" s="27">
        <v>1204</v>
      </c>
      <c r="C859" s="27">
        <v>202577</v>
      </c>
      <c r="D859" s="28">
        <v>44774</v>
      </c>
      <c r="E859" s="29">
        <v>33</v>
      </c>
      <c r="F859" s="15" t="str">
        <f t="shared" si="13"/>
        <v>1204-202577-44774</v>
      </c>
    </row>
    <row r="860" spans="1:6" ht="14.25" customHeight="1" x14ac:dyDescent="0.25">
      <c r="A860" s="15" t="s">
        <v>1000</v>
      </c>
      <c r="B860" s="27">
        <v>1204</v>
      </c>
      <c r="C860" s="27">
        <v>202577</v>
      </c>
      <c r="D860" s="28">
        <v>44781</v>
      </c>
      <c r="E860" s="29">
        <v>30</v>
      </c>
      <c r="F860" s="15" t="str">
        <f t="shared" si="13"/>
        <v>1204-202577-44781</v>
      </c>
    </row>
    <row r="861" spans="1:6" ht="14.25" customHeight="1" x14ac:dyDescent="0.25">
      <c r="A861" s="15" t="s">
        <v>1001</v>
      </c>
      <c r="B861" s="27">
        <v>1204</v>
      </c>
      <c r="C861" s="27">
        <v>202577</v>
      </c>
      <c r="D861" s="28">
        <v>44788</v>
      </c>
      <c r="E861" s="29">
        <v>30</v>
      </c>
      <c r="F861" s="15" t="str">
        <f t="shared" si="13"/>
        <v>1204-202577-44788</v>
      </c>
    </row>
    <row r="862" spans="1:6" ht="14.25" customHeight="1" x14ac:dyDescent="0.25">
      <c r="A862" s="15" t="s">
        <v>1002</v>
      </c>
      <c r="B862" s="27">
        <v>1204</v>
      </c>
      <c r="C862" s="27">
        <v>234334</v>
      </c>
      <c r="D862" s="28">
        <v>44739</v>
      </c>
      <c r="E862" s="29">
        <v>26</v>
      </c>
      <c r="F862" s="15" t="str">
        <f t="shared" si="13"/>
        <v>1204-234334-44739</v>
      </c>
    </row>
    <row r="863" spans="1:6" ht="14.25" customHeight="1" x14ac:dyDescent="0.25">
      <c r="A863" s="15" t="s">
        <v>1003</v>
      </c>
      <c r="B863" s="27">
        <v>1204</v>
      </c>
      <c r="C863" s="27">
        <v>234334</v>
      </c>
      <c r="D863" s="28">
        <v>44746</v>
      </c>
      <c r="E863" s="29">
        <v>26</v>
      </c>
      <c r="F863" s="15" t="str">
        <f t="shared" si="13"/>
        <v>1204-234334-44746</v>
      </c>
    </row>
    <row r="864" spans="1:6" ht="14.25" customHeight="1" x14ac:dyDescent="0.25">
      <c r="A864" s="15" t="s">
        <v>1004</v>
      </c>
      <c r="B864" s="27">
        <v>1204</v>
      </c>
      <c r="C864" s="27">
        <v>234334</v>
      </c>
      <c r="D864" s="28">
        <v>44753</v>
      </c>
      <c r="E864" s="29">
        <v>20</v>
      </c>
      <c r="F864" s="15" t="str">
        <f t="shared" si="13"/>
        <v>1204-234334-44753</v>
      </c>
    </row>
    <row r="865" spans="1:6" ht="14.25" customHeight="1" x14ac:dyDescent="0.25">
      <c r="A865" s="15" t="s">
        <v>1005</v>
      </c>
      <c r="B865" s="27">
        <v>1204</v>
      </c>
      <c r="C865" s="27">
        <v>234334</v>
      </c>
      <c r="D865" s="28">
        <v>44760</v>
      </c>
      <c r="E865" s="29">
        <v>28</v>
      </c>
      <c r="F865" s="15" t="str">
        <f t="shared" si="13"/>
        <v>1204-234334-44760</v>
      </c>
    </row>
    <row r="866" spans="1:6" ht="14.25" customHeight="1" x14ac:dyDescent="0.25">
      <c r="A866" s="15" t="s">
        <v>1006</v>
      </c>
      <c r="B866" s="27">
        <v>1204</v>
      </c>
      <c r="C866" s="27">
        <v>234334</v>
      </c>
      <c r="D866" s="28">
        <v>44767</v>
      </c>
      <c r="E866" s="29">
        <v>18</v>
      </c>
      <c r="F866" s="15" t="str">
        <f t="shared" si="13"/>
        <v>1204-234334-44767</v>
      </c>
    </row>
    <row r="867" spans="1:6" ht="14.25" customHeight="1" x14ac:dyDescent="0.25">
      <c r="A867" s="15" t="s">
        <v>1007</v>
      </c>
      <c r="B867" s="27">
        <v>1204</v>
      </c>
      <c r="C867" s="27">
        <v>234334</v>
      </c>
      <c r="D867" s="28">
        <v>44774</v>
      </c>
      <c r="E867" s="29">
        <v>27</v>
      </c>
      <c r="F867" s="15" t="str">
        <f t="shared" si="13"/>
        <v>1204-234334-44774</v>
      </c>
    </row>
    <row r="868" spans="1:6" ht="14.25" customHeight="1" x14ac:dyDescent="0.25">
      <c r="A868" s="15" t="s">
        <v>1008</v>
      </c>
      <c r="B868" s="27">
        <v>1204</v>
      </c>
      <c r="C868" s="27">
        <v>234334</v>
      </c>
      <c r="D868" s="28">
        <v>44781</v>
      </c>
      <c r="E868" s="29">
        <v>24</v>
      </c>
      <c r="F868" s="15" t="str">
        <f t="shared" si="13"/>
        <v>1204-234334-44781</v>
      </c>
    </row>
    <row r="869" spans="1:6" ht="14.25" customHeight="1" x14ac:dyDescent="0.25">
      <c r="A869" s="15" t="s">
        <v>1009</v>
      </c>
      <c r="B869" s="27">
        <v>1204</v>
      </c>
      <c r="C869" s="27">
        <v>234334</v>
      </c>
      <c r="D869" s="28">
        <v>44788</v>
      </c>
      <c r="E869" s="29">
        <v>28</v>
      </c>
      <c r="F869" s="15" t="str">
        <f t="shared" si="13"/>
        <v>1204-234334-44788</v>
      </c>
    </row>
    <row r="870" spans="1:6" ht="14.25" customHeight="1" x14ac:dyDescent="0.25">
      <c r="A870" s="15" t="s">
        <v>1010</v>
      </c>
      <c r="B870" s="27">
        <v>1204</v>
      </c>
      <c r="C870" s="27">
        <v>249444</v>
      </c>
      <c r="D870" s="28">
        <v>44739</v>
      </c>
      <c r="E870" s="29">
        <v>60</v>
      </c>
      <c r="F870" s="15" t="str">
        <f t="shared" si="13"/>
        <v>1204-249444-44739</v>
      </c>
    </row>
    <row r="871" spans="1:6" ht="14.25" customHeight="1" x14ac:dyDescent="0.25">
      <c r="A871" s="15" t="s">
        <v>1011</v>
      </c>
      <c r="B871" s="27">
        <v>1204</v>
      </c>
      <c r="C871" s="27">
        <v>249444</v>
      </c>
      <c r="D871" s="28">
        <v>44746</v>
      </c>
      <c r="E871" s="29">
        <v>104</v>
      </c>
      <c r="F871" s="15" t="str">
        <f t="shared" si="13"/>
        <v>1204-249444-44746</v>
      </c>
    </row>
    <row r="872" spans="1:6" ht="14.25" customHeight="1" x14ac:dyDescent="0.25">
      <c r="A872" s="15" t="s">
        <v>1012</v>
      </c>
      <c r="B872" s="27">
        <v>1204</v>
      </c>
      <c r="C872" s="27">
        <v>249444</v>
      </c>
      <c r="D872" s="28">
        <v>44753</v>
      </c>
      <c r="E872" s="29">
        <v>164</v>
      </c>
      <c r="F872" s="15" t="str">
        <f t="shared" si="13"/>
        <v>1204-249444-44753</v>
      </c>
    </row>
    <row r="873" spans="1:6" ht="14.25" customHeight="1" x14ac:dyDescent="0.25">
      <c r="A873" s="15" t="s">
        <v>1013</v>
      </c>
      <c r="B873" s="27">
        <v>1204</v>
      </c>
      <c r="C873" s="27">
        <v>249444</v>
      </c>
      <c r="D873" s="28">
        <v>44760</v>
      </c>
      <c r="E873" s="29">
        <v>63</v>
      </c>
      <c r="F873" s="15" t="str">
        <f t="shared" si="13"/>
        <v>1204-249444-44760</v>
      </c>
    </row>
    <row r="874" spans="1:6" ht="14.25" customHeight="1" x14ac:dyDescent="0.25">
      <c r="A874" s="15" t="s">
        <v>1014</v>
      </c>
      <c r="B874" s="27">
        <v>1204</v>
      </c>
      <c r="C874" s="27">
        <v>249444</v>
      </c>
      <c r="D874" s="28">
        <v>44767</v>
      </c>
      <c r="E874" s="29">
        <v>158</v>
      </c>
      <c r="F874" s="15" t="str">
        <f t="shared" si="13"/>
        <v>1204-249444-44767</v>
      </c>
    </row>
    <row r="875" spans="1:6" ht="14.25" customHeight="1" x14ac:dyDescent="0.25">
      <c r="A875" s="15" t="s">
        <v>1015</v>
      </c>
      <c r="B875" s="27">
        <v>1204</v>
      </c>
      <c r="C875" s="27">
        <v>249444</v>
      </c>
      <c r="D875" s="28">
        <v>44774</v>
      </c>
      <c r="E875" s="29">
        <v>160</v>
      </c>
      <c r="F875" s="15" t="str">
        <f t="shared" si="13"/>
        <v>1204-249444-44774</v>
      </c>
    </row>
    <row r="876" spans="1:6" ht="14.25" customHeight="1" x14ac:dyDescent="0.25">
      <c r="A876" s="15" t="s">
        <v>1016</v>
      </c>
      <c r="B876" s="27">
        <v>1204</v>
      </c>
      <c r="C876" s="27">
        <v>249444</v>
      </c>
      <c r="D876" s="28">
        <v>44781</v>
      </c>
      <c r="E876" s="29">
        <v>64</v>
      </c>
      <c r="F876" s="15" t="str">
        <f t="shared" si="13"/>
        <v>1204-249444-44781</v>
      </c>
    </row>
    <row r="877" spans="1:6" ht="14.25" customHeight="1" x14ac:dyDescent="0.25">
      <c r="A877" s="15" t="s">
        <v>1017</v>
      </c>
      <c r="B877" s="27">
        <v>1204</v>
      </c>
      <c r="C877" s="27">
        <v>249444</v>
      </c>
      <c r="D877" s="28">
        <v>44788</v>
      </c>
      <c r="E877" s="29">
        <v>58</v>
      </c>
      <c r="F877" s="15" t="str">
        <f t="shared" si="13"/>
        <v>1204-249444-44788</v>
      </c>
    </row>
    <row r="878" spans="1:6" ht="14.25" customHeight="1" x14ac:dyDescent="0.25">
      <c r="A878" s="15" t="s">
        <v>1018</v>
      </c>
      <c r="B878" s="30">
        <v>1204</v>
      </c>
      <c r="C878" s="27">
        <v>249795</v>
      </c>
      <c r="D878" s="28">
        <v>44739</v>
      </c>
      <c r="E878" s="29">
        <v>17</v>
      </c>
      <c r="F878" s="15" t="str">
        <f t="shared" si="13"/>
        <v>1204-249795-44739</v>
      </c>
    </row>
    <row r="879" spans="1:6" ht="14.25" customHeight="1" x14ac:dyDescent="0.25">
      <c r="A879" s="15" t="s">
        <v>1019</v>
      </c>
      <c r="B879" s="27">
        <v>1204</v>
      </c>
      <c r="C879" s="27">
        <v>249795</v>
      </c>
      <c r="D879" s="28">
        <v>44746</v>
      </c>
      <c r="E879" s="29">
        <v>15</v>
      </c>
      <c r="F879" s="15" t="str">
        <f t="shared" si="13"/>
        <v>1204-249795-44746</v>
      </c>
    </row>
    <row r="880" spans="1:6" ht="14.25" customHeight="1" x14ac:dyDescent="0.25">
      <c r="A880" s="15" t="s">
        <v>1020</v>
      </c>
      <c r="B880" s="27">
        <v>1204</v>
      </c>
      <c r="C880" s="27">
        <v>249795</v>
      </c>
      <c r="D880" s="28">
        <v>44753</v>
      </c>
      <c r="E880" s="29">
        <v>16</v>
      </c>
      <c r="F880" s="15" t="str">
        <f t="shared" si="13"/>
        <v>1204-249795-44753</v>
      </c>
    </row>
    <row r="881" spans="1:6" ht="14.25" customHeight="1" x14ac:dyDescent="0.25">
      <c r="A881" s="15" t="s">
        <v>1021</v>
      </c>
      <c r="B881" s="27">
        <v>1204</v>
      </c>
      <c r="C881" s="27">
        <v>249795</v>
      </c>
      <c r="D881" s="28">
        <v>44760</v>
      </c>
      <c r="E881" s="29">
        <v>15</v>
      </c>
      <c r="F881" s="15" t="str">
        <f t="shared" si="13"/>
        <v>1204-249795-44760</v>
      </c>
    </row>
    <row r="882" spans="1:6" ht="14.25" customHeight="1" x14ac:dyDescent="0.25">
      <c r="A882" s="15" t="s">
        <v>1022</v>
      </c>
      <c r="B882" s="27">
        <v>1204</v>
      </c>
      <c r="C882" s="27">
        <v>249795</v>
      </c>
      <c r="D882" s="28">
        <v>44767</v>
      </c>
      <c r="E882" s="29">
        <v>19</v>
      </c>
      <c r="F882" s="15" t="str">
        <f t="shared" si="13"/>
        <v>1204-249795-44767</v>
      </c>
    </row>
    <row r="883" spans="1:6" ht="14.25" customHeight="1" x14ac:dyDescent="0.25">
      <c r="A883" s="15" t="s">
        <v>1023</v>
      </c>
      <c r="B883" s="27">
        <v>1204</v>
      </c>
      <c r="C883" s="27">
        <v>249795</v>
      </c>
      <c r="D883" s="28">
        <v>44774</v>
      </c>
      <c r="E883" s="29">
        <v>6</v>
      </c>
      <c r="F883" s="15" t="str">
        <f t="shared" si="13"/>
        <v>1204-249795-44774</v>
      </c>
    </row>
    <row r="884" spans="1:6" ht="14.25" customHeight="1" x14ac:dyDescent="0.25">
      <c r="A884" s="15" t="s">
        <v>1024</v>
      </c>
      <c r="B884" s="27">
        <v>1204</v>
      </c>
      <c r="C884" s="27">
        <v>249795</v>
      </c>
      <c r="D884" s="28">
        <v>44781</v>
      </c>
      <c r="E884" s="29">
        <v>9</v>
      </c>
      <c r="F884" s="15" t="str">
        <f t="shared" si="13"/>
        <v>1204-249795-44781</v>
      </c>
    </row>
    <row r="885" spans="1:6" ht="14.25" customHeight="1" x14ac:dyDescent="0.25">
      <c r="A885" s="15" t="s">
        <v>1025</v>
      </c>
      <c r="B885" s="27">
        <v>1204</v>
      </c>
      <c r="C885" s="27">
        <v>249795</v>
      </c>
      <c r="D885" s="28">
        <v>44788</v>
      </c>
      <c r="E885" s="29">
        <v>18</v>
      </c>
      <c r="F885" s="15" t="str">
        <f t="shared" si="13"/>
        <v>1204-249795-44788</v>
      </c>
    </row>
    <row r="886" spans="1:6" ht="14.25" customHeight="1" x14ac:dyDescent="0.25">
      <c r="A886" s="15" t="s">
        <v>1026</v>
      </c>
      <c r="B886" s="27">
        <v>1204</v>
      </c>
      <c r="C886" s="27">
        <v>250979</v>
      </c>
      <c r="D886" s="28">
        <v>44739</v>
      </c>
      <c r="E886" s="29">
        <v>27</v>
      </c>
      <c r="F886" s="15" t="str">
        <f t="shared" si="13"/>
        <v>1204-250979-44739</v>
      </c>
    </row>
    <row r="887" spans="1:6" ht="14.25" customHeight="1" x14ac:dyDescent="0.25">
      <c r="A887" s="15" t="s">
        <v>1027</v>
      </c>
      <c r="B887" s="27">
        <v>1204</v>
      </c>
      <c r="C887" s="27">
        <v>250979</v>
      </c>
      <c r="D887" s="28">
        <v>44746</v>
      </c>
      <c r="E887" s="29">
        <v>23</v>
      </c>
      <c r="F887" s="15" t="str">
        <f t="shared" si="13"/>
        <v>1204-250979-44746</v>
      </c>
    </row>
    <row r="888" spans="1:6" ht="14.25" customHeight="1" x14ac:dyDescent="0.25">
      <c r="A888" s="15" t="s">
        <v>1028</v>
      </c>
      <c r="B888" s="27">
        <v>1204</v>
      </c>
      <c r="C888" s="27">
        <v>250979</v>
      </c>
      <c r="D888" s="28">
        <v>44753</v>
      </c>
      <c r="E888" s="29">
        <v>25</v>
      </c>
      <c r="F888" s="15" t="str">
        <f t="shared" si="13"/>
        <v>1204-250979-44753</v>
      </c>
    </row>
    <row r="889" spans="1:6" ht="14.25" customHeight="1" x14ac:dyDescent="0.25">
      <c r="A889" s="15" t="s">
        <v>1029</v>
      </c>
      <c r="B889" s="27">
        <v>1204</v>
      </c>
      <c r="C889" s="27">
        <v>250979</v>
      </c>
      <c r="D889" s="28">
        <v>44760</v>
      </c>
      <c r="E889" s="29">
        <v>24</v>
      </c>
      <c r="F889" s="15" t="str">
        <f t="shared" si="13"/>
        <v>1204-250979-44760</v>
      </c>
    </row>
    <row r="890" spans="1:6" ht="14.25" customHeight="1" x14ac:dyDescent="0.25">
      <c r="A890" s="15" t="s">
        <v>1030</v>
      </c>
      <c r="B890" s="27">
        <v>1204</v>
      </c>
      <c r="C890" s="27">
        <v>250979</v>
      </c>
      <c r="D890" s="28">
        <v>44767</v>
      </c>
      <c r="E890" s="29">
        <v>29</v>
      </c>
      <c r="F890" s="15" t="str">
        <f t="shared" si="13"/>
        <v>1204-250979-44767</v>
      </c>
    </row>
    <row r="891" spans="1:6" ht="14.25" customHeight="1" x14ac:dyDescent="0.25">
      <c r="A891" s="15" t="s">
        <v>1031</v>
      </c>
      <c r="B891" s="27">
        <v>1204</v>
      </c>
      <c r="C891" s="27">
        <v>250979</v>
      </c>
      <c r="D891" s="28">
        <v>44774</v>
      </c>
      <c r="E891" s="29">
        <v>18</v>
      </c>
      <c r="F891" s="15" t="str">
        <f t="shared" si="13"/>
        <v>1204-250979-44774</v>
      </c>
    </row>
    <row r="892" spans="1:6" ht="14.25" customHeight="1" x14ac:dyDescent="0.25">
      <c r="A892" s="15" t="s">
        <v>1032</v>
      </c>
      <c r="B892" s="27">
        <v>1204</v>
      </c>
      <c r="C892" s="27">
        <v>250979</v>
      </c>
      <c r="D892" s="28">
        <v>44781</v>
      </c>
      <c r="E892" s="29">
        <v>23</v>
      </c>
      <c r="F892" s="15" t="str">
        <f t="shared" si="13"/>
        <v>1204-250979-44781</v>
      </c>
    </row>
    <row r="893" spans="1:6" ht="14.25" customHeight="1" x14ac:dyDescent="0.25">
      <c r="A893" s="15" t="s">
        <v>1033</v>
      </c>
      <c r="B893" s="27">
        <v>1204</v>
      </c>
      <c r="C893" s="27">
        <v>250979</v>
      </c>
      <c r="D893" s="28">
        <v>44788</v>
      </c>
      <c r="E893" s="29">
        <v>16</v>
      </c>
      <c r="F893" s="15" t="str">
        <f t="shared" si="13"/>
        <v>1204-250979-44788</v>
      </c>
    </row>
    <row r="894" spans="1:6" ht="14.25" customHeight="1" x14ac:dyDescent="0.25">
      <c r="A894" s="15" t="s">
        <v>1034</v>
      </c>
      <c r="B894" s="27">
        <v>1204</v>
      </c>
      <c r="C894" s="27">
        <v>250981</v>
      </c>
      <c r="D894" s="28">
        <v>44739</v>
      </c>
      <c r="E894" s="29">
        <v>10</v>
      </c>
      <c r="F894" s="15" t="str">
        <f t="shared" si="13"/>
        <v>1204-250981-44739</v>
      </c>
    </row>
    <row r="895" spans="1:6" ht="14.25" customHeight="1" x14ac:dyDescent="0.25">
      <c r="A895" s="15" t="s">
        <v>1035</v>
      </c>
      <c r="B895" s="27">
        <v>1204</v>
      </c>
      <c r="C895" s="27">
        <v>250981</v>
      </c>
      <c r="D895" s="28">
        <v>44746</v>
      </c>
      <c r="E895" s="29">
        <v>2</v>
      </c>
      <c r="F895" s="15" t="str">
        <f t="shared" si="13"/>
        <v>1204-250981-44746</v>
      </c>
    </row>
    <row r="896" spans="1:6" ht="14.25" customHeight="1" x14ac:dyDescent="0.25">
      <c r="A896" s="15" t="s">
        <v>1036</v>
      </c>
      <c r="B896" s="27">
        <v>1204</v>
      </c>
      <c r="C896" s="27">
        <v>250981</v>
      </c>
      <c r="D896" s="28">
        <v>44753</v>
      </c>
      <c r="E896" s="29">
        <v>9</v>
      </c>
      <c r="F896" s="15" t="str">
        <f t="shared" si="13"/>
        <v>1204-250981-44753</v>
      </c>
    </row>
    <row r="897" spans="1:6" ht="14.25" customHeight="1" x14ac:dyDescent="0.25">
      <c r="A897" s="15" t="s">
        <v>1037</v>
      </c>
      <c r="B897" s="27">
        <v>1204</v>
      </c>
      <c r="C897" s="27">
        <v>250981</v>
      </c>
      <c r="D897" s="28">
        <v>44760</v>
      </c>
      <c r="E897" s="29">
        <v>10</v>
      </c>
      <c r="F897" s="15" t="str">
        <f t="shared" si="13"/>
        <v>1204-250981-44760</v>
      </c>
    </row>
    <row r="898" spans="1:6" ht="14.25" customHeight="1" x14ac:dyDescent="0.25">
      <c r="A898" s="15" t="s">
        <v>1038</v>
      </c>
      <c r="B898" s="27">
        <v>1204</v>
      </c>
      <c r="C898" s="27">
        <v>250981</v>
      </c>
      <c r="D898" s="28">
        <v>44767</v>
      </c>
      <c r="E898" s="29">
        <v>6</v>
      </c>
      <c r="F898" s="15" t="str">
        <f t="shared" si="13"/>
        <v>1204-250981-44767</v>
      </c>
    </row>
    <row r="899" spans="1:6" ht="14.25" customHeight="1" x14ac:dyDescent="0.25">
      <c r="A899" s="15" t="s">
        <v>1039</v>
      </c>
      <c r="B899" s="27">
        <v>1204</v>
      </c>
      <c r="C899" s="27">
        <v>250981</v>
      </c>
      <c r="D899" s="28">
        <v>44774</v>
      </c>
      <c r="E899" s="29">
        <v>7</v>
      </c>
      <c r="F899" s="15" t="str">
        <f t="shared" ref="F899:F962" si="14">B899&amp;"-"&amp;C899&amp;"-"&amp;INT(D899)</f>
        <v>1204-250981-44774</v>
      </c>
    </row>
    <row r="900" spans="1:6" ht="14.25" customHeight="1" x14ac:dyDescent="0.25">
      <c r="A900" s="15" t="s">
        <v>1040</v>
      </c>
      <c r="B900" s="27">
        <v>1204</v>
      </c>
      <c r="C900" s="27">
        <v>250981</v>
      </c>
      <c r="D900" s="28">
        <v>44781</v>
      </c>
      <c r="E900" s="29">
        <v>8</v>
      </c>
      <c r="F900" s="15" t="str">
        <f t="shared" si="14"/>
        <v>1204-250981-44781</v>
      </c>
    </row>
    <row r="901" spans="1:6" ht="14.25" customHeight="1" x14ac:dyDescent="0.25">
      <c r="A901" s="15" t="s">
        <v>1041</v>
      </c>
      <c r="B901" s="27">
        <v>1204</v>
      </c>
      <c r="C901" s="27">
        <v>250981</v>
      </c>
      <c r="D901" s="28">
        <v>44788</v>
      </c>
      <c r="E901" s="29">
        <v>6</v>
      </c>
      <c r="F901" s="15" t="str">
        <f t="shared" si="14"/>
        <v>1204-250981-44788</v>
      </c>
    </row>
    <row r="902" spans="1:6" ht="14.25" customHeight="1" x14ac:dyDescent="0.25">
      <c r="A902" s="15" t="s">
        <v>1042</v>
      </c>
      <c r="B902" s="27">
        <v>1204</v>
      </c>
      <c r="C902" s="27">
        <v>262294</v>
      </c>
      <c r="D902" s="28">
        <v>44739</v>
      </c>
      <c r="E902" s="29">
        <v>33</v>
      </c>
      <c r="F902" s="15" t="str">
        <f t="shared" si="14"/>
        <v>1204-262294-44739</v>
      </c>
    </row>
    <row r="903" spans="1:6" ht="14.25" customHeight="1" x14ac:dyDescent="0.25">
      <c r="A903" s="15" t="s">
        <v>1043</v>
      </c>
      <c r="B903" s="27">
        <v>1204</v>
      </c>
      <c r="C903" s="27">
        <v>262294</v>
      </c>
      <c r="D903" s="28">
        <v>44746</v>
      </c>
      <c r="E903" s="29">
        <v>31</v>
      </c>
      <c r="F903" s="15" t="str">
        <f t="shared" si="14"/>
        <v>1204-262294-44746</v>
      </c>
    </row>
    <row r="904" spans="1:6" ht="14.25" customHeight="1" x14ac:dyDescent="0.25">
      <c r="A904" s="15" t="s">
        <v>1044</v>
      </c>
      <c r="B904" s="27">
        <v>1204</v>
      </c>
      <c r="C904" s="27">
        <v>262294</v>
      </c>
      <c r="D904" s="28">
        <v>44753</v>
      </c>
      <c r="E904" s="29">
        <v>34</v>
      </c>
      <c r="F904" s="15" t="str">
        <f t="shared" si="14"/>
        <v>1204-262294-44753</v>
      </c>
    </row>
    <row r="905" spans="1:6" ht="14.25" customHeight="1" x14ac:dyDescent="0.25">
      <c r="A905" s="15" t="s">
        <v>1045</v>
      </c>
      <c r="B905" s="27">
        <v>1204</v>
      </c>
      <c r="C905" s="27">
        <v>262294</v>
      </c>
      <c r="D905" s="28">
        <v>44760</v>
      </c>
      <c r="E905" s="29">
        <v>12</v>
      </c>
      <c r="F905" s="15" t="str">
        <f t="shared" si="14"/>
        <v>1204-262294-44760</v>
      </c>
    </row>
    <row r="906" spans="1:6" ht="14.25" customHeight="1" x14ac:dyDescent="0.25">
      <c r="A906" s="15" t="s">
        <v>1046</v>
      </c>
      <c r="B906" s="27">
        <v>1204</v>
      </c>
      <c r="C906" s="27">
        <v>262294</v>
      </c>
      <c r="D906" s="28">
        <v>44767</v>
      </c>
      <c r="E906" s="29">
        <v>8</v>
      </c>
      <c r="F906" s="15" t="str">
        <f t="shared" si="14"/>
        <v>1204-262294-44767</v>
      </c>
    </row>
    <row r="907" spans="1:6" ht="14.25" customHeight="1" x14ac:dyDescent="0.25">
      <c r="A907" s="15" t="s">
        <v>1047</v>
      </c>
      <c r="B907" s="27">
        <v>1204</v>
      </c>
      <c r="C907" s="27">
        <v>262294</v>
      </c>
      <c r="D907" s="28">
        <v>44774</v>
      </c>
      <c r="E907" s="29">
        <v>50</v>
      </c>
      <c r="F907" s="15" t="str">
        <f t="shared" si="14"/>
        <v>1204-262294-44774</v>
      </c>
    </row>
    <row r="908" spans="1:6" ht="14.25" customHeight="1" x14ac:dyDescent="0.25">
      <c r="A908" s="15" t="s">
        <v>1048</v>
      </c>
      <c r="B908" s="27">
        <v>1204</v>
      </c>
      <c r="C908" s="27">
        <v>262294</v>
      </c>
      <c r="D908" s="28">
        <v>44781</v>
      </c>
      <c r="E908" s="29">
        <v>43</v>
      </c>
      <c r="F908" s="15" t="str">
        <f t="shared" si="14"/>
        <v>1204-262294-44781</v>
      </c>
    </row>
    <row r="909" spans="1:6" ht="14.25" customHeight="1" x14ac:dyDescent="0.25">
      <c r="A909" s="15" t="s">
        <v>1049</v>
      </c>
      <c r="B909" s="27">
        <v>1204</v>
      </c>
      <c r="C909" s="27">
        <v>262294</v>
      </c>
      <c r="D909" s="28">
        <v>44788</v>
      </c>
      <c r="E909" s="29">
        <v>38</v>
      </c>
      <c r="F909" s="15" t="str">
        <f t="shared" si="14"/>
        <v>1204-262294-44788</v>
      </c>
    </row>
    <row r="910" spans="1:6" ht="14.25" customHeight="1" x14ac:dyDescent="0.25">
      <c r="A910" s="15" t="s">
        <v>1050</v>
      </c>
      <c r="B910" s="27">
        <v>1204</v>
      </c>
      <c r="C910" s="27">
        <v>268831</v>
      </c>
      <c r="D910" s="28">
        <v>44739</v>
      </c>
      <c r="E910" s="29">
        <v>193</v>
      </c>
      <c r="F910" s="15" t="str">
        <f t="shared" si="14"/>
        <v>1204-268831-44739</v>
      </c>
    </row>
    <row r="911" spans="1:6" ht="14.25" customHeight="1" x14ac:dyDescent="0.25">
      <c r="A911" s="15" t="s">
        <v>1051</v>
      </c>
      <c r="B911" s="27">
        <v>1204</v>
      </c>
      <c r="C911" s="27">
        <v>268831</v>
      </c>
      <c r="D911" s="28">
        <v>44746</v>
      </c>
      <c r="E911" s="29">
        <v>234</v>
      </c>
      <c r="F911" s="15" t="str">
        <f t="shared" si="14"/>
        <v>1204-268831-44746</v>
      </c>
    </row>
    <row r="912" spans="1:6" ht="14.25" customHeight="1" x14ac:dyDescent="0.25">
      <c r="A912" s="15" t="s">
        <v>1052</v>
      </c>
      <c r="B912" s="27">
        <v>1204</v>
      </c>
      <c r="C912" s="27">
        <v>268831</v>
      </c>
      <c r="D912" s="28">
        <v>44753</v>
      </c>
      <c r="E912" s="29">
        <v>194</v>
      </c>
      <c r="F912" s="15" t="str">
        <f t="shared" si="14"/>
        <v>1204-268831-44753</v>
      </c>
    </row>
    <row r="913" spans="1:6" ht="14.25" customHeight="1" x14ac:dyDescent="0.25">
      <c r="A913" s="15" t="s">
        <v>1053</v>
      </c>
      <c r="B913" s="27">
        <v>1204</v>
      </c>
      <c r="C913" s="27">
        <v>268831</v>
      </c>
      <c r="D913" s="28">
        <v>44760</v>
      </c>
      <c r="E913" s="29">
        <v>187</v>
      </c>
      <c r="F913" s="15" t="str">
        <f t="shared" si="14"/>
        <v>1204-268831-44760</v>
      </c>
    </row>
    <row r="914" spans="1:6" ht="14.25" customHeight="1" x14ac:dyDescent="0.25">
      <c r="A914" s="15" t="s">
        <v>1054</v>
      </c>
      <c r="B914" s="27">
        <v>1204</v>
      </c>
      <c r="C914" s="27">
        <v>268831</v>
      </c>
      <c r="D914" s="28">
        <v>44767</v>
      </c>
      <c r="E914" s="29">
        <v>127</v>
      </c>
      <c r="F914" s="15" t="str">
        <f t="shared" si="14"/>
        <v>1204-268831-44767</v>
      </c>
    </row>
    <row r="915" spans="1:6" ht="14.25" customHeight="1" x14ac:dyDescent="0.25">
      <c r="A915" s="15" t="s">
        <v>1055</v>
      </c>
      <c r="B915" s="27">
        <v>1204</v>
      </c>
      <c r="C915" s="27">
        <v>268831</v>
      </c>
      <c r="D915" s="28">
        <v>44774</v>
      </c>
      <c r="E915" s="29">
        <v>203</v>
      </c>
      <c r="F915" s="15" t="str">
        <f t="shared" si="14"/>
        <v>1204-268831-44774</v>
      </c>
    </row>
    <row r="916" spans="1:6" ht="14.25" customHeight="1" x14ac:dyDescent="0.25">
      <c r="A916" s="15" t="s">
        <v>1056</v>
      </c>
      <c r="B916" s="27">
        <v>1204</v>
      </c>
      <c r="C916" s="27">
        <v>268831</v>
      </c>
      <c r="D916" s="28">
        <v>44781</v>
      </c>
      <c r="E916" s="29">
        <v>203</v>
      </c>
      <c r="F916" s="15" t="str">
        <f t="shared" si="14"/>
        <v>1204-268831-44781</v>
      </c>
    </row>
    <row r="917" spans="1:6" ht="14.25" customHeight="1" x14ac:dyDescent="0.25">
      <c r="A917" s="15" t="s">
        <v>1057</v>
      </c>
      <c r="B917" s="27">
        <v>1204</v>
      </c>
      <c r="C917" s="27">
        <v>268831</v>
      </c>
      <c r="D917" s="28">
        <v>44788</v>
      </c>
      <c r="E917" s="29">
        <v>224</v>
      </c>
      <c r="F917" s="15" t="str">
        <f t="shared" si="14"/>
        <v>1204-268831-44788</v>
      </c>
    </row>
    <row r="918" spans="1:6" ht="14.25" customHeight="1" x14ac:dyDescent="0.25">
      <c r="A918" s="15" t="s">
        <v>1058</v>
      </c>
      <c r="B918" s="27">
        <v>1204</v>
      </c>
      <c r="C918" s="27">
        <v>273701</v>
      </c>
      <c r="D918" s="28">
        <v>44739</v>
      </c>
      <c r="E918" s="29">
        <v>60</v>
      </c>
      <c r="F918" s="15" t="str">
        <f t="shared" si="14"/>
        <v>1204-273701-44739</v>
      </c>
    </row>
    <row r="919" spans="1:6" ht="14.25" customHeight="1" x14ac:dyDescent="0.25">
      <c r="A919" s="15" t="s">
        <v>1059</v>
      </c>
      <c r="B919" s="27">
        <v>1204</v>
      </c>
      <c r="C919" s="27">
        <v>273701</v>
      </c>
      <c r="D919" s="28">
        <v>44746</v>
      </c>
      <c r="E919" s="29">
        <v>21</v>
      </c>
      <c r="F919" s="15" t="str">
        <f t="shared" si="14"/>
        <v>1204-273701-44746</v>
      </c>
    </row>
    <row r="920" spans="1:6" ht="14.25" customHeight="1" x14ac:dyDescent="0.25">
      <c r="A920" s="15" t="s">
        <v>1060</v>
      </c>
      <c r="B920" s="27">
        <v>1204</v>
      </c>
      <c r="C920" s="27">
        <v>273701</v>
      </c>
      <c r="D920" s="28">
        <v>44753</v>
      </c>
      <c r="E920" s="29">
        <v>24</v>
      </c>
      <c r="F920" s="15" t="str">
        <f t="shared" si="14"/>
        <v>1204-273701-44753</v>
      </c>
    </row>
    <row r="921" spans="1:6" ht="14.25" customHeight="1" x14ac:dyDescent="0.25">
      <c r="A921" s="15" t="s">
        <v>1061</v>
      </c>
      <c r="B921" s="27">
        <v>1204</v>
      </c>
      <c r="C921" s="27">
        <v>273701</v>
      </c>
      <c r="D921" s="28">
        <v>44760</v>
      </c>
      <c r="E921" s="29">
        <v>70</v>
      </c>
      <c r="F921" s="15" t="str">
        <f t="shared" si="14"/>
        <v>1204-273701-44760</v>
      </c>
    </row>
    <row r="922" spans="1:6" ht="14.25" customHeight="1" x14ac:dyDescent="0.25">
      <c r="A922" s="15" t="s">
        <v>1062</v>
      </c>
      <c r="B922" s="27">
        <v>1204</v>
      </c>
      <c r="C922" s="27">
        <v>273701</v>
      </c>
      <c r="D922" s="28">
        <v>44767</v>
      </c>
      <c r="E922" s="29">
        <v>28</v>
      </c>
      <c r="F922" s="15" t="str">
        <f t="shared" si="14"/>
        <v>1204-273701-44767</v>
      </c>
    </row>
    <row r="923" spans="1:6" ht="14.25" customHeight="1" x14ac:dyDescent="0.25">
      <c r="A923" s="15" t="s">
        <v>1063</v>
      </c>
      <c r="B923" s="27">
        <v>1204</v>
      </c>
      <c r="C923" s="27">
        <v>273701</v>
      </c>
      <c r="D923" s="28">
        <v>44774</v>
      </c>
      <c r="E923" s="29">
        <v>49</v>
      </c>
      <c r="F923" s="15" t="str">
        <f t="shared" si="14"/>
        <v>1204-273701-44774</v>
      </c>
    </row>
    <row r="924" spans="1:6" ht="14.25" customHeight="1" x14ac:dyDescent="0.25">
      <c r="A924" s="15" t="s">
        <v>1064</v>
      </c>
      <c r="B924" s="27">
        <v>1204</v>
      </c>
      <c r="C924" s="27">
        <v>273701</v>
      </c>
      <c r="D924" s="28">
        <v>44781</v>
      </c>
      <c r="E924" s="29">
        <v>39</v>
      </c>
      <c r="F924" s="15" t="str">
        <f t="shared" si="14"/>
        <v>1204-273701-44781</v>
      </c>
    </row>
    <row r="925" spans="1:6" ht="14.25" customHeight="1" x14ac:dyDescent="0.25">
      <c r="A925" s="15" t="s">
        <v>1065</v>
      </c>
      <c r="B925" s="27">
        <v>1204</v>
      </c>
      <c r="C925" s="27">
        <v>273701</v>
      </c>
      <c r="D925" s="28">
        <v>44788</v>
      </c>
      <c r="E925" s="29">
        <v>55</v>
      </c>
      <c r="F925" s="15" t="str">
        <f t="shared" si="14"/>
        <v>1204-273701-44788</v>
      </c>
    </row>
    <row r="926" spans="1:6" ht="14.25" customHeight="1" x14ac:dyDescent="0.25">
      <c r="A926" s="15" t="s">
        <v>1066</v>
      </c>
      <c r="B926" s="27">
        <v>1204</v>
      </c>
      <c r="C926" s="27">
        <v>291726</v>
      </c>
      <c r="D926" s="28">
        <v>44739</v>
      </c>
      <c r="E926" s="29">
        <v>6</v>
      </c>
      <c r="F926" s="15" t="str">
        <f t="shared" si="14"/>
        <v>1204-291726-44739</v>
      </c>
    </row>
    <row r="927" spans="1:6" ht="14.25" customHeight="1" x14ac:dyDescent="0.25">
      <c r="A927" s="15" t="s">
        <v>1067</v>
      </c>
      <c r="B927" s="27">
        <v>1204</v>
      </c>
      <c r="C927" s="27">
        <v>291726</v>
      </c>
      <c r="D927" s="28">
        <v>44746</v>
      </c>
      <c r="E927" s="29">
        <v>6</v>
      </c>
      <c r="F927" s="15" t="str">
        <f t="shared" si="14"/>
        <v>1204-291726-44746</v>
      </c>
    </row>
    <row r="928" spans="1:6" ht="14.25" customHeight="1" x14ac:dyDescent="0.25">
      <c r="A928" s="15" t="s">
        <v>1068</v>
      </c>
      <c r="B928" s="27">
        <v>1204</v>
      </c>
      <c r="C928" s="27">
        <v>291726</v>
      </c>
      <c r="D928" s="28">
        <v>44753</v>
      </c>
      <c r="E928" s="29">
        <v>6</v>
      </c>
      <c r="F928" s="15" t="str">
        <f t="shared" si="14"/>
        <v>1204-291726-44753</v>
      </c>
    </row>
    <row r="929" spans="1:6" ht="14.25" customHeight="1" x14ac:dyDescent="0.25">
      <c r="A929" s="15" t="s">
        <v>1069</v>
      </c>
      <c r="B929" s="27">
        <v>1204</v>
      </c>
      <c r="C929" s="27">
        <v>291726</v>
      </c>
      <c r="D929" s="28">
        <v>44760</v>
      </c>
      <c r="E929" s="29">
        <v>6</v>
      </c>
      <c r="F929" s="15" t="str">
        <f t="shared" si="14"/>
        <v>1204-291726-44760</v>
      </c>
    </row>
    <row r="930" spans="1:6" ht="14.25" customHeight="1" x14ac:dyDescent="0.25">
      <c r="A930" s="15" t="s">
        <v>1070</v>
      </c>
      <c r="B930" s="27">
        <v>1204</v>
      </c>
      <c r="C930" s="27">
        <v>291726</v>
      </c>
      <c r="D930" s="28">
        <v>44767</v>
      </c>
      <c r="E930" s="29">
        <v>6</v>
      </c>
      <c r="F930" s="15" t="str">
        <f t="shared" si="14"/>
        <v>1204-291726-44767</v>
      </c>
    </row>
    <row r="931" spans="1:6" ht="14.25" customHeight="1" x14ac:dyDescent="0.25">
      <c r="A931" s="15" t="s">
        <v>1071</v>
      </c>
      <c r="B931" s="27">
        <v>1204</v>
      </c>
      <c r="C931" s="27">
        <v>291726</v>
      </c>
      <c r="D931" s="28">
        <v>44774</v>
      </c>
      <c r="E931" s="29">
        <v>6</v>
      </c>
      <c r="F931" s="15" t="str">
        <f t="shared" si="14"/>
        <v>1204-291726-44774</v>
      </c>
    </row>
    <row r="932" spans="1:6" ht="14.25" customHeight="1" x14ac:dyDescent="0.25">
      <c r="A932" s="15" t="s">
        <v>1072</v>
      </c>
      <c r="B932" s="27">
        <v>1204</v>
      </c>
      <c r="C932" s="27">
        <v>291726</v>
      </c>
      <c r="D932" s="28">
        <v>44781</v>
      </c>
      <c r="E932" s="29">
        <v>6</v>
      </c>
      <c r="F932" s="15" t="str">
        <f t="shared" si="14"/>
        <v>1204-291726-44781</v>
      </c>
    </row>
    <row r="933" spans="1:6" ht="14.25" customHeight="1" x14ac:dyDescent="0.25">
      <c r="A933" s="15" t="s">
        <v>1073</v>
      </c>
      <c r="B933" s="27">
        <v>1204</v>
      </c>
      <c r="C933" s="27">
        <v>291726</v>
      </c>
      <c r="D933" s="28">
        <v>44788</v>
      </c>
      <c r="E933" s="29">
        <v>6</v>
      </c>
      <c r="F933" s="15" t="str">
        <f t="shared" si="14"/>
        <v>1204-291726-44788</v>
      </c>
    </row>
    <row r="934" spans="1:6" ht="14.25" customHeight="1" x14ac:dyDescent="0.25">
      <c r="A934" s="15" t="s">
        <v>1074</v>
      </c>
      <c r="B934" s="27">
        <v>1204</v>
      </c>
      <c r="C934" s="27">
        <v>291728</v>
      </c>
      <c r="D934" s="28">
        <v>44739</v>
      </c>
      <c r="E934" s="29">
        <v>32</v>
      </c>
      <c r="F934" s="15" t="str">
        <f t="shared" si="14"/>
        <v>1204-291728-44739</v>
      </c>
    </row>
    <row r="935" spans="1:6" ht="14.25" customHeight="1" x14ac:dyDescent="0.25">
      <c r="A935" s="15" t="s">
        <v>1075</v>
      </c>
      <c r="B935" s="27">
        <v>1204</v>
      </c>
      <c r="C935" s="27">
        <v>291728</v>
      </c>
      <c r="D935" s="28">
        <v>44746</v>
      </c>
      <c r="E935" s="29">
        <v>38</v>
      </c>
      <c r="F935" s="15" t="str">
        <f t="shared" si="14"/>
        <v>1204-291728-44746</v>
      </c>
    </row>
    <row r="936" spans="1:6" ht="14.25" customHeight="1" x14ac:dyDescent="0.25">
      <c r="A936" s="15" t="s">
        <v>1076</v>
      </c>
      <c r="B936" s="27">
        <v>1204</v>
      </c>
      <c r="C936" s="27">
        <v>291728</v>
      </c>
      <c r="D936" s="28">
        <v>44753</v>
      </c>
      <c r="E936" s="29">
        <v>28</v>
      </c>
      <c r="F936" s="15" t="str">
        <f t="shared" si="14"/>
        <v>1204-291728-44753</v>
      </c>
    </row>
    <row r="937" spans="1:6" ht="14.25" customHeight="1" x14ac:dyDescent="0.25">
      <c r="A937" s="15" t="s">
        <v>1077</v>
      </c>
      <c r="B937" s="27">
        <v>1204</v>
      </c>
      <c r="C937" s="27">
        <v>291728</v>
      </c>
      <c r="D937" s="28">
        <v>44760</v>
      </c>
      <c r="E937" s="29">
        <v>32</v>
      </c>
      <c r="F937" s="15" t="str">
        <f t="shared" si="14"/>
        <v>1204-291728-44760</v>
      </c>
    </row>
    <row r="938" spans="1:6" ht="14.25" customHeight="1" x14ac:dyDescent="0.25">
      <c r="A938" s="15" t="s">
        <v>1078</v>
      </c>
      <c r="B938" s="27">
        <v>1204</v>
      </c>
      <c r="C938" s="27">
        <v>291728</v>
      </c>
      <c r="D938" s="28">
        <v>44767</v>
      </c>
      <c r="E938" s="29">
        <v>40</v>
      </c>
      <c r="F938" s="15" t="str">
        <f t="shared" si="14"/>
        <v>1204-291728-44767</v>
      </c>
    </row>
    <row r="939" spans="1:6" ht="14.25" customHeight="1" x14ac:dyDescent="0.25">
      <c r="A939" s="15" t="s">
        <v>1079</v>
      </c>
      <c r="B939" s="27">
        <v>1204</v>
      </c>
      <c r="C939" s="27">
        <v>291728</v>
      </c>
      <c r="D939" s="28">
        <v>44774</v>
      </c>
      <c r="E939" s="29">
        <v>36</v>
      </c>
      <c r="F939" s="15" t="str">
        <f t="shared" si="14"/>
        <v>1204-291728-44774</v>
      </c>
    </row>
    <row r="940" spans="1:6" ht="14.25" customHeight="1" x14ac:dyDescent="0.25">
      <c r="A940" s="15" t="s">
        <v>1080</v>
      </c>
      <c r="B940" s="27">
        <v>1204</v>
      </c>
      <c r="C940" s="27">
        <v>291728</v>
      </c>
      <c r="D940" s="28">
        <v>44781</v>
      </c>
      <c r="E940" s="29">
        <v>10</v>
      </c>
      <c r="F940" s="15" t="str">
        <f t="shared" si="14"/>
        <v>1204-291728-44781</v>
      </c>
    </row>
    <row r="941" spans="1:6" ht="14.25" customHeight="1" x14ac:dyDescent="0.25">
      <c r="A941" s="15" t="s">
        <v>1081</v>
      </c>
      <c r="B941" s="27">
        <v>1204</v>
      </c>
      <c r="C941" s="27">
        <v>291728</v>
      </c>
      <c r="D941" s="28">
        <v>44788</v>
      </c>
      <c r="E941" s="29">
        <v>27</v>
      </c>
      <c r="F941" s="15" t="str">
        <f t="shared" si="14"/>
        <v>1204-291728-44788</v>
      </c>
    </row>
    <row r="942" spans="1:6" ht="14.25" customHeight="1" x14ac:dyDescent="0.25">
      <c r="A942" s="15" t="s">
        <v>1082</v>
      </c>
      <c r="B942" s="27">
        <v>1204</v>
      </c>
      <c r="C942" s="27">
        <v>300380</v>
      </c>
      <c r="D942" s="28">
        <v>44739</v>
      </c>
      <c r="E942" s="29">
        <v>111</v>
      </c>
      <c r="F942" s="15" t="str">
        <f t="shared" si="14"/>
        <v>1204-300380-44739</v>
      </c>
    </row>
    <row r="943" spans="1:6" ht="14.25" customHeight="1" x14ac:dyDescent="0.25">
      <c r="A943" s="15" t="s">
        <v>1083</v>
      </c>
      <c r="B943" s="27">
        <v>1204</v>
      </c>
      <c r="C943" s="27">
        <v>300380</v>
      </c>
      <c r="D943" s="28">
        <v>44746</v>
      </c>
      <c r="E943" s="29">
        <v>28</v>
      </c>
      <c r="F943" s="15" t="str">
        <f t="shared" si="14"/>
        <v>1204-300380-44746</v>
      </c>
    </row>
    <row r="944" spans="1:6" ht="14.25" customHeight="1" x14ac:dyDescent="0.25">
      <c r="A944" s="15" t="s">
        <v>1084</v>
      </c>
      <c r="B944" s="27">
        <v>1204</v>
      </c>
      <c r="C944" s="27">
        <v>300380</v>
      </c>
      <c r="D944" s="28">
        <v>44753</v>
      </c>
      <c r="E944" s="29">
        <v>25</v>
      </c>
      <c r="F944" s="15" t="str">
        <f t="shared" si="14"/>
        <v>1204-300380-44753</v>
      </c>
    </row>
    <row r="945" spans="1:6" ht="14.25" customHeight="1" x14ac:dyDescent="0.25">
      <c r="A945" s="15" t="s">
        <v>1085</v>
      </c>
      <c r="B945" s="27">
        <v>1204</v>
      </c>
      <c r="C945" s="27">
        <v>300380</v>
      </c>
      <c r="D945" s="28">
        <v>44760</v>
      </c>
      <c r="E945" s="29">
        <v>22</v>
      </c>
      <c r="F945" s="15" t="str">
        <f t="shared" si="14"/>
        <v>1204-300380-44760</v>
      </c>
    </row>
    <row r="946" spans="1:6" ht="14.25" customHeight="1" x14ac:dyDescent="0.25">
      <c r="A946" s="15" t="s">
        <v>1086</v>
      </c>
      <c r="B946" s="27">
        <v>1204</v>
      </c>
      <c r="C946" s="27">
        <v>300380</v>
      </c>
      <c r="D946" s="28">
        <v>44767</v>
      </c>
      <c r="E946" s="29">
        <v>69</v>
      </c>
      <c r="F946" s="15" t="str">
        <f t="shared" si="14"/>
        <v>1204-300380-44767</v>
      </c>
    </row>
    <row r="947" spans="1:6" ht="14.25" customHeight="1" x14ac:dyDescent="0.25">
      <c r="A947" s="15" t="s">
        <v>1087</v>
      </c>
      <c r="B947" s="30">
        <v>1204</v>
      </c>
      <c r="C947" s="27">
        <v>300380</v>
      </c>
      <c r="D947" s="28">
        <v>44774</v>
      </c>
      <c r="E947" s="29">
        <v>91</v>
      </c>
      <c r="F947" s="15" t="str">
        <f t="shared" si="14"/>
        <v>1204-300380-44774</v>
      </c>
    </row>
    <row r="948" spans="1:6" ht="14.25" customHeight="1" x14ac:dyDescent="0.25">
      <c r="A948" s="15" t="s">
        <v>1088</v>
      </c>
      <c r="B948" s="27">
        <v>1204</v>
      </c>
      <c r="C948" s="27">
        <v>300380</v>
      </c>
      <c r="D948" s="28">
        <v>44781</v>
      </c>
      <c r="E948" s="29">
        <v>70</v>
      </c>
      <c r="F948" s="15" t="str">
        <f t="shared" si="14"/>
        <v>1204-300380-44781</v>
      </c>
    </row>
    <row r="949" spans="1:6" ht="14.25" customHeight="1" x14ac:dyDescent="0.25">
      <c r="A949" s="15" t="s">
        <v>1089</v>
      </c>
      <c r="B949" s="27">
        <v>1204</v>
      </c>
      <c r="C949" s="27">
        <v>300380</v>
      </c>
      <c r="D949" s="28">
        <v>44788</v>
      </c>
      <c r="E949" s="29">
        <v>25</v>
      </c>
      <c r="F949" s="15" t="str">
        <f t="shared" si="14"/>
        <v>1204-300380-44788</v>
      </c>
    </row>
    <row r="950" spans="1:6" ht="14.25" customHeight="1" x14ac:dyDescent="0.25">
      <c r="A950" s="15" t="s">
        <v>1090</v>
      </c>
      <c r="B950" s="27">
        <v>1204</v>
      </c>
      <c r="C950" s="27">
        <v>571521</v>
      </c>
      <c r="D950" s="28">
        <v>44739</v>
      </c>
      <c r="E950" s="29">
        <v>57</v>
      </c>
      <c r="F950" s="15" t="str">
        <f t="shared" si="14"/>
        <v>1204-571521-44739</v>
      </c>
    </row>
    <row r="951" spans="1:6" ht="14.25" customHeight="1" x14ac:dyDescent="0.25">
      <c r="A951" s="15" t="s">
        <v>1091</v>
      </c>
      <c r="B951" s="27">
        <v>1204</v>
      </c>
      <c r="C951" s="27">
        <v>571521</v>
      </c>
      <c r="D951" s="28">
        <v>44746</v>
      </c>
      <c r="E951" s="29">
        <v>256</v>
      </c>
      <c r="F951" s="15" t="str">
        <f t="shared" si="14"/>
        <v>1204-571521-44746</v>
      </c>
    </row>
    <row r="952" spans="1:6" ht="14.25" customHeight="1" x14ac:dyDescent="0.25">
      <c r="A952" s="15" t="s">
        <v>1092</v>
      </c>
      <c r="B952" s="27">
        <v>1204</v>
      </c>
      <c r="C952" s="27">
        <v>571521</v>
      </c>
      <c r="D952" s="28">
        <v>44753</v>
      </c>
      <c r="E952" s="29">
        <v>170</v>
      </c>
      <c r="F952" s="15" t="str">
        <f t="shared" si="14"/>
        <v>1204-571521-44753</v>
      </c>
    </row>
    <row r="953" spans="1:6" ht="14.25" customHeight="1" x14ac:dyDescent="0.25">
      <c r="A953" s="15" t="s">
        <v>1093</v>
      </c>
      <c r="B953" s="27">
        <v>1204</v>
      </c>
      <c r="C953" s="27">
        <v>571521</v>
      </c>
      <c r="D953" s="28">
        <v>44760</v>
      </c>
      <c r="E953" s="29">
        <v>62</v>
      </c>
      <c r="F953" s="15" t="str">
        <f t="shared" si="14"/>
        <v>1204-571521-44760</v>
      </c>
    </row>
    <row r="954" spans="1:6" ht="14.25" customHeight="1" x14ac:dyDescent="0.25">
      <c r="A954" s="15" t="s">
        <v>1094</v>
      </c>
      <c r="B954" s="27">
        <v>1204</v>
      </c>
      <c r="C954" s="27">
        <v>571521</v>
      </c>
      <c r="D954" s="28">
        <v>44767</v>
      </c>
      <c r="E954" s="29">
        <v>192</v>
      </c>
      <c r="F954" s="15" t="str">
        <f t="shared" si="14"/>
        <v>1204-571521-44767</v>
      </c>
    </row>
    <row r="955" spans="1:6" ht="14.25" customHeight="1" x14ac:dyDescent="0.25">
      <c r="A955" s="15" t="s">
        <v>1095</v>
      </c>
      <c r="B955" s="27">
        <v>1204</v>
      </c>
      <c r="C955" s="27">
        <v>571521</v>
      </c>
      <c r="D955" s="28">
        <v>44774</v>
      </c>
      <c r="E955" s="29">
        <v>58</v>
      </c>
      <c r="F955" s="15" t="str">
        <f t="shared" si="14"/>
        <v>1204-571521-44774</v>
      </c>
    </row>
    <row r="956" spans="1:6" ht="14.25" customHeight="1" x14ac:dyDescent="0.25">
      <c r="A956" s="15" t="s">
        <v>1096</v>
      </c>
      <c r="B956" s="27">
        <v>1204</v>
      </c>
      <c r="C956" s="27">
        <v>571521</v>
      </c>
      <c r="D956" s="28">
        <v>44781</v>
      </c>
      <c r="E956" s="29">
        <v>213</v>
      </c>
      <c r="F956" s="15" t="str">
        <f t="shared" si="14"/>
        <v>1204-571521-44781</v>
      </c>
    </row>
    <row r="957" spans="1:6" ht="14.25" customHeight="1" x14ac:dyDescent="0.25">
      <c r="A957" s="15" t="s">
        <v>1097</v>
      </c>
      <c r="B957" s="27">
        <v>1204</v>
      </c>
      <c r="C957" s="27">
        <v>571521</v>
      </c>
      <c r="D957" s="28">
        <v>44788</v>
      </c>
      <c r="E957" s="29">
        <v>64</v>
      </c>
      <c r="F957" s="15" t="str">
        <f t="shared" si="14"/>
        <v>1204-571521-44788</v>
      </c>
    </row>
    <row r="958" spans="1:6" ht="14.25" customHeight="1" x14ac:dyDescent="0.25">
      <c r="A958" s="15" t="s">
        <v>1098</v>
      </c>
      <c r="B958" s="27">
        <v>1204</v>
      </c>
      <c r="C958" s="27">
        <v>614993</v>
      </c>
      <c r="D958" s="28">
        <v>44739</v>
      </c>
      <c r="E958" s="29">
        <v>46</v>
      </c>
      <c r="F958" s="15" t="str">
        <f t="shared" si="14"/>
        <v>1204-614993-44739</v>
      </c>
    </row>
    <row r="959" spans="1:6" ht="14.25" customHeight="1" x14ac:dyDescent="0.25">
      <c r="A959" s="15" t="s">
        <v>1099</v>
      </c>
      <c r="B959" s="27">
        <v>1204</v>
      </c>
      <c r="C959" s="27">
        <v>614993</v>
      </c>
      <c r="D959" s="28">
        <v>44746</v>
      </c>
      <c r="E959" s="29">
        <v>50</v>
      </c>
      <c r="F959" s="15" t="str">
        <f t="shared" si="14"/>
        <v>1204-614993-44746</v>
      </c>
    </row>
    <row r="960" spans="1:6" ht="14.25" customHeight="1" x14ac:dyDescent="0.25">
      <c r="A960" s="15" t="s">
        <v>1100</v>
      </c>
      <c r="B960" s="27">
        <v>1204</v>
      </c>
      <c r="C960" s="27">
        <v>614993</v>
      </c>
      <c r="D960" s="28">
        <v>44753</v>
      </c>
      <c r="E960" s="29">
        <v>46</v>
      </c>
      <c r="F960" s="15" t="str">
        <f t="shared" si="14"/>
        <v>1204-614993-44753</v>
      </c>
    </row>
    <row r="961" spans="1:6" ht="14.25" customHeight="1" x14ac:dyDescent="0.25">
      <c r="A961" s="15" t="s">
        <v>1101</v>
      </c>
      <c r="B961" s="27">
        <v>1204</v>
      </c>
      <c r="C961" s="27">
        <v>614993</v>
      </c>
      <c r="D961" s="28">
        <v>44760</v>
      </c>
      <c r="E961" s="29">
        <v>42</v>
      </c>
      <c r="F961" s="15" t="str">
        <f t="shared" si="14"/>
        <v>1204-614993-44760</v>
      </c>
    </row>
    <row r="962" spans="1:6" ht="14.25" customHeight="1" x14ac:dyDescent="0.25">
      <c r="A962" s="15" t="s">
        <v>1102</v>
      </c>
      <c r="B962" s="27">
        <v>1204</v>
      </c>
      <c r="C962" s="27">
        <v>614993</v>
      </c>
      <c r="D962" s="28">
        <v>44767</v>
      </c>
      <c r="E962" s="29">
        <v>44</v>
      </c>
      <c r="F962" s="15" t="str">
        <f t="shared" si="14"/>
        <v>1204-614993-44767</v>
      </c>
    </row>
    <row r="963" spans="1:6" ht="14.25" customHeight="1" x14ac:dyDescent="0.25">
      <c r="A963" s="15" t="s">
        <v>1103</v>
      </c>
      <c r="B963" s="27">
        <v>1204</v>
      </c>
      <c r="C963" s="27">
        <v>614993</v>
      </c>
      <c r="D963" s="28">
        <v>44774</v>
      </c>
      <c r="E963" s="29">
        <v>31</v>
      </c>
      <c r="F963" s="15" t="str">
        <f t="shared" ref="F963:F1026" si="15">B963&amp;"-"&amp;C963&amp;"-"&amp;INT(D963)</f>
        <v>1204-614993-44774</v>
      </c>
    </row>
    <row r="964" spans="1:6" ht="14.25" customHeight="1" x14ac:dyDescent="0.25">
      <c r="A964" s="15" t="s">
        <v>1104</v>
      </c>
      <c r="B964" s="27">
        <v>1204</v>
      </c>
      <c r="C964" s="27">
        <v>614993</v>
      </c>
      <c r="D964" s="28">
        <v>44781</v>
      </c>
      <c r="E964" s="29">
        <v>44</v>
      </c>
      <c r="F964" s="15" t="str">
        <f t="shared" si="15"/>
        <v>1204-614993-44781</v>
      </c>
    </row>
    <row r="965" spans="1:6" ht="14.25" customHeight="1" x14ac:dyDescent="0.25">
      <c r="A965" s="15" t="s">
        <v>1105</v>
      </c>
      <c r="B965" s="27">
        <v>1204</v>
      </c>
      <c r="C965" s="27">
        <v>614993</v>
      </c>
      <c r="D965" s="28">
        <v>44788</v>
      </c>
      <c r="E965" s="29">
        <v>50</v>
      </c>
      <c r="F965" s="15" t="str">
        <f t="shared" si="15"/>
        <v>1204-614993-44788</v>
      </c>
    </row>
    <row r="966" spans="1:6" ht="14.25" customHeight="1" x14ac:dyDescent="0.25">
      <c r="A966" s="15" t="s">
        <v>1106</v>
      </c>
      <c r="B966" s="27">
        <v>1205</v>
      </c>
      <c r="C966" s="27">
        <v>23393</v>
      </c>
      <c r="D966" s="28">
        <v>44739</v>
      </c>
      <c r="E966" s="29">
        <v>390</v>
      </c>
      <c r="F966" s="15" t="str">
        <f t="shared" si="15"/>
        <v>1205-23393-44739</v>
      </c>
    </row>
    <row r="967" spans="1:6" ht="14.25" customHeight="1" x14ac:dyDescent="0.25">
      <c r="A967" s="15" t="s">
        <v>1107</v>
      </c>
      <c r="B967" s="27">
        <v>1205</v>
      </c>
      <c r="C967" s="27">
        <v>23393</v>
      </c>
      <c r="D967" s="28">
        <v>44746</v>
      </c>
      <c r="E967" s="29">
        <v>233</v>
      </c>
      <c r="F967" s="15" t="str">
        <f t="shared" si="15"/>
        <v>1205-23393-44746</v>
      </c>
    </row>
    <row r="968" spans="1:6" ht="14.25" customHeight="1" x14ac:dyDescent="0.25">
      <c r="A968" s="15" t="s">
        <v>1108</v>
      </c>
      <c r="B968" s="27">
        <v>1205</v>
      </c>
      <c r="C968" s="27">
        <v>23393</v>
      </c>
      <c r="D968" s="28">
        <v>44753</v>
      </c>
      <c r="E968" s="29">
        <v>446</v>
      </c>
      <c r="F968" s="15" t="str">
        <f t="shared" si="15"/>
        <v>1205-23393-44753</v>
      </c>
    </row>
    <row r="969" spans="1:6" ht="14.25" customHeight="1" x14ac:dyDescent="0.25">
      <c r="A969" s="15" t="s">
        <v>1109</v>
      </c>
      <c r="B969" s="27">
        <v>1205</v>
      </c>
      <c r="C969" s="27">
        <v>23393</v>
      </c>
      <c r="D969" s="28">
        <v>44760</v>
      </c>
      <c r="E969" s="29">
        <v>454</v>
      </c>
      <c r="F969" s="15" t="str">
        <f t="shared" si="15"/>
        <v>1205-23393-44760</v>
      </c>
    </row>
    <row r="970" spans="1:6" ht="14.25" customHeight="1" x14ac:dyDescent="0.25">
      <c r="A970" s="15" t="s">
        <v>1110</v>
      </c>
      <c r="B970" s="27">
        <v>1205</v>
      </c>
      <c r="C970" s="27">
        <v>23393</v>
      </c>
      <c r="D970" s="28">
        <v>44767</v>
      </c>
      <c r="E970" s="29">
        <v>372</v>
      </c>
      <c r="F970" s="15" t="str">
        <f t="shared" si="15"/>
        <v>1205-23393-44767</v>
      </c>
    </row>
    <row r="971" spans="1:6" ht="14.25" customHeight="1" x14ac:dyDescent="0.25">
      <c r="A971" s="15" t="s">
        <v>1111</v>
      </c>
      <c r="B971" s="27">
        <v>1205</v>
      </c>
      <c r="C971" s="27">
        <v>23393</v>
      </c>
      <c r="D971" s="28">
        <v>44774</v>
      </c>
      <c r="E971" s="29">
        <v>235</v>
      </c>
      <c r="F971" s="15" t="str">
        <f t="shared" si="15"/>
        <v>1205-23393-44774</v>
      </c>
    </row>
    <row r="972" spans="1:6" ht="14.25" customHeight="1" x14ac:dyDescent="0.25">
      <c r="A972" s="15" t="s">
        <v>1112</v>
      </c>
      <c r="B972" s="27">
        <v>1205</v>
      </c>
      <c r="C972" s="27">
        <v>23393</v>
      </c>
      <c r="D972" s="28">
        <v>44781</v>
      </c>
      <c r="E972" s="29">
        <v>377</v>
      </c>
      <c r="F972" s="15" t="str">
        <f t="shared" si="15"/>
        <v>1205-23393-44781</v>
      </c>
    </row>
    <row r="973" spans="1:6" ht="14.25" customHeight="1" x14ac:dyDescent="0.25">
      <c r="A973" s="15" t="s">
        <v>1113</v>
      </c>
      <c r="B973" s="27">
        <v>1205</v>
      </c>
      <c r="C973" s="27">
        <v>23393</v>
      </c>
      <c r="D973" s="28">
        <v>44788</v>
      </c>
      <c r="E973" s="29">
        <v>440</v>
      </c>
      <c r="F973" s="15" t="str">
        <f t="shared" si="15"/>
        <v>1205-23393-44788</v>
      </c>
    </row>
    <row r="974" spans="1:6" ht="14.25" customHeight="1" x14ac:dyDescent="0.25">
      <c r="A974" s="15" t="s">
        <v>1114</v>
      </c>
      <c r="B974" s="27">
        <v>1205</v>
      </c>
      <c r="C974" s="27">
        <v>26764</v>
      </c>
      <c r="D974" s="28">
        <v>44739</v>
      </c>
      <c r="E974" s="29">
        <v>333</v>
      </c>
      <c r="F974" s="15" t="str">
        <f t="shared" si="15"/>
        <v>1205-26764-44739</v>
      </c>
    </row>
    <row r="975" spans="1:6" ht="14.25" customHeight="1" x14ac:dyDescent="0.25">
      <c r="A975" s="15" t="s">
        <v>1115</v>
      </c>
      <c r="B975" s="27">
        <v>1205</v>
      </c>
      <c r="C975" s="27">
        <v>26764</v>
      </c>
      <c r="D975" s="28">
        <v>44746</v>
      </c>
      <c r="E975" s="29">
        <v>436</v>
      </c>
      <c r="F975" s="15" t="str">
        <f t="shared" si="15"/>
        <v>1205-26764-44746</v>
      </c>
    </row>
    <row r="976" spans="1:6" ht="14.25" customHeight="1" x14ac:dyDescent="0.25">
      <c r="A976" s="15" t="s">
        <v>1116</v>
      </c>
      <c r="B976" s="27">
        <v>1205</v>
      </c>
      <c r="C976" s="27">
        <v>26764</v>
      </c>
      <c r="D976" s="28">
        <v>44753</v>
      </c>
      <c r="E976" s="29">
        <v>128</v>
      </c>
      <c r="F976" s="15" t="str">
        <f t="shared" si="15"/>
        <v>1205-26764-44753</v>
      </c>
    </row>
    <row r="977" spans="1:6" ht="14.25" customHeight="1" x14ac:dyDescent="0.25">
      <c r="A977" s="15" t="s">
        <v>1117</v>
      </c>
      <c r="B977" s="27">
        <v>1205</v>
      </c>
      <c r="C977" s="27">
        <v>26764</v>
      </c>
      <c r="D977" s="28">
        <v>44760</v>
      </c>
      <c r="E977" s="29">
        <v>122</v>
      </c>
      <c r="F977" s="15" t="str">
        <f t="shared" si="15"/>
        <v>1205-26764-44760</v>
      </c>
    </row>
    <row r="978" spans="1:6" ht="14.25" customHeight="1" x14ac:dyDescent="0.25">
      <c r="A978" s="15" t="s">
        <v>1118</v>
      </c>
      <c r="B978" s="27">
        <v>1205</v>
      </c>
      <c r="C978" s="27">
        <v>26764</v>
      </c>
      <c r="D978" s="28">
        <v>44767</v>
      </c>
      <c r="E978" s="29">
        <v>400</v>
      </c>
      <c r="F978" s="15" t="str">
        <f t="shared" si="15"/>
        <v>1205-26764-44767</v>
      </c>
    </row>
    <row r="979" spans="1:6" ht="14.25" customHeight="1" x14ac:dyDescent="0.25">
      <c r="A979" s="15" t="s">
        <v>1119</v>
      </c>
      <c r="B979" s="27">
        <v>1205</v>
      </c>
      <c r="C979" s="27">
        <v>26764</v>
      </c>
      <c r="D979" s="28">
        <v>44774</v>
      </c>
      <c r="E979" s="29">
        <v>351</v>
      </c>
      <c r="F979" s="15" t="str">
        <f t="shared" si="15"/>
        <v>1205-26764-44774</v>
      </c>
    </row>
    <row r="980" spans="1:6" ht="14.25" customHeight="1" x14ac:dyDescent="0.25">
      <c r="A980" s="15" t="s">
        <v>1120</v>
      </c>
      <c r="B980" s="27">
        <v>1205</v>
      </c>
      <c r="C980" s="27">
        <v>26764</v>
      </c>
      <c r="D980" s="28">
        <v>44781</v>
      </c>
      <c r="E980" s="29">
        <v>122</v>
      </c>
      <c r="F980" s="15" t="str">
        <f t="shared" si="15"/>
        <v>1205-26764-44781</v>
      </c>
    </row>
    <row r="981" spans="1:6" ht="14.25" customHeight="1" x14ac:dyDescent="0.25">
      <c r="A981" s="15" t="s">
        <v>1121</v>
      </c>
      <c r="B981" s="27">
        <v>1205</v>
      </c>
      <c r="C981" s="27">
        <v>26764</v>
      </c>
      <c r="D981" s="28">
        <v>44788</v>
      </c>
      <c r="E981" s="29">
        <v>124</v>
      </c>
      <c r="F981" s="15" t="str">
        <f t="shared" si="15"/>
        <v>1205-26764-44788</v>
      </c>
    </row>
    <row r="982" spans="1:6" ht="14.25" customHeight="1" x14ac:dyDescent="0.25">
      <c r="A982" s="15" t="s">
        <v>1122</v>
      </c>
      <c r="B982" s="27">
        <v>1205</v>
      </c>
      <c r="C982" s="27">
        <v>53934</v>
      </c>
      <c r="D982" s="28">
        <v>44739</v>
      </c>
      <c r="E982" s="29">
        <v>3671</v>
      </c>
      <c r="F982" s="15" t="str">
        <f t="shared" si="15"/>
        <v>1205-53934-44739</v>
      </c>
    </row>
    <row r="983" spans="1:6" ht="14.25" customHeight="1" x14ac:dyDescent="0.25">
      <c r="A983" s="15" t="s">
        <v>1123</v>
      </c>
      <c r="B983" s="27">
        <v>1205</v>
      </c>
      <c r="C983" s="27">
        <v>53934</v>
      </c>
      <c r="D983" s="28">
        <v>44746</v>
      </c>
      <c r="E983" s="29">
        <v>4320</v>
      </c>
      <c r="F983" s="15" t="str">
        <f t="shared" si="15"/>
        <v>1205-53934-44746</v>
      </c>
    </row>
    <row r="984" spans="1:6" ht="14.25" customHeight="1" x14ac:dyDescent="0.25">
      <c r="A984" s="15" t="s">
        <v>1124</v>
      </c>
      <c r="B984" s="27">
        <v>1205</v>
      </c>
      <c r="C984" s="27">
        <v>53934</v>
      </c>
      <c r="D984" s="28">
        <v>44753</v>
      </c>
      <c r="E984" s="29">
        <v>1097</v>
      </c>
      <c r="F984" s="15" t="str">
        <f t="shared" si="15"/>
        <v>1205-53934-44753</v>
      </c>
    </row>
    <row r="985" spans="1:6" ht="14.25" customHeight="1" x14ac:dyDescent="0.25">
      <c r="A985" s="15" t="s">
        <v>1125</v>
      </c>
      <c r="B985" s="27">
        <v>1205</v>
      </c>
      <c r="C985" s="27">
        <v>53934</v>
      </c>
      <c r="D985" s="28">
        <v>44760</v>
      </c>
      <c r="E985" s="29">
        <v>1095</v>
      </c>
      <c r="F985" s="15" t="str">
        <f t="shared" si="15"/>
        <v>1205-53934-44760</v>
      </c>
    </row>
    <row r="986" spans="1:6" ht="14.25" customHeight="1" x14ac:dyDescent="0.25">
      <c r="A986" s="15" t="s">
        <v>1126</v>
      </c>
      <c r="B986" s="27">
        <v>1205</v>
      </c>
      <c r="C986" s="27">
        <v>53934</v>
      </c>
      <c r="D986" s="28">
        <v>44767</v>
      </c>
      <c r="E986" s="29">
        <v>1095</v>
      </c>
      <c r="F986" s="15" t="str">
        <f t="shared" si="15"/>
        <v>1205-53934-44767</v>
      </c>
    </row>
    <row r="987" spans="1:6" ht="14.25" customHeight="1" x14ac:dyDescent="0.25">
      <c r="A987" s="15" t="s">
        <v>1127</v>
      </c>
      <c r="B987" s="27">
        <v>1205</v>
      </c>
      <c r="C987" s="27">
        <v>53934</v>
      </c>
      <c r="D987" s="28">
        <v>44774</v>
      </c>
      <c r="E987" s="29">
        <v>5631</v>
      </c>
      <c r="F987" s="15" t="str">
        <f t="shared" si="15"/>
        <v>1205-53934-44774</v>
      </c>
    </row>
    <row r="988" spans="1:6" ht="14.25" customHeight="1" x14ac:dyDescent="0.25">
      <c r="A988" s="15" t="s">
        <v>1128</v>
      </c>
      <c r="B988" s="27">
        <v>1205</v>
      </c>
      <c r="C988" s="27">
        <v>53934</v>
      </c>
      <c r="D988" s="28">
        <v>44781</v>
      </c>
      <c r="E988" s="29">
        <v>5218</v>
      </c>
      <c r="F988" s="15" t="str">
        <f t="shared" si="15"/>
        <v>1205-53934-44781</v>
      </c>
    </row>
    <row r="989" spans="1:6" ht="14.25" customHeight="1" x14ac:dyDescent="0.25">
      <c r="A989" s="15" t="s">
        <v>1129</v>
      </c>
      <c r="B989" s="27">
        <v>1205</v>
      </c>
      <c r="C989" s="27">
        <v>53934</v>
      </c>
      <c r="D989" s="28">
        <v>44788</v>
      </c>
      <c r="E989" s="29">
        <v>1866</v>
      </c>
      <c r="F989" s="15" t="str">
        <f t="shared" si="15"/>
        <v>1205-53934-44788</v>
      </c>
    </row>
    <row r="990" spans="1:6" ht="14.25" customHeight="1" x14ac:dyDescent="0.25">
      <c r="A990" s="15" t="s">
        <v>1130</v>
      </c>
      <c r="B990" s="27">
        <v>1205</v>
      </c>
      <c r="C990" s="27">
        <v>78699</v>
      </c>
      <c r="D990" s="28">
        <v>44739</v>
      </c>
      <c r="E990" s="29">
        <v>34</v>
      </c>
      <c r="F990" s="15" t="str">
        <f t="shared" si="15"/>
        <v>1205-78699-44739</v>
      </c>
    </row>
    <row r="991" spans="1:6" ht="14.25" customHeight="1" x14ac:dyDescent="0.25">
      <c r="A991" s="15" t="s">
        <v>1131</v>
      </c>
      <c r="B991" s="27">
        <v>1205</v>
      </c>
      <c r="C991" s="27">
        <v>78699</v>
      </c>
      <c r="D991" s="28">
        <v>44746</v>
      </c>
      <c r="E991" s="29">
        <v>31</v>
      </c>
      <c r="F991" s="15" t="str">
        <f t="shared" si="15"/>
        <v>1205-78699-44746</v>
      </c>
    </row>
    <row r="992" spans="1:6" ht="14.25" customHeight="1" x14ac:dyDescent="0.25">
      <c r="A992" s="15" t="s">
        <v>1132</v>
      </c>
      <c r="B992" s="27">
        <v>1205</v>
      </c>
      <c r="C992" s="27">
        <v>78699</v>
      </c>
      <c r="D992" s="28">
        <v>44753</v>
      </c>
      <c r="E992" s="29">
        <v>28</v>
      </c>
      <c r="F992" s="15" t="str">
        <f t="shared" si="15"/>
        <v>1205-78699-44753</v>
      </c>
    </row>
    <row r="993" spans="1:6" ht="14.25" customHeight="1" x14ac:dyDescent="0.25">
      <c r="A993" s="15" t="s">
        <v>1133</v>
      </c>
      <c r="B993" s="27">
        <v>1205</v>
      </c>
      <c r="C993" s="27">
        <v>78699</v>
      </c>
      <c r="D993" s="28">
        <v>44760</v>
      </c>
      <c r="E993" s="29">
        <v>9</v>
      </c>
      <c r="F993" s="15" t="str">
        <f t="shared" si="15"/>
        <v>1205-78699-44760</v>
      </c>
    </row>
    <row r="994" spans="1:6" ht="14.25" customHeight="1" x14ac:dyDescent="0.25">
      <c r="A994" s="15" t="s">
        <v>1134</v>
      </c>
      <c r="B994" s="27">
        <v>1205</v>
      </c>
      <c r="C994" s="27">
        <v>78699</v>
      </c>
      <c r="D994" s="28">
        <v>44767</v>
      </c>
      <c r="E994" s="29">
        <v>21</v>
      </c>
      <c r="F994" s="15" t="str">
        <f t="shared" si="15"/>
        <v>1205-78699-44767</v>
      </c>
    </row>
    <row r="995" spans="1:6" ht="14.25" customHeight="1" x14ac:dyDescent="0.25">
      <c r="A995" s="15" t="s">
        <v>1135</v>
      </c>
      <c r="B995" s="27">
        <v>1205</v>
      </c>
      <c r="C995" s="27">
        <v>78699</v>
      </c>
      <c r="D995" s="28">
        <v>44774</v>
      </c>
      <c r="E995" s="29">
        <v>24</v>
      </c>
      <c r="F995" s="15" t="str">
        <f t="shared" si="15"/>
        <v>1205-78699-44774</v>
      </c>
    </row>
    <row r="996" spans="1:6" ht="14.25" customHeight="1" x14ac:dyDescent="0.25">
      <c r="A996" s="15" t="s">
        <v>1136</v>
      </c>
      <c r="B996" s="27">
        <v>1205</v>
      </c>
      <c r="C996" s="27">
        <v>78699</v>
      </c>
      <c r="D996" s="28">
        <v>44781</v>
      </c>
      <c r="E996" s="29">
        <v>11</v>
      </c>
      <c r="F996" s="15" t="str">
        <f t="shared" si="15"/>
        <v>1205-78699-44781</v>
      </c>
    </row>
    <row r="997" spans="1:6" ht="14.25" customHeight="1" x14ac:dyDescent="0.25">
      <c r="A997" s="15" t="s">
        <v>1137</v>
      </c>
      <c r="B997" s="27">
        <v>1205</v>
      </c>
      <c r="C997" s="27">
        <v>78699</v>
      </c>
      <c r="D997" s="28">
        <v>44788</v>
      </c>
      <c r="E997" s="29">
        <v>21</v>
      </c>
      <c r="F997" s="15" t="str">
        <f t="shared" si="15"/>
        <v>1205-78699-44788</v>
      </c>
    </row>
    <row r="998" spans="1:6" ht="14.25" customHeight="1" x14ac:dyDescent="0.25">
      <c r="A998" s="15" t="s">
        <v>1138</v>
      </c>
      <c r="B998" s="27">
        <v>1205</v>
      </c>
      <c r="C998" s="27">
        <v>78869</v>
      </c>
      <c r="D998" s="28">
        <v>44739</v>
      </c>
      <c r="E998" s="29">
        <v>22</v>
      </c>
      <c r="F998" s="15" t="str">
        <f t="shared" si="15"/>
        <v>1205-78869-44739</v>
      </c>
    </row>
    <row r="999" spans="1:6" ht="14.25" customHeight="1" x14ac:dyDescent="0.25">
      <c r="A999" s="15" t="s">
        <v>1139</v>
      </c>
      <c r="B999" s="27">
        <v>1205</v>
      </c>
      <c r="C999" s="27">
        <v>78869</v>
      </c>
      <c r="D999" s="28">
        <v>44746</v>
      </c>
      <c r="E999" s="29">
        <v>28</v>
      </c>
      <c r="F999" s="15" t="str">
        <f t="shared" si="15"/>
        <v>1205-78869-44746</v>
      </c>
    </row>
    <row r="1000" spans="1:6" ht="14.25" customHeight="1" x14ac:dyDescent="0.25">
      <c r="A1000" s="15" t="s">
        <v>1140</v>
      </c>
      <c r="B1000" s="27">
        <v>1205</v>
      </c>
      <c r="C1000" s="27">
        <v>78869</v>
      </c>
      <c r="D1000" s="28">
        <v>44753</v>
      </c>
      <c r="E1000" s="29">
        <v>5</v>
      </c>
      <c r="F1000" s="15" t="str">
        <f t="shared" si="15"/>
        <v>1205-78869-44753</v>
      </c>
    </row>
    <row r="1001" spans="1:6" ht="14.25" customHeight="1" x14ac:dyDescent="0.25">
      <c r="A1001" s="15" t="s">
        <v>1141</v>
      </c>
      <c r="B1001" s="27">
        <v>1205</v>
      </c>
      <c r="C1001" s="27">
        <v>78869</v>
      </c>
      <c r="D1001" s="28">
        <v>44760</v>
      </c>
      <c r="E1001" s="29">
        <v>28</v>
      </c>
      <c r="F1001" s="15" t="str">
        <f t="shared" si="15"/>
        <v>1205-78869-44760</v>
      </c>
    </row>
    <row r="1002" spans="1:6" ht="14.25" customHeight="1" x14ac:dyDescent="0.25">
      <c r="A1002" s="15" t="s">
        <v>1142</v>
      </c>
      <c r="B1002" s="27">
        <v>1205</v>
      </c>
      <c r="C1002" s="27">
        <v>78869</v>
      </c>
      <c r="D1002" s="28">
        <v>44767</v>
      </c>
      <c r="E1002" s="29">
        <v>22</v>
      </c>
      <c r="F1002" s="15" t="str">
        <f t="shared" si="15"/>
        <v>1205-78869-44767</v>
      </c>
    </row>
    <row r="1003" spans="1:6" ht="14.25" customHeight="1" x14ac:dyDescent="0.25">
      <c r="A1003" s="15" t="s">
        <v>1143</v>
      </c>
      <c r="B1003" s="27">
        <v>1205</v>
      </c>
      <c r="C1003" s="27">
        <v>78869</v>
      </c>
      <c r="D1003" s="28">
        <v>44774</v>
      </c>
      <c r="E1003" s="29">
        <v>18</v>
      </c>
      <c r="F1003" s="15" t="str">
        <f t="shared" si="15"/>
        <v>1205-78869-44774</v>
      </c>
    </row>
    <row r="1004" spans="1:6" ht="14.25" customHeight="1" x14ac:dyDescent="0.25">
      <c r="A1004" s="15" t="s">
        <v>1144</v>
      </c>
      <c r="B1004" s="27">
        <v>1205</v>
      </c>
      <c r="C1004" s="27">
        <v>78869</v>
      </c>
      <c r="D1004" s="28">
        <v>44781</v>
      </c>
      <c r="E1004" s="29">
        <v>24</v>
      </c>
      <c r="F1004" s="15" t="str">
        <f t="shared" si="15"/>
        <v>1205-78869-44781</v>
      </c>
    </row>
    <row r="1005" spans="1:6" ht="14.25" customHeight="1" x14ac:dyDescent="0.25">
      <c r="A1005" s="15" t="s">
        <v>1145</v>
      </c>
      <c r="B1005" s="27">
        <v>1205</v>
      </c>
      <c r="C1005" s="27">
        <v>78869</v>
      </c>
      <c r="D1005" s="28">
        <v>44788</v>
      </c>
      <c r="E1005" s="29">
        <v>18</v>
      </c>
      <c r="F1005" s="15" t="str">
        <f t="shared" si="15"/>
        <v>1205-78869-44788</v>
      </c>
    </row>
    <row r="1006" spans="1:6" ht="14.25" customHeight="1" x14ac:dyDescent="0.25">
      <c r="A1006" s="15" t="s">
        <v>1146</v>
      </c>
      <c r="B1006" s="27">
        <v>1205</v>
      </c>
      <c r="C1006" s="27">
        <v>115600</v>
      </c>
      <c r="D1006" s="28">
        <v>44739</v>
      </c>
      <c r="E1006" s="29">
        <v>18</v>
      </c>
      <c r="F1006" s="15" t="str">
        <f t="shared" si="15"/>
        <v>1205-115600-44739</v>
      </c>
    </row>
    <row r="1007" spans="1:6" ht="14.25" customHeight="1" x14ac:dyDescent="0.25">
      <c r="A1007" s="15" t="s">
        <v>1147</v>
      </c>
      <c r="B1007" s="27">
        <v>1205</v>
      </c>
      <c r="C1007" s="27">
        <v>115600</v>
      </c>
      <c r="D1007" s="28">
        <v>44746</v>
      </c>
      <c r="E1007" s="29">
        <v>4</v>
      </c>
      <c r="F1007" s="15" t="str">
        <f t="shared" si="15"/>
        <v>1205-115600-44746</v>
      </c>
    </row>
    <row r="1008" spans="1:6" ht="14.25" customHeight="1" x14ac:dyDescent="0.25">
      <c r="A1008" s="15" t="s">
        <v>1148</v>
      </c>
      <c r="B1008" s="27">
        <v>1205</v>
      </c>
      <c r="C1008" s="27">
        <v>115600</v>
      </c>
      <c r="D1008" s="28">
        <v>44753</v>
      </c>
      <c r="E1008" s="29">
        <v>22</v>
      </c>
      <c r="F1008" s="15" t="str">
        <f t="shared" si="15"/>
        <v>1205-115600-44753</v>
      </c>
    </row>
    <row r="1009" spans="1:6" ht="14.25" customHeight="1" x14ac:dyDescent="0.25">
      <c r="A1009" s="15" t="s">
        <v>1149</v>
      </c>
      <c r="B1009" s="27">
        <v>1205</v>
      </c>
      <c r="C1009" s="27">
        <v>115600</v>
      </c>
      <c r="D1009" s="28">
        <v>44760</v>
      </c>
      <c r="E1009" s="29">
        <v>8</v>
      </c>
      <c r="F1009" s="15" t="str">
        <f t="shared" si="15"/>
        <v>1205-115600-44760</v>
      </c>
    </row>
    <row r="1010" spans="1:6" ht="14.25" customHeight="1" x14ac:dyDescent="0.25">
      <c r="A1010" s="15" t="s">
        <v>1150</v>
      </c>
      <c r="B1010" s="27">
        <v>1205</v>
      </c>
      <c r="C1010" s="27">
        <v>115600</v>
      </c>
      <c r="D1010" s="28">
        <v>44767</v>
      </c>
      <c r="E1010" s="29">
        <v>16</v>
      </c>
      <c r="F1010" s="15" t="str">
        <f t="shared" si="15"/>
        <v>1205-115600-44767</v>
      </c>
    </row>
    <row r="1011" spans="1:6" ht="14.25" customHeight="1" x14ac:dyDescent="0.25">
      <c r="A1011" s="15" t="s">
        <v>1151</v>
      </c>
      <c r="B1011" s="27">
        <v>1205</v>
      </c>
      <c r="C1011" s="27">
        <v>115600</v>
      </c>
      <c r="D1011" s="28">
        <v>44774</v>
      </c>
      <c r="E1011" s="29">
        <v>18</v>
      </c>
      <c r="F1011" s="15" t="str">
        <f t="shared" si="15"/>
        <v>1205-115600-44774</v>
      </c>
    </row>
    <row r="1012" spans="1:6" ht="14.25" customHeight="1" x14ac:dyDescent="0.25">
      <c r="A1012" s="15" t="s">
        <v>1152</v>
      </c>
      <c r="B1012" s="27">
        <v>1205</v>
      </c>
      <c r="C1012" s="27">
        <v>115600</v>
      </c>
      <c r="D1012" s="28">
        <v>44781</v>
      </c>
      <c r="E1012" s="29">
        <v>24</v>
      </c>
      <c r="F1012" s="15" t="str">
        <f t="shared" si="15"/>
        <v>1205-115600-44781</v>
      </c>
    </row>
    <row r="1013" spans="1:6" ht="14.25" customHeight="1" x14ac:dyDescent="0.25">
      <c r="A1013" s="15" t="s">
        <v>1153</v>
      </c>
      <c r="B1013" s="27">
        <v>1205</v>
      </c>
      <c r="C1013" s="27">
        <v>115600</v>
      </c>
      <c r="D1013" s="28">
        <v>44788</v>
      </c>
      <c r="E1013" s="29">
        <v>8</v>
      </c>
      <c r="F1013" s="15" t="str">
        <f t="shared" si="15"/>
        <v>1205-115600-44788</v>
      </c>
    </row>
    <row r="1014" spans="1:6" ht="14.25" customHeight="1" x14ac:dyDescent="0.25">
      <c r="A1014" s="15" t="s">
        <v>1154</v>
      </c>
      <c r="B1014" s="27">
        <v>1205</v>
      </c>
      <c r="C1014" s="27">
        <v>129208</v>
      </c>
      <c r="D1014" s="28">
        <v>44739</v>
      </c>
      <c r="E1014" s="29">
        <v>13</v>
      </c>
      <c r="F1014" s="15" t="str">
        <f t="shared" si="15"/>
        <v>1205-129208-44739</v>
      </c>
    </row>
    <row r="1015" spans="1:6" ht="14.25" customHeight="1" x14ac:dyDescent="0.25">
      <c r="A1015" s="15" t="s">
        <v>1155</v>
      </c>
      <c r="B1015" s="27">
        <v>1205</v>
      </c>
      <c r="C1015" s="27">
        <v>129208</v>
      </c>
      <c r="D1015" s="28">
        <v>44746</v>
      </c>
      <c r="E1015" s="29">
        <v>29</v>
      </c>
      <c r="F1015" s="15" t="str">
        <f t="shared" si="15"/>
        <v>1205-129208-44746</v>
      </c>
    </row>
    <row r="1016" spans="1:6" ht="14.25" customHeight="1" x14ac:dyDescent="0.25">
      <c r="A1016" s="15" t="s">
        <v>1156</v>
      </c>
      <c r="B1016" s="27">
        <v>1205</v>
      </c>
      <c r="C1016" s="27">
        <v>129208</v>
      </c>
      <c r="D1016" s="28">
        <v>44753</v>
      </c>
      <c r="E1016" s="29">
        <v>40</v>
      </c>
      <c r="F1016" s="15" t="str">
        <f t="shared" si="15"/>
        <v>1205-129208-44753</v>
      </c>
    </row>
    <row r="1017" spans="1:6" ht="14.25" customHeight="1" x14ac:dyDescent="0.25">
      <c r="A1017" s="15" t="s">
        <v>1157</v>
      </c>
      <c r="B1017" s="27">
        <v>1205</v>
      </c>
      <c r="C1017" s="27">
        <v>129208</v>
      </c>
      <c r="D1017" s="28">
        <v>44760</v>
      </c>
      <c r="E1017" s="29">
        <v>32</v>
      </c>
      <c r="F1017" s="15" t="str">
        <f t="shared" si="15"/>
        <v>1205-129208-44760</v>
      </c>
    </row>
    <row r="1018" spans="1:6" ht="14.25" customHeight="1" x14ac:dyDescent="0.25">
      <c r="A1018" s="15" t="s">
        <v>1158</v>
      </c>
      <c r="B1018" s="27">
        <v>1205</v>
      </c>
      <c r="C1018" s="27">
        <v>129208</v>
      </c>
      <c r="D1018" s="28">
        <v>44767</v>
      </c>
      <c r="E1018" s="29">
        <v>36</v>
      </c>
      <c r="F1018" s="15" t="str">
        <f t="shared" si="15"/>
        <v>1205-129208-44767</v>
      </c>
    </row>
    <row r="1019" spans="1:6" ht="14.25" customHeight="1" x14ac:dyDescent="0.25">
      <c r="A1019" s="15" t="s">
        <v>1159</v>
      </c>
      <c r="B1019" s="27">
        <v>1205</v>
      </c>
      <c r="C1019" s="27">
        <v>129208</v>
      </c>
      <c r="D1019" s="28">
        <v>44774</v>
      </c>
      <c r="E1019" s="29">
        <v>18</v>
      </c>
      <c r="F1019" s="15" t="str">
        <f t="shared" si="15"/>
        <v>1205-129208-44774</v>
      </c>
    </row>
    <row r="1020" spans="1:6" ht="14.25" customHeight="1" x14ac:dyDescent="0.25">
      <c r="A1020" s="15" t="s">
        <v>1160</v>
      </c>
      <c r="B1020" s="27">
        <v>1205</v>
      </c>
      <c r="C1020" s="27">
        <v>129208</v>
      </c>
      <c r="D1020" s="28">
        <v>44781</v>
      </c>
      <c r="E1020" s="29">
        <v>7</v>
      </c>
      <c r="F1020" s="15" t="str">
        <f t="shared" si="15"/>
        <v>1205-129208-44781</v>
      </c>
    </row>
    <row r="1021" spans="1:6" ht="14.25" customHeight="1" x14ac:dyDescent="0.25">
      <c r="A1021" s="15" t="s">
        <v>1161</v>
      </c>
      <c r="B1021" s="27">
        <v>1205</v>
      </c>
      <c r="C1021" s="27">
        <v>129208</v>
      </c>
      <c r="D1021" s="28">
        <v>44788</v>
      </c>
      <c r="E1021" s="29">
        <v>12</v>
      </c>
      <c r="F1021" s="15" t="str">
        <f t="shared" si="15"/>
        <v>1205-129208-44788</v>
      </c>
    </row>
    <row r="1022" spans="1:6" ht="14.25" customHeight="1" x14ac:dyDescent="0.25">
      <c r="A1022" s="15" t="s">
        <v>1162</v>
      </c>
      <c r="B1022" s="27">
        <v>1205</v>
      </c>
      <c r="C1022" s="27">
        <v>141622</v>
      </c>
      <c r="D1022" s="28">
        <v>44739</v>
      </c>
      <c r="E1022" s="29">
        <v>44</v>
      </c>
      <c r="F1022" s="15" t="str">
        <f t="shared" si="15"/>
        <v>1205-141622-44739</v>
      </c>
    </row>
    <row r="1023" spans="1:6" ht="14.25" customHeight="1" x14ac:dyDescent="0.25">
      <c r="A1023" s="15" t="s">
        <v>1163</v>
      </c>
      <c r="B1023" s="27">
        <v>1205</v>
      </c>
      <c r="C1023" s="27">
        <v>141622</v>
      </c>
      <c r="D1023" s="28">
        <v>44746</v>
      </c>
      <c r="E1023" s="29">
        <v>71</v>
      </c>
      <c r="F1023" s="15" t="str">
        <f t="shared" si="15"/>
        <v>1205-141622-44746</v>
      </c>
    </row>
    <row r="1024" spans="1:6" ht="14.25" customHeight="1" x14ac:dyDescent="0.25">
      <c r="A1024" s="15" t="s">
        <v>1164</v>
      </c>
      <c r="B1024" s="27">
        <v>1205</v>
      </c>
      <c r="C1024" s="27">
        <v>141622</v>
      </c>
      <c r="D1024" s="28">
        <v>44753</v>
      </c>
      <c r="E1024" s="29">
        <v>81</v>
      </c>
      <c r="F1024" s="15" t="str">
        <f t="shared" si="15"/>
        <v>1205-141622-44753</v>
      </c>
    </row>
    <row r="1025" spans="1:6" ht="14.25" customHeight="1" x14ac:dyDescent="0.25">
      <c r="A1025" s="15" t="s">
        <v>1165</v>
      </c>
      <c r="B1025" s="27">
        <v>1205</v>
      </c>
      <c r="C1025" s="27">
        <v>141622</v>
      </c>
      <c r="D1025" s="28">
        <v>44760</v>
      </c>
      <c r="E1025" s="29">
        <v>28</v>
      </c>
      <c r="F1025" s="15" t="str">
        <f t="shared" si="15"/>
        <v>1205-141622-44760</v>
      </c>
    </row>
    <row r="1026" spans="1:6" ht="14.25" customHeight="1" x14ac:dyDescent="0.25">
      <c r="A1026" s="15" t="s">
        <v>1166</v>
      </c>
      <c r="B1026" s="27">
        <v>1205</v>
      </c>
      <c r="C1026" s="27">
        <v>141622</v>
      </c>
      <c r="D1026" s="28">
        <v>44767</v>
      </c>
      <c r="E1026" s="29">
        <v>31</v>
      </c>
      <c r="F1026" s="15" t="str">
        <f t="shared" si="15"/>
        <v>1205-141622-44767</v>
      </c>
    </row>
    <row r="1027" spans="1:6" ht="14.25" customHeight="1" x14ac:dyDescent="0.25">
      <c r="A1027" s="15" t="s">
        <v>1167</v>
      </c>
      <c r="B1027" s="27">
        <v>1205</v>
      </c>
      <c r="C1027" s="27">
        <v>141622</v>
      </c>
      <c r="D1027" s="28">
        <v>44774</v>
      </c>
      <c r="E1027" s="29">
        <v>88</v>
      </c>
      <c r="F1027" s="15" t="str">
        <f t="shared" ref="F1027:F1090" si="16">B1027&amp;"-"&amp;C1027&amp;"-"&amp;INT(D1027)</f>
        <v>1205-141622-44774</v>
      </c>
    </row>
    <row r="1028" spans="1:6" ht="14.25" customHeight="1" x14ac:dyDescent="0.25">
      <c r="A1028" s="15" t="s">
        <v>1168</v>
      </c>
      <c r="B1028" s="27">
        <v>1205</v>
      </c>
      <c r="C1028" s="27">
        <v>141622</v>
      </c>
      <c r="D1028" s="28">
        <v>44781</v>
      </c>
      <c r="E1028" s="29">
        <v>87</v>
      </c>
      <c r="F1028" s="15" t="str">
        <f t="shared" si="16"/>
        <v>1205-141622-44781</v>
      </c>
    </row>
    <row r="1029" spans="1:6" ht="14.25" customHeight="1" x14ac:dyDescent="0.25">
      <c r="A1029" s="15" t="s">
        <v>1169</v>
      </c>
      <c r="B1029" s="27">
        <v>1205</v>
      </c>
      <c r="C1029" s="27">
        <v>141622</v>
      </c>
      <c r="D1029" s="28">
        <v>44788</v>
      </c>
      <c r="E1029" s="29">
        <v>28</v>
      </c>
      <c r="F1029" s="15" t="str">
        <f t="shared" si="16"/>
        <v>1205-141622-44788</v>
      </c>
    </row>
    <row r="1030" spans="1:6" ht="14.25" customHeight="1" x14ac:dyDescent="0.25">
      <c r="A1030" s="15" t="s">
        <v>1170</v>
      </c>
      <c r="B1030" s="27">
        <v>1205</v>
      </c>
      <c r="C1030" s="27">
        <v>141626</v>
      </c>
      <c r="D1030" s="28">
        <v>44739</v>
      </c>
      <c r="E1030" s="29">
        <v>22</v>
      </c>
      <c r="F1030" s="15" t="str">
        <f t="shared" si="16"/>
        <v>1205-141626-44739</v>
      </c>
    </row>
    <row r="1031" spans="1:6" ht="14.25" customHeight="1" x14ac:dyDescent="0.25">
      <c r="A1031" s="15" t="s">
        <v>1171</v>
      </c>
      <c r="B1031" s="27">
        <v>1205</v>
      </c>
      <c r="C1031" s="27">
        <v>141626</v>
      </c>
      <c r="D1031" s="28">
        <v>44746</v>
      </c>
      <c r="E1031" s="29">
        <v>22</v>
      </c>
      <c r="F1031" s="15" t="str">
        <f t="shared" si="16"/>
        <v>1205-141626-44746</v>
      </c>
    </row>
    <row r="1032" spans="1:6" ht="14.25" customHeight="1" x14ac:dyDescent="0.25">
      <c r="A1032" s="15" t="s">
        <v>1172</v>
      </c>
      <c r="B1032" s="27">
        <v>1205</v>
      </c>
      <c r="C1032" s="27">
        <v>141626</v>
      </c>
      <c r="D1032" s="28">
        <v>44753</v>
      </c>
      <c r="E1032" s="29">
        <v>22</v>
      </c>
      <c r="F1032" s="15" t="str">
        <f t="shared" si="16"/>
        <v>1205-141626-44753</v>
      </c>
    </row>
    <row r="1033" spans="1:6" ht="14.25" customHeight="1" x14ac:dyDescent="0.25">
      <c r="A1033" s="15" t="s">
        <v>1173</v>
      </c>
      <c r="B1033" s="27">
        <v>1205</v>
      </c>
      <c r="C1033" s="27">
        <v>141626</v>
      </c>
      <c r="D1033" s="28">
        <v>44760</v>
      </c>
      <c r="E1033" s="29">
        <v>28</v>
      </c>
      <c r="F1033" s="15" t="str">
        <f t="shared" si="16"/>
        <v>1205-141626-44760</v>
      </c>
    </row>
    <row r="1034" spans="1:6" ht="14.25" customHeight="1" x14ac:dyDescent="0.25">
      <c r="A1034" s="15" t="s">
        <v>1174</v>
      </c>
      <c r="B1034" s="27">
        <v>1205</v>
      </c>
      <c r="C1034" s="27">
        <v>141626</v>
      </c>
      <c r="D1034" s="28">
        <v>44767</v>
      </c>
      <c r="E1034" s="29">
        <v>24</v>
      </c>
      <c r="F1034" s="15" t="str">
        <f t="shared" si="16"/>
        <v>1205-141626-44767</v>
      </c>
    </row>
    <row r="1035" spans="1:6" ht="14.25" customHeight="1" x14ac:dyDescent="0.25">
      <c r="A1035" s="15" t="s">
        <v>1175</v>
      </c>
      <c r="B1035" s="27">
        <v>1205</v>
      </c>
      <c r="C1035" s="27">
        <v>141626</v>
      </c>
      <c r="D1035" s="28">
        <v>44774</v>
      </c>
      <c r="E1035" s="29">
        <v>26</v>
      </c>
      <c r="F1035" s="15" t="str">
        <f t="shared" si="16"/>
        <v>1205-141626-44774</v>
      </c>
    </row>
    <row r="1036" spans="1:6" ht="14.25" customHeight="1" x14ac:dyDescent="0.25">
      <c r="A1036" s="15" t="s">
        <v>1176</v>
      </c>
      <c r="B1036" s="27">
        <v>1205</v>
      </c>
      <c r="C1036" s="27">
        <v>141626</v>
      </c>
      <c r="D1036" s="28">
        <v>44781</v>
      </c>
      <c r="E1036" s="29">
        <v>15</v>
      </c>
      <c r="F1036" s="15" t="str">
        <f t="shared" si="16"/>
        <v>1205-141626-44781</v>
      </c>
    </row>
    <row r="1037" spans="1:6" ht="14.25" customHeight="1" x14ac:dyDescent="0.25">
      <c r="A1037" s="15" t="s">
        <v>1177</v>
      </c>
      <c r="B1037" s="27">
        <v>1205</v>
      </c>
      <c r="C1037" s="27">
        <v>141626</v>
      </c>
      <c r="D1037" s="28">
        <v>44788</v>
      </c>
      <c r="E1037" s="29">
        <v>26</v>
      </c>
      <c r="F1037" s="15" t="str">
        <f t="shared" si="16"/>
        <v>1205-141626-44788</v>
      </c>
    </row>
    <row r="1038" spans="1:6" ht="14.25" customHeight="1" x14ac:dyDescent="0.25">
      <c r="A1038" s="15" t="s">
        <v>1178</v>
      </c>
      <c r="B1038" s="27">
        <v>1205</v>
      </c>
      <c r="C1038" s="27">
        <v>141791</v>
      </c>
      <c r="D1038" s="28">
        <v>44739</v>
      </c>
      <c r="E1038" s="29">
        <v>33</v>
      </c>
      <c r="F1038" s="15" t="str">
        <f t="shared" si="16"/>
        <v>1205-141791-44739</v>
      </c>
    </row>
    <row r="1039" spans="1:6" ht="14.25" customHeight="1" x14ac:dyDescent="0.25">
      <c r="A1039" s="15" t="s">
        <v>1179</v>
      </c>
      <c r="B1039" s="27">
        <v>1205</v>
      </c>
      <c r="C1039" s="27">
        <v>141791</v>
      </c>
      <c r="D1039" s="28">
        <v>44746</v>
      </c>
      <c r="E1039" s="29">
        <v>36</v>
      </c>
      <c r="F1039" s="15" t="str">
        <f t="shared" si="16"/>
        <v>1205-141791-44746</v>
      </c>
    </row>
    <row r="1040" spans="1:6" ht="14.25" customHeight="1" x14ac:dyDescent="0.25">
      <c r="A1040" s="15" t="s">
        <v>1180</v>
      </c>
      <c r="B1040" s="27">
        <v>1205</v>
      </c>
      <c r="C1040" s="27">
        <v>141791</v>
      </c>
      <c r="D1040" s="28">
        <v>44753</v>
      </c>
      <c r="E1040" s="29">
        <v>40</v>
      </c>
      <c r="F1040" s="15" t="str">
        <f t="shared" si="16"/>
        <v>1205-141791-44753</v>
      </c>
    </row>
    <row r="1041" spans="1:6" ht="14.25" customHeight="1" x14ac:dyDescent="0.25">
      <c r="A1041" s="15" t="s">
        <v>1181</v>
      </c>
      <c r="B1041" s="27">
        <v>1205</v>
      </c>
      <c r="C1041" s="27">
        <v>141791</v>
      </c>
      <c r="D1041" s="28">
        <v>44760</v>
      </c>
      <c r="E1041" s="29">
        <v>24</v>
      </c>
      <c r="F1041" s="15" t="str">
        <f t="shared" si="16"/>
        <v>1205-141791-44760</v>
      </c>
    </row>
    <row r="1042" spans="1:6" ht="14.25" customHeight="1" x14ac:dyDescent="0.25">
      <c r="A1042" s="15" t="s">
        <v>1182</v>
      </c>
      <c r="B1042" s="27">
        <v>1205</v>
      </c>
      <c r="C1042" s="27">
        <v>141791</v>
      </c>
      <c r="D1042" s="28">
        <v>44767</v>
      </c>
      <c r="E1042" s="29">
        <v>34</v>
      </c>
      <c r="F1042" s="15" t="str">
        <f t="shared" si="16"/>
        <v>1205-141791-44767</v>
      </c>
    </row>
    <row r="1043" spans="1:6" ht="14.25" customHeight="1" x14ac:dyDescent="0.25">
      <c r="A1043" s="15" t="s">
        <v>1183</v>
      </c>
      <c r="B1043" s="27">
        <v>1205</v>
      </c>
      <c r="C1043" s="27">
        <v>141791</v>
      </c>
      <c r="D1043" s="28">
        <v>44774</v>
      </c>
      <c r="E1043" s="29">
        <v>33</v>
      </c>
      <c r="F1043" s="15" t="str">
        <f t="shared" si="16"/>
        <v>1205-141791-44774</v>
      </c>
    </row>
    <row r="1044" spans="1:6" ht="14.25" customHeight="1" x14ac:dyDescent="0.25">
      <c r="A1044" s="15" t="s">
        <v>1184</v>
      </c>
      <c r="B1044" s="27">
        <v>1205</v>
      </c>
      <c r="C1044" s="27">
        <v>141791</v>
      </c>
      <c r="D1044" s="28">
        <v>44781</v>
      </c>
      <c r="E1044" s="29">
        <v>24</v>
      </c>
      <c r="F1044" s="15" t="str">
        <f t="shared" si="16"/>
        <v>1205-141791-44781</v>
      </c>
    </row>
    <row r="1045" spans="1:6" ht="14.25" customHeight="1" x14ac:dyDescent="0.25">
      <c r="A1045" s="15" t="s">
        <v>1185</v>
      </c>
      <c r="B1045" s="27">
        <v>1205</v>
      </c>
      <c r="C1045" s="27">
        <v>141791</v>
      </c>
      <c r="D1045" s="28">
        <v>44788</v>
      </c>
      <c r="E1045" s="29">
        <v>38</v>
      </c>
      <c r="F1045" s="15" t="str">
        <f t="shared" si="16"/>
        <v>1205-141791-44788</v>
      </c>
    </row>
    <row r="1046" spans="1:6" ht="14.25" customHeight="1" x14ac:dyDescent="0.25">
      <c r="A1046" s="15" t="s">
        <v>1186</v>
      </c>
      <c r="B1046" s="27">
        <v>1205</v>
      </c>
      <c r="C1046" s="27">
        <v>141846</v>
      </c>
      <c r="D1046" s="28">
        <v>44739</v>
      </c>
      <c r="E1046" s="29">
        <v>13</v>
      </c>
      <c r="F1046" s="15" t="str">
        <f t="shared" si="16"/>
        <v>1205-141846-44739</v>
      </c>
    </row>
    <row r="1047" spans="1:6" ht="14.25" customHeight="1" x14ac:dyDescent="0.25">
      <c r="A1047" s="15" t="s">
        <v>1187</v>
      </c>
      <c r="B1047" s="27">
        <v>1205</v>
      </c>
      <c r="C1047" s="27">
        <v>141846</v>
      </c>
      <c r="D1047" s="28">
        <v>44746</v>
      </c>
      <c r="E1047" s="29">
        <v>12</v>
      </c>
      <c r="F1047" s="15" t="str">
        <f t="shared" si="16"/>
        <v>1205-141846-44746</v>
      </c>
    </row>
    <row r="1048" spans="1:6" ht="14.25" customHeight="1" x14ac:dyDescent="0.25">
      <c r="A1048" s="15" t="s">
        <v>1188</v>
      </c>
      <c r="B1048" s="30">
        <v>1205</v>
      </c>
      <c r="C1048" s="27">
        <v>141846</v>
      </c>
      <c r="D1048" s="28">
        <v>44753</v>
      </c>
      <c r="E1048" s="29">
        <v>12</v>
      </c>
      <c r="F1048" s="15" t="str">
        <f t="shared" si="16"/>
        <v>1205-141846-44753</v>
      </c>
    </row>
    <row r="1049" spans="1:6" ht="14.25" customHeight="1" x14ac:dyDescent="0.25">
      <c r="A1049" s="15" t="s">
        <v>1189</v>
      </c>
      <c r="B1049" s="27">
        <v>1205</v>
      </c>
      <c r="C1049" s="27">
        <v>141846</v>
      </c>
      <c r="D1049" s="28">
        <v>44760</v>
      </c>
      <c r="E1049" s="29">
        <v>8</v>
      </c>
      <c r="F1049" s="15" t="str">
        <f t="shared" si="16"/>
        <v>1205-141846-44760</v>
      </c>
    </row>
    <row r="1050" spans="1:6" ht="14.25" customHeight="1" x14ac:dyDescent="0.25">
      <c r="A1050" s="15" t="s">
        <v>1190</v>
      </c>
      <c r="B1050" s="27">
        <v>1205</v>
      </c>
      <c r="C1050" s="27">
        <v>141846</v>
      </c>
      <c r="D1050" s="28">
        <v>44767</v>
      </c>
      <c r="E1050" s="29">
        <v>13</v>
      </c>
      <c r="F1050" s="15" t="str">
        <f t="shared" si="16"/>
        <v>1205-141846-44767</v>
      </c>
    </row>
    <row r="1051" spans="1:6" ht="14.25" customHeight="1" x14ac:dyDescent="0.25">
      <c r="A1051" s="15" t="s">
        <v>1191</v>
      </c>
      <c r="B1051" s="27">
        <v>1205</v>
      </c>
      <c r="C1051" s="27">
        <v>141846</v>
      </c>
      <c r="D1051" s="28">
        <v>44774</v>
      </c>
      <c r="E1051" s="29">
        <v>8</v>
      </c>
      <c r="F1051" s="15" t="str">
        <f t="shared" si="16"/>
        <v>1205-141846-44774</v>
      </c>
    </row>
    <row r="1052" spans="1:6" ht="14.25" customHeight="1" x14ac:dyDescent="0.25">
      <c r="A1052" s="15" t="s">
        <v>1192</v>
      </c>
      <c r="B1052" s="27">
        <v>1205</v>
      </c>
      <c r="C1052" s="27">
        <v>141846</v>
      </c>
      <c r="D1052" s="28">
        <v>44781</v>
      </c>
      <c r="E1052" s="29">
        <v>6</v>
      </c>
      <c r="F1052" s="15" t="str">
        <f t="shared" si="16"/>
        <v>1205-141846-44781</v>
      </c>
    </row>
    <row r="1053" spans="1:6" ht="14.25" customHeight="1" x14ac:dyDescent="0.25">
      <c r="A1053" s="15" t="s">
        <v>1193</v>
      </c>
      <c r="B1053" s="27">
        <v>1205</v>
      </c>
      <c r="C1053" s="27">
        <v>141846</v>
      </c>
      <c r="D1053" s="28">
        <v>44788</v>
      </c>
      <c r="E1053" s="29">
        <v>12</v>
      </c>
      <c r="F1053" s="15" t="str">
        <f t="shared" si="16"/>
        <v>1205-141846-44788</v>
      </c>
    </row>
    <row r="1054" spans="1:6" ht="14.25" customHeight="1" x14ac:dyDescent="0.25">
      <c r="A1054" s="15" t="s">
        <v>1194</v>
      </c>
      <c r="B1054" s="27">
        <v>1205</v>
      </c>
      <c r="C1054" s="27">
        <v>141967</v>
      </c>
      <c r="D1054" s="28">
        <v>44739</v>
      </c>
      <c r="E1054" s="29">
        <v>6</v>
      </c>
      <c r="F1054" s="15" t="str">
        <f t="shared" si="16"/>
        <v>1205-141967-44739</v>
      </c>
    </row>
    <row r="1055" spans="1:6" ht="14.25" customHeight="1" x14ac:dyDescent="0.25">
      <c r="A1055" s="15" t="s">
        <v>1195</v>
      </c>
      <c r="B1055" s="27">
        <v>1205</v>
      </c>
      <c r="C1055" s="27">
        <v>141967</v>
      </c>
      <c r="D1055" s="28">
        <v>44746</v>
      </c>
      <c r="E1055" s="29">
        <v>15</v>
      </c>
      <c r="F1055" s="15" t="str">
        <f t="shared" si="16"/>
        <v>1205-141967-44746</v>
      </c>
    </row>
    <row r="1056" spans="1:6" ht="14.25" customHeight="1" x14ac:dyDescent="0.25">
      <c r="A1056" s="15" t="s">
        <v>1196</v>
      </c>
      <c r="B1056" s="27">
        <v>1205</v>
      </c>
      <c r="C1056" s="27">
        <v>141967</v>
      </c>
      <c r="D1056" s="28">
        <v>44753</v>
      </c>
      <c r="E1056" s="29">
        <v>26</v>
      </c>
      <c r="F1056" s="15" t="str">
        <f t="shared" si="16"/>
        <v>1205-141967-44753</v>
      </c>
    </row>
    <row r="1057" spans="1:6" ht="14.25" customHeight="1" x14ac:dyDescent="0.25">
      <c r="A1057" s="15" t="s">
        <v>1197</v>
      </c>
      <c r="B1057" s="27">
        <v>1205</v>
      </c>
      <c r="C1057" s="27">
        <v>141967</v>
      </c>
      <c r="D1057" s="28">
        <v>44760</v>
      </c>
      <c r="E1057" s="29">
        <v>18</v>
      </c>
      <c r="F1057" s="15" t="str">
        <f t="shared" si="16"/>
        <v>1205-141967-44760</v>
      </c>
    </row>
    <row r="1058" spans="1:6" ht="14.25" customHeight="1" x14ac:dyDescent="0.25">
      <c r="A1058" s="15" t="s">
        <v>1198</v>
      </c>
      <c r="B1058" s="27">
        <v>1205</v>
      </c>
      <c r="C1058" s="27">
        <v>141967</v>
      </c>
      <c r="D1058" s="28">
        <v>44767</v>
      </c>
      <c r="E1058" s="29">
        <v>19</v>
      </c>
      <c r="F1058" s="15" t="str">
        <f t="shared" si="16"/>
        <v>1205-141967-44767</v>
      </c>
    </row>
    <row r="1059" spans="1:6" ht="14.25" customHeight="1" x14ac:dyDescent="0.25">
      <c r="A1059" s="15" t="s">
        <v>1199</v>
      </c>
      <c r="B1059" s="27">
        <v>1205</v>
      </c>
      <c r="C1059" s="27">
        <v>141967</v>
      </c>
      <c r="D1059" s="28">
        <v>44774</v>
      </c>
      <c r="E1059" s="29">
        <v>26</v>
      </c>
      <c r="F1059" s="15" t="str">
        <f t="shared" si="16"/>
        <v>1205-141967-44774</v>
      </c>
    </row>
    <row r="1060" spans="1:6" ht="14.25" customHeight="1" x14ac:dyDescent="0.25">
      <c r="A1060" s="15" t="s">
        <v>1200</v>
      </c>
      <c r="B1060" s="27">
        <v>1205</v>
      </c>
      <c r="C1060" s="27">
        <v>141967</v>
      </c>
      <c r="D1060" s="28">
        <v>44781</v>
      </c>
      <c r="E1060" s="29">
        <v>15</v>
      </c>
      <c r="F1060" s="15" t="str">
        <f t="shared" si="16"/>
        <v>1205-141967-44781</v>
      </c>
    </row>
    <row r="1061" spans="1:6" ht="14.25" customHeight="1" x14ac:dyDescent="0.25">
      <c r="A1061" s="15" t="s">
        <v>1201</v>
      </c>
      <c r="B1061" s="27">
        <v>1205</v>
      </c>
      <c r="C1061" s="27">
        <v>141967</v>
      </c>
      <c r="D1061" s="28">
        <v>44788</v>
      </c>
      <c r="E1061" s="29">
        <v>15</v>
      </c>
      <c r="F1061" s="15" t="str">
        <f t="shared" si="16"/>
        <v>1205-141967-44788</v>
      </c>
    </row>
    <row r="1062" spans="1:6" ht="14.25" customHeight="1" x14ac:dyDescent="0.25">
      <c r="A1062" s="15" t="s">
        <v>1202</v>
      </c>
      <c r="B1062" s="27">
        <v>1205</v>
      </c>
      <c r="C1062" s="27">
        <v>142194</v>
      </c>
      <c r="D1062" s="28">
        <v>44739</v>
      </c>
      <c r="E1062" s="29">
        <v>6</v>
      </c>
      <c r="F1062" s="15" t="str">
        <f t="shared" si="16"/>
        <v>1205-142194-44739</v>
      </c>
    </row>
    <row r="1063" spans="1:6" ht="14.25" customHeight="1" x14ac:dyDescent="0.25">
      <c r="A1063" s="15" t="s">
        <v>1203</v>
      </c>
      <c r="B1063" s="27">
        <v>1205</v>
      </c>
      <c r="C1063" s="27">
        <v>142194</v>
      </c>
      <c r="D1063" s="28">
        <v>44746</v>
      </c>
      <c r="E1063" s="29">
        <v>11</v>
      </c>
      <c r="F1063" s="15" t="str">
        <f t="shared" si="16"/>
        <v>1205-142194-44746</v>
      </c>
    </row>
    <row r="1064" spans="1:6" ht="14.25" customHeight="1" x14ac:dyDescent="0.25">
      <c r="A1064" s="15" t="s">
        <v>1204</v>
      </c>
      <c r="B1064" s="27">
        <v>1205</v>
      </c>
      <c r="C1064" s="27">
        <v>142194</v>
      </c>
      <c r="D1064" s="28">
        <v>44753</v>
      </c>
      <c r="E1064" s="29">
        <v>11</v>
      </c>
      <c r="F1064" s="15" t="str">
        <f t="shared" si="16"/>
        <v>1205-142194-44753</v>
      </c>
    </row>
    <row r="1065" spans="1:6" ht="14.25" customHeight="1" x14ac:dyDescent="0.25">
      <c r="A1065" s="15" t="s">
        <v>1205</v>
      </c>
      <c r="B1065" s="27">
        <v>1205</v>
      </c>
      <c r="C1065" s="27">
        <v>142194</v>
      </c>
      <c r="D1065" s="28">
        <v>44760</v>
      </c>
      <c r="E1065" s="29">
        <v>10</v>
      </c>
      <c r="F1065" s="15" t="str">
        <f t="shared" si="16"/>
        <v>1205-142194-44760</v>
      </c>
    </row>
    <row r="1066" spans="1:6" ht="14.25" customHeight="1" x14ac:dyDescent="0.25">
      <c r="A1066" s="15" t="s">
        <v>1206</v>
      </c>
      <c r="B1066" s="27">
        <v>1205</v>
      </c>
      <c r="C1066" s="27">
        <v>142194</v>
      </c>
      <c r="D1066" s="28">
        <v>44767</v>
      </c>
      <c r="E1066" s="29">
        <v>0</v>
      </c>
      <c r="F1066" s="15" t="str">
        <f t="shared" si="16"/>
        <v>1205-142194-44767</v>
      </c>
    </row>
    <row r="1067" spans="1:6" ht="14.25" customHeight="1" x14ac:dyDescent="0.25">
      <c r="A1067" s="15" t="s">
        <v>1207</v>
      </c>
      <c r="B1067" s="27">
        <v>1205</v>
      </c>
      <c r="C1067" s="27">
        <v>142194</v>
      </c>
      <c r="D1067" s="28">
        <v>44774</v>
      </c>
      <c r="E1067" s="29">
        <v>-1</v>
      </c>
      <c r="F1067" s="15" t="str">
        <f t="shared" si="16"/>
        <v>1205-142194-44774</v>
      </c>
    </row>
    <row r="1068" spans="1:6" ht="14.25" customHeight="1" x14ac:dyDescent="0.25">
      <c r="A1068" s="15" t="s">
        <v>1208</v>
      </c>
      <c r="B1068" s="27">
        <v>1205</v>
      </c>
      <c r="C1068" s="27">
        <v>142194</v>
      </c>
      <c r="D1068" s="28">
        <v>44781</v>
      </c>
      <c r="E1068" s="29">
        <v>7</v>
      </c>
      <c r="F1068" s="15" t="str">
        <f t="shared" si="16"/>
        <v>1205-142194-44781</v>
      </c>
    </row>
    <row r="1069" spans="1:6" ht="14.25" customHeight="1" x14ac:dyDescent="0.25">
      <c r="A1069" s="15" t="s">
        <v>1209</v>
      </c>
      <c r="B1069" s="27">
        <v>1205</v>
      </c>
      <c r="C1069" s="27">
        <v>142194</v>
      </c>
      <c r="D1069" s="28">
        <v>44788</v>
      </c>
      <c r="E1069" s="29">
        <v>6</v>
      </c>
      <c r="F1069" s="15" t="str">
        <f t="shared" si="16"/>
        <v>1205-142194-44788</v>
      </c>
    </row>
    <row r="1070" spans="1:6" ht="14.25" customHeight="1" x14ac:dyDescent="0.25">
      <c r="A1070" s="15" t="s">
        <v>1210</v>
      </c>
      <c r="B1070" s="27">
        <v>1205</v>
      </c>
      <c r="C1070" s="27">
        <v>149729</v>
      </c>
      <c r="D1070" s="28">
        <v>44739</v>
      </c>
      <c r="E1070" s="29">
        <v>22</v>
      </c>
      <c r="F1070" s="15" t="str">
        <f t="shared" si="16"/>
        <v>1205-149729-44739</v>
      </c>
    </row>
    <row r="1071" spans="1:6" ht="14.25" customHeight="1" x14ac:dyDescent="0.25">
      <c r="A1071" s="15" t="s">
        <v>1211</v>
      </c>
      <c r="B1071" s="27">
        <v>1205</v>
      </c>
      <c r="C1071" s="27">
        <v>149729</v>
      </c>
      <c r="D1071" s="28">
        <v>44746</v>
      </c>
      <c r="E1071" s="29">
        <v>18</v>
      </c>
      <c r="F1071" s="15" t="str">
        <f t="shared" si="16"/>
        <v>1205-149729-44746</v>
      </c>
    </row>
    <row r="1072" spans="1:6" ht="14.25" customHeight="1" x14ac:dyDescent="0.25">
      <c r="A1072" s="15" t="s">
        <v>1212</v>
      </c>
      <c r="B1072" s="27">
        <v>1205</v>
      </c>
      <c r="C1072" s="27">
        <v>149729</v>
      </c>
      <c r="D1072" s="28">
        <v>44753</v>
      </c>
      <c r="E1072" s="29">
        <v>23</v>
      </c>
      <c r="F1072" s="15" t="str">
        <f t="shared" si="16"/>
        <v>1205-149729-44753</v>
      </c>
    </row>
    <row r="1073" spans="1:6" ht="14.25" customHeight="1" x14ac:dyDescent="0.25">
      <c r="A1073" s="15" t="s">
        <v>1213</v>
      </c>
      <c r="B1073" s="27">
        <v>1205</v>
      </c>
      <c r="C1073" s="27">
        <v>149729</v>
      </c>
      <c r="D1073" s="28">
        <v>44760</v>
      </c>
      <c r="E1073" s="29">
        <v>18</v>
      </c>
      <c r="F1073" s="15" t="str">
        <f t="shared" si="16"/>
        <v>1205-149729-44760</v>
      </c>
    </row>
    <row r="1074" spans="1:6" ht="14.25" customHeight="1" x14ac:dyDescent="0.25">
      <c r="A1074" s="15" t="s">
        <v>1214</v>
      </c>
      <c r="B1074" s="27">
        <v>1205</v>
      </c>
      <c r="C1074" s="27">
        <v>149729</v>
      </c>
      <c r="D1074" s="28">
        <v>44767</v>
      </c>
      <c r="E1074" s="29">
        <v>19</v>
      </c>
      <c r="F1074" s="15" t="str">
        <f t="shared" si="16"/>
        <v>1205-149729-44767</v>
      </c>
    </row>
    <row r="1075" spans="1:6" ht="14.25" customHeight="1" x14ac:dyDescent="0.25">
      <c r="A1075" s="15" t="s">
        <v>1215</v>
      </c>
      <c r="B1075" s="27">
        <v>1205</v>
      </c>
      <c r="C1075" s="27">
        <v>149729</v>
      </c>
      <c r="D1075" s="28">
        <v>44774</v>
      </c>
      <c r="E1075" s="29">
        <v>22</v>
      </c>
      <c r="F1075" s="15" t="str">
        <f t="shared" si="16"/>
        <v>1205-149729-44774</v>
      </c>
    </row>
    <row r="1076" spans="1:6" ht="14.25" customHeight="1" x14ac:dyDescent="0.25">
      <c r="A1076" s="15" t="s">
        <v>1216</v>
      </c>
      <c r="B1076" s="27">
        <v>1205</v>
      </c>
      <c r="C1076" s="27">
        <v>149729</v>
      </c>
      <c r="D1076" s="28">
        <v>44781</v>
      </c>
      <c r="E1076" s="29">
        <v>9</v>
      </c>
      <c r="F1076" s="15" t="str">
        <f t="shared" si="16"/>
        <v>1205-149729-44781</v>
      </c>
    </row>
    <row r="1077" spans="1:6" ht="14.25" customHeight="1" x14ac:dyDescent="0.25">
      <c r="A1077" s="15" t="s">
        <v>1217</v>
      </c>
      <c r="B1077" s="27">
        <v>1205</v>
      </c>
      <c r="C1077" s="27">
        <v>149729</v>
      </c>
      <c r="D1077" s="28">
        <v>44788</v>
      </c>
      <c r="E1077" s="29">
        <v>11</v>
      </c>
      <c r="F1077" s="15" t="str">
        <f t="shared" si="16"/>
        <v>1205-149729-44788</v>
      </c>
    </row>
    <row r="1078" spans="1:6" ht="14.25" customHeight="1" x14ac:dyDescent="0.25">
      <c r="A1078" s="15" t="s">
        <v>1218</v>
      </c>
      <c r="B1078" s="27">
        <v>1205</v>
      </c>
      <c r="C1078" s="27">
        <v>149779</v>
      </c>
      <c r="D1078" s="28">
        <v>44739</v>
      </c>
      <c r="E1078" s="29">
        <v>37</v>
      </c>
      <c r="F1078" s="15" t="str">
        <f t="shared" si="16"/>
        <v>1205-149779-44739</v>
      </c>
    </row>
    <row r="1079" spans="1:6" ht="14.25" customHeight="1" x14ac:dyDescent="0.25">
      <c r="A1079" s="15" t="s">
        <v>1219</v>
      </c>
      <c r="B1079" s="27">
        <v>1205</v>
      </c>
      <c r="C1079" s="27">
        <v>149779</v>
      </c>
      <c r="D1079" s="28">
        <v>44746</v>
      </c>
      <c r="E1079" s="29">
        <v>107</v>
      </c>
      <c r="F1079" s="15" t="str">
        <f t="shared" si="16"/>
        <v>1205-149779-44746</v>
      </c>
    </row>
    <row r="1080" spans="1:6" ht="14.25" customHeight="1" x14ac:dyDescent="0.25">
      <c r="A1080" s="15" t="s">
        <v>1220</v>
      </c>
      <c r="B1080" s="27">
        <v>1205</v>
      </c>
      <c r="C1080" s="27">
        <v>149779</v>
      </c>
      <c r="D1080" s="28">
        <v>44753</v>
      </c>
      <c r="E1080" s="29">
        <v>117</v>
      </c>
      <c r="F1080" s="15" t="str">
        <f t="shared" si="16"/>
        <v>1205-149779-44753</v>
      </c>
    </row>
    <row r="1081" spans="1:6" ht="14.25" customHeight="1" x14ac:dyDescent="0.25">
      <c r="A1081" s="15" t="s">
        <v>1221</v>
      </c>
      <c r="B1081" s="27">
        <v>1205</v>
      </c>
      <c r="C1081" s="27">
        <v>149779</v>
      </c>
      <c r="D1081" s="28">
        <v>44760</v>
      </c>
      <c r="E1081" s="29">
        <v>88</v>
      </c>
      <c r="F1081" s="15" t="str">
        <f t="shared" si="16"/>
        <v>1205-149779-44760</v>
      </c>
    </row>
    <row r="1082" spans="1:6" ht="14.25" customHeight="1" x14ac:dyDescent="0.25">
      <c r="A1082" s="15" t="s">
        <v>1222</v>
      </c>
      <c r="B1082" s="27">
        <v>1205</v>
      </c>
      <c r="C1082" s="27">
        <v>149779</v>
      </c>
      <c r="D1082" s="28">
        <v>44767</v>
      </c>
      <c r="E1082" s="29">
        <v>36</v>
      </c>
      <c r="F1082" s="15" t="str">
        <f t="shared" si="16"/>
        <v>1205-149779-44767</v>
      </c>
    </row>
    <row r="1083" spans="1:6" ht="14.25" customHeight="1" x14ac:dyDescent="0.25">
      <c r="A1083" s="15" t="s">
        <v>1223</v>
      </c>
      <c r="B1083" s="27">
        <v>1205</v>
      </c>
      <c r="C1083" s="27">
        <v>149779</v>
      </c>
      <c r="D1083" s="28">
        <v>44774</v>
      </c>
      <c r="E1083" s="29">
        <v>79</v>
      </c>
      <c r="F1083" s="15" t="str">
        <f t="shared" si="16"/>
        <v>1205-149779-44774</v>
      </c>
    </row>
    <row r="1084" spans="1:6" ht="14.25" customHeight="1" x14ac:dyDescent="0.25">
      <c r="A1084" s="15" t="s">
        <v>1224</v>
      </c>
      <c r="B1084" s="27">
        <v>1205</v>
      </c>
      <c r="C1084" s="27">
        <v>149779</v>
      </c>
      <c r="D1084" s="28">
        <v>44781</v>
      </c>
      <c r="E1084" s="29">
        <v>30</v>
      </c>
      <c r="F1084" s="15" t="str">
        <f t="shared" si="16"/>
        <v>1205-149779-44781</v>
      </c>
    </row>
    <row r="1085" spans="1:6" ht="14.25" customHeight="1" x14ac:dyDescent="0.25">
      <c r="A1085" s="15" t="s">
        <v>1225</v>
      </c>
      <c r="B1085" s="27">
        <v>1205</v>
      </c>
      <c r="C1085" s="27">
        <v>149779</v>
      </c>
      <c r="D1085" s="28">
        <v>44788</v>
      </c>
      <c r="E1085" s="29">
        <v>78</v>
      </c>
      <c r="F1085" s="15" t="str">
        <f t="shared" si="16"/>
        <v>1205-149779-44788</v>
      </c>
    </row>
    <row r="1086" spans="1:6" ht="14.25" customHeight="1" x14ac:dyDescent="0.25">
      <c r="A1086" s="15" t="s">
        <v>1226</v>
      </c>
      <c r="B1086" s="27">
        <v>1205</v>
      </c>
      <c r="C1086" s="27">
        <v>189933</v>
      </c>
      <c r="D1086" s="28">
        <v>44739</v>
      </c>
      <c r="E1086" s="29">
        <v>44</v>
      </c>
      <c r="F1086" s="15" t="str">
        <f t="shared" si="16"/>
        <v>1205-189933-44739</v>
      </c>
    </row>
    <row r="1087" spans="1:6" ht="14.25" customHeight="1" x14ac:dyDescent="0.25">
      <c r="A1087" s="15" t="s">
        <v>1227</v>
      </c>
      <c r="B1087" s="27">
        <v>1205</v>
      </c>
      <c r="C1087" s="27">
        <v>189933</v>
      </c>
      <c r="D1087" s="28">
        <v>44746</v>
      </c>
      <c r="E1087" s="29">
        <v>11</v>
      </c>
      <c r="F1087" s="15" t="str">
        <f t="shared" si="16"/>
        <v>1205-189933-44746</v>
      </c>
    </row>
    <row r="1088" spans="1:6" ht="14.25" customHeight="1" x14ac:dyDescent="0.25">
      <c r="A1088" s="15" t="s">
        <v>1228</v>
      </c>
      <c r="B1088" s="27">
        <v>1205</v>
      </c>
      <c r="C1088" s="27">
        <v>189933</v>
      </c>
      <c r="D1088" s="28">
        <v>44753</v>
      </c>
      <c r="E1088" s="29">
        <v>45</v>
      </c>
      <c r="F1088" s="15" t="str">
        <f t="shared" si="16"/>
        <v>1205-189933-44753</v>
      </c>
    </row>
    <row r="1089" spans="1:6" ht="14.25" customHeight="1" x14ac:dyDescent="0.25">
      <c r="A1089" s="15" t="s">
        <v>1229</v>
      </c>
      <c r="B1089" s="27">
        <v>1205</v>
      </c>
      <c r="C1089" s="27">
        <v>189933</v>
      </c>
      <c r="D1089" s="28">
        <v>44760</v>
      </c>
      <c r="E1089" s="29">
        <v>37</v>
      </c>
      <c r="F1089" s="15" t="str">
        <f t="shared" si="16"/>
        <v>1205-189933-44760</v>
      </c>
    </row>
    <row r="1090" spans="1:6" ht="14.25" customHeight="1" x14ac:dyDescent="0.25">
      <c r="A1090" s="15" t="s">
        <v>1230</v>
      </c>
      <c r="B1090" s="27">
        <v>1205</v>
      </c>
      <c r="C1090" s="27">
        <v>189933</v>
      </c>
      <c r="D1090" s="28">
        <v>44767</v>
      </c>
      <c r="E1090" s="29">
        <v>36</v>
      </c>
      <c r="F1090" s="15" t="str">
        <f t="shared" si="16"/>
        <v>1205-189933-44767</v>
      </c>
    </row>
    <row r="1091" spans="1:6" ht="14.25" customHeight="1" x14ac:dyDescent="0.25">
      <c r="A1091" s="15" t="s">
        <v>1231</v>
      </c>
      <c r="B1091" s="27">
        <v>1205</v>
      </c>
      <c r="C1091" s="27">
        <v>189933</v>
      </c>
      <c r="D1091" s="28">
        <v>44774</v>
      </c>
      <c r="E1091" s="29">
        <v>47</v>
      </c>
      <c r="F1091" s="15" t="str">
        <f t="shared" ref="F1091:F1154" si="17">B1091&amp;"-"&amp;C1091&amp;"-"&amp;INT(D1091)</f>
        <v>1205-189933-44774</v>
      </c>
    </row>
    <row r="1092" spans="1:6" ht="14.25" customHeight="1" x14ac:dyDescent="0.25">
      <c r="A1092" s="15" t="s">
        <v>1232</v>
      </c>
      <c r="B1092" s="27">
        <v>1205</v>
      </c>
      <c r="C1092" s="27">
        <v>189933</v>
      </c>
      <c r="D1092" s="28">
        <v>44781</v>
      </c>
      <c r="E1092" s="29">
        <v>8</v>
      </c>
      <c r="F1092" s="15" t="str">
        <f t="shared" si="17"/>
        <v>1205-189933-44781</v>
      </c>
    </row>
    <row r="1093" spans="1:6" ht="14.25" customHeight="1" x14ac:dyDescent="0.25">
      <c r="A1093" s="15" t="s">
        <v>1233</v>
      </c>
      <c r="B1093" s="27">
        <v>1205</v>
      </c>
      <c r="C1093" s="27">
        <v>189933</v>
      </c>
      <c r="D1093" s="28">
        <v>44788</v>
      </c>
      <c r="E1093" s="29">
        <v>36</v>
      </c>
      <c r="F1093" s="15" t="str">
        <f t="shared" si="17"/>
        <v>1205-189933-44788</v>
      </c>
    </row>
    <row r="1094" spans="1:6" ht="14.25" customHeight="1" x14ac:dyDescent="0.25">
      <c r="A1094" s="15" t="s">
        <v>1234</v>
      </c>
      <c r="B1094" s="27">
        <v>1205</v>
      </c>
      <c r="C1094" s="27">
        <v>202577</v>
      </c>
      <c r="D1094" s="28">
        <v>44739</v>
      </c>
      <c r="E1094" s="29">
        <v>15</v>
      </c>
      <c r="F1094" s="15" t="str">
        <f t="shared" si="17"/>
        <v>1205-202577-44739</v>
      </c>
    </row>
    <row r="1095" spans="1:6" ht="14.25" customHeight="1" x14ac:dyDescent="0.25">
      <c r="A1095" s="15" t="s">
        <v>1235</v>
      </c>
      <c r="B1095" s="27">
        <v>1205</v>
      </c>
      <c r="C1095" s="27">
        <v>202577</v>
      </c>
      <c r="D1095" s="28">
        <v>44746</v>
      </c>
      <c r="E1095" s="29">
        <v>11</v>
      </c>
      <c r="F1095" s="15" t="str">
        <f t="shared" si="17"/>
        <v>1205-202577-44746</v>
      </c>
    </row>
    <row r="1096" spans="1:6" ht="14.25" customHeight="1" x14ac:dyDescent="0.25">
      <c r="A1096" s="15" t="s">
        <v>1236</v>
      </c>
      <c r="B1096" s="27">
        <v>1205</v>
      </c>
      <c r="C1096" s="27">
        <v>202577</v>
      </c>
      <c r="D1096" s="28">
        <v>44753</v>
      </c>
      <c r="E1096" s="29">
        <v>33</v>
      </c>
      <c r="F1096" s="15" t="str">
        <f t="shared" si="17"/>
        <v>1205-202577-44753</v>
      </c>
    </row>
    <row r="1097" spans="1:6" ht="14.25" customHeight="1" x14ac:dyDescent="0.25">
      <c r="A1097" s="15" t="s">
        <v>1237</v>
      </c>
      <c r="B1097" s="27">
        <v>1205</v>
      </c>
      <c r="C1097" s="27">
        <v>202577</v>
      </c>
      <c r="D1097" s="28">
        <v>44760</v>
      </c>
      <c r="E1097" s="29">
        <v>33</v>
      </c>
      <c r="F1097" s="15" t="str">
        <f t="shared" si="17"/>
        <v>1205-202577-44760</v>
      </c>
    </row>
    <row r="1098" spans="1:6" ht="14.25" customHeight="1" x14ac:dyDescent="0.25">
      <c r="A1098" s="15" t="s">
        <v>1238</v>
      </c>
      <c r="B1098" s="27">
        <v>1205</v>
      </c>
      <c r="C1098" s="27">
        <v>202577</v>
      </c>
      <c r="D1098" s="28">
        <v>44767</v>
      </c>
      <c r="E1098" s="29">
        <v>9</v>
      </c>
      <c r="F1098" s="15" t="str">
        <f t="shared" si="17"/>
        <v>1205-202577-44767</v>
      </c>
    </row>
    <row r="1099" spans="1:6" ht="14.25" customHeight="1" x14ac:dyDescent="0.25">
      <c r="A1099" s="15" t="s">
        <v>1239</v>
      </c>
      <c r="B1099" s="27">
        <v>1205</v>
      </c>
      <c r="C1099" s="27">
        <v>202577</v>
      </c>
      <c r="D1099" s="28">
        <v>44774</v>
      </c>
      <c r="E1099" s="29">
        <v>16</v>
      </c>
      <c r="F1099" s="15" t="str">
        <f t="shared" si="17"/>
        <v>1205-202577-44774</v>
      </c>
    </row>
    <row r="1100" spans="1:6" ht="14.25" customHeight="1" x14ac:dyDescent="0.25">
      <c r="A1100" s="15" t="s">
        <v>1240</v>
      </c>
      <c r="B1100" s="27">
        <v>1205</v>
      </c>
      <c r="C1100" s="27">
        <v>202577</v>
      </c>
      <c r="D1100" s="28">
        <v>44781</v>
      </c>
      <c r="E1100" s="29">
        <v>35</v>
      </c>
      <c r="F1100" s="15" t="str">
        <f t="shared" si="17"/>
        <v>1205-202577-44781</v>
      </c>
    </row>
    <row r="1101" spans="1:6" ht="14.25" customHeight="1" x14ac:dyDescent="0.25">
      <c r="A1101" s="15" t="s">
        <v>1241</v>
      </c>
      <c r="B1101" s="27">
        <v>1205</v>
      </c>
      <c r="C1101" s="27">
        <v>202577</v>
      </c>
      <c r="D1101" s="28">
        <v>44788</v>
      </c>
      <c r="E1101" s="29">
        <v>15</v>
      </c>
      <c r="F1101" s="15" t="str">
        <f t="shared" si="17"/>
        <v>1205-202577-44788</v>
      </c>
    </row>
    <row r="1102" spans="1:6" ht="14.25" customHeight="1" x14ac:dyDescent="0.25">
      <c r="A1102" s="15" t="s">
        <v>1242</v>
      </c>
      <c r="B1102" s="27">
        <v>1205</v>
      </c>
      <c r="C1102" s="27">
        <v>234334</v>
      </c>
      <c r="D1102" s="28">
        <v>44739</v>
      </c>
      <c r="E1102" s="29">
        <v>32</v>
      </c>
      <c r="F1102" s="15" t="str">
        <f t="shared" si="17"/>
        <v>1205-234334-44739</v>
      </c>
    </row>
    <row r="1103" spans="1:6" ht="14.25" customHeight="1" x14ac:dyDescent="0.25">
      <c r="A1103" s="15" t="s">
        <v>1243</v>
      </c>
      <c r="B1103" s="27">
        <v>1205</v>
      </c>
      <c r="C1103" s="27">
        <v>234334</v>
      </c>
      <c r="D1103" s="28">
        <v>44746</v>
      </c>
      <c r="E1103" s="29">
        <v>34</v>
      </c>
      <c r="F1103" s="15" t="str">
        <f t="shared" si="17"/>
        <v>1205-234334-44746</v>
      </c>
    </row>
    <row r="1104" spans="1:6" ht="14.25" customHeight="1" x14ac:dyDescent="0.25">
      <c r="A1104" s="15" t="s">
        <v>1244</v>
      </c>
      <c r="B1104" s="27">
        <v>1205</v>
      </c>
      <c r="C1104" s="27">
        <v>234334</v>
      </c>
      <c r="D1104" s="28">
        <v>44753</v>
      </c>
      <c r="E1104" s="29">
        <v>24</v>
      </c>
      <c r="F1104" s="15" t="str">
        <f t="shared" si="17"/>
        <v>1205-234334-44753</v>
      </c>
    </row>
    <row r="1105" spans="1:6" ht="14.25" customHeight="1" x14ac:dyDescent="0.25">
      <c r="A1105" s="15" t="s">
        <v>1245</v>
      </c>
      <c r="B1105" s="27">
        <v>1205</v>
      </c>
      <c r="C1105" s="27">
        <v>234334</v>
      </c>
      <c r="D1105" s="28">
        <v>44760</v>
      </c>
      <c r="E1105" s="29">
        <v>18</v>
      </c>
      <c r="F1105" s="15" t="str">
        <f t="shared" si="17"/>
        <v>1205-234334-44760</v>
      </c>
    </row>
    <row r="1106" spans="1:6" ht="14.25" customHeight="1" x14ac:dyDescent="0.25">
      <c r="A1106" s="15" t="s">
        <v>1246</v>
      </c>
      <c r="B1106" s="27">
        <v>1205</v>
      </c>
      <c r="C1106" s="27">
        <v>234334</v>
      </c>
      <c r="D1106" s="28">
        <v>44767</v>
      </c>
      <c r="E1106" s="29">
        <v>36</v>
      </c>
      <c r="F1106" s="15" t="str">
        <f t="shared" si="17"/>
        <v>1205-234334-44767</v>
      </c>
    </row>
    <row r="1107" spans="1:6" ht="14.25" customHeight="1" x14ac:dyDescent="0.25">
      <c r="A1107" s="15" t="s">
        <v>1247</v>
      </c>
      <c r="B1107" s="27">
        <v>1205</v>
      </c>
      <c r="C1107" s="27">
        <v>234334</v>
      </c>
      <c r="D1107" s="28">
        <v>44774</v>
      </c>
      <c r="E1107" s="29">
        <v>18</v>
      </c>
      <c r="F1107" s="15" t="str">
        <f t="shared" si="17"/>
        <v>1205-234334-44774</v>
      </c>
    </row>
    <row r="1108" spans="1:6" ht="14.25" customHeight="1" x14ac:dyDescent="0.25">
      <c r="A1108" s="15" t="s">
        <v>1248</v>
      </c>
      <c r="B1108" s="27">
        <v>1205</v>
      </c>
      <c r="C1108" s="27">
        <v>234334</v>
      </c>
      <c r="D1108" s="28">
        <v>44781</v>
      </c>
      <c r="E1108" s="29">
        <v>30</v>
      </c>
      <c r="F1108" s="15" t="str">
        <f t="shared" si="17"/>
        <v>1205-234334-44781</v>
      </c>
    </row>
    <row r="1109" spans="1:6" ht="14.25" customHeight="1" x14ac:dyDescent="0.25">
      <c r="A1109" s="15" t="s">
        <v>1249</v>
      </c>
      <c r="B1109" s="27">
        <v>1205</v>
      </c>
      <c r="C1109" s="27">
        <v>234334</v>
      </c>
      <c r="D1109" s="28">
        <v>44788</v>
      </c>
      <c r="E1109" s="29">
        <v>30</v>
      </c>
      <c r="F1109" s="15" t="str">
        <f t="shared" si="17"/>
        <v>1205-234334-44788</v>
      </c>
    </row>
    <row r="1110" spans="1:6" ht="14.25" customHeight="1" x14ac:dyDescent="0.25">
      <c r="A1110" s="15" t="s">
        <v>1250</v>
      </c>
      <c r="B1110" s="27">
        <v>1205</v>
      </c>
      <c r="C1110" s="27">
        <v>249444</v>
      </c>
      <c r="D1110" s="28">
        <v>44739</v>
      </c>
      <c r="E1110" s="29">
        <v>180</v>
      </c>
      <c r="F1110" s="15" t="str">
        <f t="shared" si="17"/>
        <v>1205-249444-44739</v>
      </c>
    </row>
    <row r="1111" spans="1:6" ht="14.25" customHeight="1" x14ac:dyDescent="0.25">
      <c r="A1111" s="15" t="s">
        <v>1251</v>
      </c>
      <c r="B1111" s="27">
        <v>1205</v>
      </c>
      <c r="C1111" s="27">
        <v>249444</v>
      </c>
      <c r="D1111" s="28">
        <v>44746</v>
      </c>
      <c r="E1111" s="29">
        <v>663</v>
      </c>
      <c r="F1111" s="15" t="str">
        <f t="shared" si="17"/>
        <v>1205-249444-44746</v>
      </c>
    </row>
    <row r="1112" spans="1:6" ht="14.25" customHeight="1" x14ac:dyDescent="0.25">
      <c r="A1112" s="15" t="s">
        <v>1252</v>
      </c>
      <c r="B1112" s="27">
        <v>1205</v>
      </c>
      <c r="C1112" s="27">
        <v>249444</v>
      </c>
      <c r="D1112" s="28">
        <v>44753</v>
      </c>
      <c r="E1112" s="29">
        <v>688</v>
      </c>
      <c r="F1112" s="15" t="str">
        <f t="shared" si="17"/>
        <v>1205-249444-44753</v>
      </c>
    </row>
    <row r="1113" spans="1:6" ht="14.25" customHeight="1" x14ac:dyDescent="0.25">
      <c r="A1113" s="15" t="s">
        <v>1253</v>
      </c>
      <c r="B1113" s="27">
        <v>1205</v>
      </c>
      <c r="C1113" s="27">
        <v>249444</v>
      </c>
      <c r="D1113" s="28">
        <v>44760</v>
      </c>
      <c r="E1113" s="29">
        <v>178</v>
      </c>
      <c r="F1113" s="15" t="str">
        <f t="shared" si="17"/>
        <v>1205-249444-44760</v>
      </c>
    </row>
    <row r="1114" spans="1:6" ht="14.25" customHeight="1" x14ac:dyDescent="0.25">
      <c r="A1114" s="15" t="s">
        <v>1254</v>
      </c>
      <c r="B1114" s="27">
        <v>1205</v>
      </c>
      <c r="C1114" s="27">
        <v>249444</v>
      </c>
      <c r="D1114" s="28">
        <v>44767</v>
      </c>
      <c r="E1114" s="29">
        <v>180</v>
      </c>
      <c r="F1114" s="15" t="str">
        <f t="shared" si="17"/>
        <v>1205-249444-44767</v>
      </c>
    </row>
    <row r="1115" spans="1:6" ht="14.25" customHeight="1" x14ac:dyDescent="0.25">
      <c r="A1115" s="15" t="s">
        <v>1255</v>
      </c>
      <c r="B1115" s="27">
        <v>1205</v>
      </c>
      <c r="C1115" s="27">
        <v>249444</v>
      </c>
      <c r="D1115" s="28">
        <v>44774</v>
      </c>
      <c r="E1115" s="29">
        <v>239</v>
      </c>
      <c r="F1115" s="15" t="str">
        <f t="shared" si="17"/>
        <v>1205-249444-44774</v>
      </c>
    </row>
    <row r="1116" spans="1:6" ht="14.25" customHeight="1" x14ac:dyDescent="0.25">
      <c r="A1116" s="15" t="s">
        <v>1256</v>
      </c>
      <c r="B1116" s="27">
        <v>1205</v>
      </c>
      <c r="C1116" s="27">
        <v>249444</v>
      </c>
      <c r="D1116" s="28">
        <v>44781</v>
      </c>
      <c r="E1116" s="29">
        <v>181</v>
      </c>
      <c r="F1116" s="15" t="str">
        <f t="shared" si="17"/>
        <v>1205-249444-44781</v>
      </c>
    </row>
    <row r="1117" spans="1:6" ht="14.25" customHeight="1" x14ac:dyDescent="0.25">
      <c r="A1117" s="15" t="s">
        <v>1257</v>
      </c>
      <c r="B1117" s="27">
        <v>1205</v>
      </c>
      <c r="C1117" s="27">
        <v>249444</v>
      </c>
      <c r="D1117" s="28">
        <v>44788</v>
      </c>
      <c r="E1117" s="29">
        <v>734</v>
      </c>
      <c r="F1117" s="15" t="str">
        <f t="shared" si="17"/>
        <v>1205-249444-44788</v>
      </c>
    </row>
    <row r="1118" spans="1:6" ht="14.25" customHeight="1" x14ac:dyDescent="0.25">
      <c r="A1118" s="15" t="s">
        <v>1258</v>
      </c>
      <c r="B1118" s="27">
        <v>1205</v>
      </c>
      <c r="C1118" s="27">
        <v>249795</v>
      </c>
      <c r="D1118" s="28">
        <v>44739</v>
      </c>
      <c r="E1118" s="29">
        <v>54</v>
      </c>
      <c r="F1118" s="15" t="str">
        <f t="shared" si="17"/>
        <v>1205-249795-44739</v>
      </c>
    </row>
    <row r="1119" spans="1:6" ht="14.25" customHeight="1" x14ac:dyDescent="0.25">
      <c r="A1119" s="15" t="s">
        <v>1259</v>
      </c>
      <c r="B1119" s="27">
        <v>1205</v>
      </c>
      <c r="C1119" s="27">
        <v>249795</v>
      </c>
      <c r="D1119" s="28">
        <v>44746</v>
      </c>
      <c r="E1119" s="29">
        <v>78</v>
      </c>
      <c r="F1119" s="15" t="str">
        <f t="shared" si="17"/>
        <v>1205-249795-44746</v>
      </c>
    </row>
    <row r="1120" spans="1:6" ht="14.25" customHeight="1" x14ac:dyDescent="0.25">
      <c r="A1120" s="15" t="s">
        <v>1260</v>
      </c>
      <c r="B1120" s="27">
        <v>1205</v>
      </c>
      <c r="C1120" s="27">
        <v>249795</v>
      </c>
      <c r="D1120" s="28">
        <v>44753</v>
      </c>
      <c r="E1120" s="29">
        <v>31</v>
      </c>
      <c r="F1120" s="15" t="str">
        <f t="shared" si="17"/>
        <v>1205-249795-44753</v>
      </c>
    </row>
    <row r="1121" spans="1:6" ht="14.25" customHeight="1" x14ac:dyDescent="0.25">
      <c r="A1121" s="15" t="s">
        <v>1261</v>
      </c>
      <c r="B1121" s="27">
        <v>1205</v>
      </c>
      <c r="C1121" s="27">
        <v>249795</v>
      </c>
      <c r="D1121" s="28">
        <v>44760</v>
      </c>
      <c r="E1121" s="29">
        <v>28</v>
      </c>
      <c r="F1121" s="15" t="str">
        <f t="shared" si="17"/>
        <v>1205-249795-44760</v>
      </c>
    </row>
    <row r="1122" spans="1:6" ht="14.25" customHeight="1" x14ac:dyDescent="0.25">
      <c r="A1122" s="15" t="s">
        <v>1262</v>
      </c>
      <c r="B1122" s="27">
        <v>1205</v>
      </c>
      <c r="C1122" s="27">
        <v>249795</v>
      </c>
      <c r="D1122" s="28">
        <v>44767</v>
      </c>
      <c r="E1122" s="29">
        <v>78</v>
      </c>
      <c r="F1122" s="15" t="str">
        <f t="shared" si="17"/>
        <v>1205-249795-44767</v>
      </c>
    </row>
    <row r="1123" spans="1:6" ht="14.25" customHeight="1" x14ac:dyDescent="0.25">
      <c r="A1123" s="15" t="s">
        <v>1263</v>
      </c>
      <c r="B1123" s="27">
        <v>1205</v>
      </c>
      <c r="C1123" s="27">
        <v>249795</v>
      </c>
      <c r="D1123" s="28">
        <v>44774</v>
      </c>
      <c r="E1123" s="29">
        <v>100</v>
      </c>
      <c r="F1123" s="15" t="str">
        <f t="shared" si="17"/>
        <v>1205-249795-44774</v>
      </c>
    </row>
    <row r="1124" spans="1:6" ht="14.25" customHeight="1" x14ac:dyDescent="0.25">
      <c r="A1124" s="15" t="s">
        <v>1264</v>
      </c>
      <c r="B1124" s="27">
        <v>1205</v>
      </c>
      <c r="C1124" s="27">
        <v>249795</v>
      </c>
      <c r="D1124" s="28">
        <v>44781</v>
      </c>
      <c r="E1124" s="29">
        <v>25</v>
      </c>
      <c r="F1124" s="15" t="str">
        <f t="shared" si="17"/>
        <v>1205-249795-44781</v>
      </c>
    </row>
    <row r="1125" spans="1:6" ht="14.25" customHeight="1" x14ac:dyDescent="0.25">
      <c r="A1125" s="15" t="s">
        <v>1265</v>
      </c>
      <c r="B1125" s="27">
        <v>1205</v>
      </c>
      <c r="C1125" s="27">
        <v>249795</v>
      </c>
      <c r="D1125" s="28">
        <v>44788</v>
      </c>
      <c r="E1125" s="29">
        <v>70</v>
      </c>
      <c r="F1125" s="15" t="str">
        <f t="shared" si="17"/>
        <v>1205-249795-44788</v>
      </c>
    </row>
    <row r="1126" spans="1:6" ht="14.25" customHeight="1" x14ac:dyDescent="0.25">
      <c r="A1126" s="15" t="s">
        <v>1266</v>
      </c>
      <c r="B1126" s="27">
        <v>1205</v>
      </c>
      <c r="C1126" s="27">
        <v>250979</v>
      </c>
      <c r="D1126" s="28">
        <v>44739</v>
      </c>
      <c r="E1126" s="29">
        <v>37</v>
      </c>
      <c r="F1126" s="15" t="str">
        <f t="shared" si="17"/>
        <v>1205-250979-44739</v>
      </c>
    </row>
    <row r="1127" spans="1:6" ht="14.25" customHeight="1" x14ac:dyDescent="0.25">
      <c r="A1127" s="15" t="s">
        <v>1267</v>
      </c>
      <c r="B1127" s="27">
        <v>1205</v>
      </c>
      <c r="C1127" s="27">
        <v>250979</v>
      </c>
      <c r="D1127" s="28">
        <v>44746</v>
      </c>
      <c r="E1127" s="29">
        <v>33</v>
      </c>
      <c r="F1127" s="15" t="str">
        <f t="shared" si="17"/>
        <v>1205-250979-44746</v>
      </c>
    </row>
    <row r="1128" spans="1:6" ht="14.25" customHeight="1" x14ac:dyDescent="0.25">
      <c r="A1128" s="15" t="s">
        <v>1268</v>
      </c>
      <c r="B1128" s="27">
        <v>1205</v>
      </c>
      <c r="C1128" s="27">
        <v>250979</v>
      </c>
      <c r="D1128" s="28">
        <v>44753</v>
      </c>
      <c r="E1128" s="29">
        <v>33</v>
      </c>
      <c r="F1128" s="15" t="str">
        <f t="shared" si="17"/>
        <v>1205-250979-44753</v>
      </c>
    </row>
    <row r="1129" spans="1:6" ht="14.25" customHeight="1" x14ac:dyDescent="0.25">
      <c r="A1129" s="15" t="s">
        <v>1269</v>
      </c>
      <c r="B1129" s="27">
        <v>1205</v>
      </c>
      <c r="C1129" s="27">
        <v>250979</v>
      </c>
      <c r="D1129" s="28">
        <v>44760</v>
      </c>
      <c r="E1129" s="29">
        <v>36</v>
      </c>
      <c r="F1129" s="15" t="str">
        <f t="shared" si="17"/>
        <v>1205-250979-44760</v>
      </c>
    </row>
    <row r="1130" spans="1:6" ht="14.25" customHeight="1" x14ac:dyDescent="0.25">
      <c r="A1130" s="15" t="s">
        <v>1270</v>
      </c>
      <c r="B1130" s="27">
        <v>1205</v>
      </c>
      <c r="C1130" s="27">
        <v>250979</v>
      </c>
      <c r="D1130" s="28">
        <v>44767</v>
      </c>
      <c r="E1130" s="29">
        <v>33</v>
      </c>
      <c r="F1130" s="15" t="str">
        <f t="shared" si="17"/>
        <v>1205-250979-44767</v>
      </c>
    </row>
    <row r="1131" spans="1:6" ht="14.25" customHeight="1" x14ac:dyDescent="0.25">
      <c r="A1131" s="15" t="s">
        <v>1271</v>
      </c>
      <c r="B1131" s="27">
        <v>1205</v>
      </c>
      <c r="C1131" s="27">
        <v>250979</v>
      </c>
      <c r="D1131" s="28">
        <v>44774</v>
      </c>
      <c r="E1131" s="29">
        <v>37</v>
      </c>
      <c r="F1131" s="15" t="str">
        <f t="shared" si="17"/>
        <v>1205-250979-44774</v>
      </c>
    </row>
    <row r="1132" spans="1:6" ht="14.25" customHeight="1" x14ac:dyDescent="0.25">
      <c r="A1132" s="15" t="s">
        <v>1272</v>
      </c>
      <c r="B1132" s="27">
        <v>1205</v>
      </c>
      <c r="C1132" s="27">
        <v>250979</v>
      </c>
      <c r="D1132" s="28">
        <v>44781</v>
      </c>
      <c r="E1132" s="29">
        <v>29</v>
      </c>
      <c r="F1132" s="15" t="str">
        <f t="shared" si="17"/>
        <v>1205-250979-44781</v>
      </c>
    </row>
    <row r="1133" spans="1:6" ht="14.25" customHeight="1" x14ac:dyDescent="0.25">
      <c r="A1133" s="15" t="s">
        <v>1273</v>
      </c>
      <c r="B1133" s="27">
        <v>1205</v>
      </c>
      <c r="C1133" s="27">
        <v>250979</v>
      </c>
      <c r="D1133" s="28">
        <v>44788</v>
      </c>
      <c r="E1133" s="29">
        <v>33</v>
      </c>
      <c r="F1133" s="15" t="str">
        <f t="shared" si="17"/>
        <v>1205-250979-44788</v>
      </c>
    </row>
    <row r="1134" spans="1:6" ht="14.25" customHeight="1" x14ac:dyDescent="0.25">
      <c r="A1134" s="15" t="s">
        <v>1274</v>
      </c>
      <c r="B1134" s="27">
        <v>1205</v>
      </c>
      <c r="C1134" s="27">
        <v>250981</v>
      </c>
      <c r="D1134" s="28">
        <v>44739</v>
      </c>
      <c r="E1134" s="29">
        <v>155</v>
      </c>
      <c r="F1134" s="15" t="str">
        <f t="shared" si="17"/>
        <v>1205-250981-44739</v>
      </c>
    </row>
    <row r="1135" spans="1:6" ht="14.25" customHeight="1" x14ac:dyDescent="0.25">
      <c r="A1135" s="15" t="s">
        <v>1275</v>
      </c>
      <c r="B1135" s="27">
        <v>1205</v>
      </c>
      <c r="C1135" s="27">
        <v>250981</v>
      </c>
      <c r="D1135" s="28">
        <v>44746</v>
      </c>
      <c r="E1135" s="29">
        <v>42</v>
      </c>
      <c r="F1135" s="15" t="str">
        <f t="shared" si="17"/>
        <v>1205-250981-44746</v>
      </c>
    </row>
    <row r="1136" spans="1:6" ht="14.25" customHeight="1" x14ac:dyDescent="0.25">
      <c r="A1136" s="15" t="s">
        <v>1276</v>
      </c>
      <c r="B1136" s="27">
        <v>1205</v>
      </c>
      <c r="C1136" s="27">
        <v>250981</v>
      </c>
      <c r="D1136" s="28">
        <v>44753</v>
      </c>
      <c r="E1136" s="29">
        <v>34</v>
      </c>
      <c r="F1136" s="15" t="str">
        <f t="shared" si="17"/>
        <v>1205-250981-44753</v>
      </c>
    </row>
    <row r="1137" spans="1:6" ht="14.25" customHeight="1" x14ac:dyDescent="0.25">
      <c r="A1137" s="15" t="s">
        <v>1277</v>
      </c>
      <c r="B1137" s="27">
        <v>1205</v>
      </c>
      <c r="C1137" s="27">
        <v>250981</v>
      </c>
      <c r="D1137" s="28">
        <v>44760</v>
      </c>
      <c r="E1137" s="29">
        <v>108</v>
      </c>
      <c r="F1137" s="15" t="str">
        <f t="shared" si="17"/>
        <v>1205-250981-44760</v>
      </c>
    </row>
    <row r="1138" spans="1:6" ht="14.25" customHeight="1" x14ac:dyDescent="0.25">
      <c r="A1138" s="15" t="s">
        <v>1278</v>
      </c>
      <c r="B1138" s="27">
        <v>1205</v>
      </c>
      <c r="C1138" s="27">
        <v>250981</v>
      </c>
      <c r="D1138" s="28">
        <v>44767</v>
      </c>
      <c r="E1138" s="29">
        <v>27</v>
      </c>
      <c r="F1138" s="15" t="str">
        <f t="shared" si="17"/>
        <v>1205-250981-44767</v>
      </c>
    </row>
    <row r="1139" spans="1:6" ht="14.25" customHeight="1" x14ac:dyDescent="0.25">
      <c r="A1139" s="15" t="s">
        <v>1279</v>
      </c>
      <c r="B1139" s="27">
        <v>1205</v>
      </c>
      <c r="C1139" s="27">
        <v>250981</v>
      </c>
      <c r="D1139" s="28">
        <v>44774</v>
      </c>
      <c r="E1139" s="29">
        <v>35</v>
      </c>
      <c r="F1139" s="15" t="str">
        <f t="shared" si="17"/>
        <v>1205-250981-44774</v>
      </c>
    </row>
    <row r="1140" spans="1:6" ht="14.25" customHeight="1" x14ac:dyDescent="0.25">
      <c r="A1140" s="15" t="s">
        <v>1280</v>
      </c>
      <c r="B1140" s="27">
        <v>1205</v>
      </c>
      <c r="C1140" s="27">
        <v>250981</v>
      </c>
      <c r="D1140" s="28">
        <v>44781</v>
      </c>
      <c r="E1140" s="29">
        <v>140</v>
      </c>
      <c r="F1140" s="15" t="str">
        <f t="shared" si="17"/>
        <v>1205-250981-44781</v>
      </c>
    </row>
    <row r="1141" spans="1:6" ht="14.25" customHeight="1" x14ac:dyDescent="0.25">
      <c r="A1141" s="15" t="s">
        <v>1281</v>
      </c>
      <c r="B1141" s="27">
        <v>1205</v>
      </c>
      <c r="C1141" s="27">
        <v>250981</v>
      </c>
      <c r="D1141" s="28">
        <v>44788</v>
      </c>
      <c r="E1141" s="29">
        <v>32</v>
      </c>
      <c r="F1141" s="15" t="str">
        <f t="shared" si="17"/>
        <v>1205-250981-44788</v>
      </c>
    </row>
    <row r="1142" spans="1:6" ht="14.25" customHeight="1" x14ac:dyDescent="0.25">
      <c r="A1142" s="15" t="s">
        <v>1282</v>
      </c>
      <c r="B1142" s="30">
        <v>1205</v>
      </c>
      <c r="C1142" s="27">
        <v>262294</v>
      </c>
      <c r="D1142" s="28">
        <v>44739</v>
      </c>
      <c r="E1142" s="29">
        <v>736</v>
      </c>
      <c r="F1142" s="15" t="str">
        <f t="shared" si="17"/>
        <v>1205-262294-44739</v>
      </c>
    </row>
    <row r="1143" spans="1:6" ht="14.25" customHeight="1" x14ac:dyDescent="0.25">
      <c r="A1143" s="15" t="s">
        <v>1283</v>
      </c>
      <c r="B1143" s="27">
        <v>1205</v>
      </c>
      <c r="C1143" s="27">
        <v>262294</v>
      </c>
      <c r="D1143" s="28">
        <v>44746</v>
      </c>
      <c r="E1143" s="29">
        <v>145</v>
      </c>
      <c r="F1143" s="15" t="str">
        <f t="shared" si="17"/>
        <v>1205-262294-44746</v>
      </c>
    </row>
    <row r="1144" spans="1:6" ht="14.25" customHeight="1" x14ac:dyDescent="0.25">
      <c r="A1144" s="15" t="s">
        <v>1284</v>
      </c>
      <c r="B1144" s="27">
        <v>1205</v>
      </c>
      <c r="C1144" s="27">
        <v>262294</v>
      </c>
      <c r="D1144" s="28">
        <v>44753</v>
      </c>
      <c r="E1144" s="29">
        <v>142</v>
      </c>
      <c r="F1144" s="15" t="str">
        <f t="shared" si="17"/>
        <v>1205-262294-44753</v>
      </c>
    </row>
    <row r="1145" spans="1:6" ht="14.25" customHeight="1" x14ac:dyDescent="0.25">
      <c r="A1145" s="15" t="s">
        <v>1285</v>
      </c>
      <c r="B1145" s="27">
        <v>1205</v>
      </c>
      <c r="C1145" s="27">
        <v>262294</v>
      </c>
      <c r="D1145" s="28">
        <v>44760</v>
      </c>
      <c r="E1145" s="29">
        <v>528</v>
      </c>
      <c r="F1145" s="15" t="str">
        <f t="shared" si="17"/>
        <v>1205-262294-44760</v>
      </c>
    </row>
    <row r="1146" spans="1:6" ht="14.25" customHeight="1" x14ac:dyDescent="0.25">
      <c r="A1146" s="15" t="s">
        <v>1286</v>
      </c>
      <c r="B1146" s="27">
        <v>1205</v>
      </c>
      <c r="C1146" s="27">
        <v>262294</v>
      </c>
      <c r="D1146" s="28">
        <v>44767</v>
      </c>
      <c r="E1146" s="29">
        <v>143</v>
      </c>
      <c r="F1146" s="15" t="str">
        <f t="shared" si="17"/>
        <v>1205-262294-44767</v>
      </c>
    </row>
    <row r="1147" spans="1:6" ht="14.25" customHeight="1" x14ac:dyDescent="0.25">
      <c r="A1147" s="15" t="s">
        <v>1287</v>
      </c>
      <c r="B1147" s="27">
        <v>1205</v>
      </c>
      <c r="C1147" s="27">
        <v>262294</v>
      </c>
      <c r="D1147" s="28">
        <v>44774</v>
      </c>
      <c r="E1147" s="29">
        <v>779</v>
      </c>
      <c r="F1147" s="15" t="str">
        <f t="shared" si="17"/>
        <v>1205-262294-44774</v>
      </c>
    </row>
    <row r="1148" spans="1:6" ht="14.25" customHeight="1" x14ac:dyDescent="0.25">
      <c r="A1148" s="15" t="s">
        <v>1288</v>
      </c>
      <c r="B1148" s="27">
        <v>1205</v>
      </c>
      <c r="C1148" s="27">
        <v>262294</v>
      </c>
      <c r="D1148" s="28">
        <v>44781</v>
      </c>
      <c r="E1148" s="29">
        <v>143</v>
      </c>
      <c r="F1148" s="15" t="str">
        <f t="shared" si="17"/>
        <v>1205-262294-44781</v>
      </c>
    </row>
    <row r="1149" spans="1:6" ht="14.25" customHeight="1" x14ac:dyDescent="0.25">
      <c r="A1149" s="15" t="s">
        <v>1289</v>
      </c>
      <c r="B1149" s="27">
        <v>1205</v>
      </c>
      <c r="C1149" s="27">
        <v>262294</v>
      </c>
      <c r="D1149" s="28">
        <v>44788</v>
      </c>
      <c r="E1149" s="29">
        <v>145</v>
      </c>
      <c r="F1149" s="15" t="str">
        <f t="shared" si="17"/>
        <v>1205-262294-44788</v>
      </c>
    </row>
    <row r="1150" spans="1:6" ht="14.25" customHeight="1" x14ac:dyDescent="0.25">
      <c r="A1150" s="15" t="s">
        <v>1290</v>
      </c>
      <c r="B1150" s="27">
        <v>1205</v>
      </c>
      <c r="C1150" s="27">
        <v>268831</v>
      </c>
      <c r="D1150" s="28">
        <v>44739</v>
      </c>
      <c r="E1150" s="29">
        <v>296</v>
      </c>
      <c r="F1150" s="15" t="str">
        <f t="shared" si="17"/>
        <v>1205-268831-44739</v>
      </c>
    </row>
    <row r="1151" spans="1:6" ht="14.25" customHeight="1" x14ac:dyDescent="0.25">
      <c r="A1151" s="15" t="s">
        <v>1291</v>
      </c>
      <c r="B1151" s="27">
        <v>1205</v>
      </c>
      <c r="C1151" s="27">
        <v>268831</v>
      </c>
      <c r="D1151" s="28">
        <v>44746</v>
      </c>
      <c r="E1151" s="29">
        <v>767</v>
      </c>
      <c r="F1151" s="15" t="str">
        <f t="shared" si="17"/>
        <v>1205-268831-44746</v>
      </c>
    </row>
    <row r="1152" spans="1:6" ht="14.25" customHeight="1" x14ac:dyDescent="0.25">
      <c r="A1152" s="15" t="s">
        <v>1292</v>
      </c>
      <c r="B1152" s="27">
        <v>1205</v>
      </c>
      <c r="C1152" s="27">
        <v>268831</v>
      </c>
      <c r="D1152" s="28">
        <v>44753</v>
      </c>
      <c r="E1152" s="29">
        <v>294</v>
      </c>
      <c r="F1152" s="15" t="str">
        <f t="shared" si="17"/>
        <v>1205-268831-44753</v>
      </c>
    </row>
    <row r="1153" spans="1:6" ht="14.25" customHeight="1" x14ac:dyDescent="0.25">
      <c r="A1153" s="15" t="s">
        <v>1293</v>
      </c>
      <c r="B1153" s="27">
        <v>1205</v>
      </c>
      <c r="C1153" s="27">
        <v>268831</v>
      </c>
      <c r="D1153" s="28">
        <v>44760</v>
      </c>
      <c r="E1153" s="29">
        <v>755</v>
      </c>
      <c r="F1153" s="15" t="str">
        <f t="shared" si="17"/>
        <v>1205-268831-44760</v>
      </c>
    </row>
    <row r="1154" spans="1:6" ht="14.25" customHeight="1" x14ac:dyDescent="0.25">
      <c r="A1154" s="15" t="s">
        <v>1294</v>
      </c>
      <c r="B1154" s="27">
        <v>1205</v>
      </c>
      <c r="C1154" s="27">
        <v>268831</v>
      </c>
      <c r="D1154" s="28">
        <v>44767</v>
      </c>
      <c r="E1154" s="29">
        <v>682</v>
      </c>
      <c r="F1154" s="15" t="str">
        <f t="shared" si="17"/>
        <v>1205-268831-44767</v>
      </c>
    </row>
    <row r="1155" spans="1:6" ht="14.25" customHeight="1" x14ac:dyDescent="0.25">
      <c r="A1155" s="15" t="s">
        <v>1295</v>
      </c>
      <c r="B1155" s="27">
        <v>1205</v>
      </c>
      <c r="C1155" s="27">
        <v>268831</v>
      </c>
      <c r="D1155" s="28">
        <v>44774</v>
      </c>
      <c r="E1155" s="29">
        <v>675</v>
      </c>
      <c r="F1155" s="15" t="str">
        <f t="shared" ref="F1155:F1218" si="18">B1155&amp;"-"&amp;C1155&amp;"-"&amp;INT(D1155)</f>
        <v>1205-268831-44774</v>
      </c>
    </row>
    <row r="1156" spans="1:6" ht="14.25" customHeight="1" x14ac:dyDescent="0.25">
      <c r="A1156" s="15" t="s">
        <v>1296</v>
      </c>
      <c r="B1156" s="27">
        <v>1205</v>
      </c>
      <c r="C1156" s="27">
        <v>268831</v>
      </c>
      <c r="D1156" s="28">
        <v>44781</v>
      </c>
      <c r="E1156" s="29">
        <v>704</v>
      </c>
      <c r="F1156" s="15" t="str">
        <f t="shared" si="18"/>
        <v>1205-268831-44781</v>
      </c>
    </row>
    <row r="1157" spans="1:6" ht="14.25" customHeight="1" x14ac:dyDescent="0.25">
      <c r="A1157" s="15" t="s">
        <v>1297</v>
      </c>
      <c r="B1157" s="27">
        <v>1205</v>
      </c>
      <c r="C1157" s="27">
        <v>268831</v>
      </c>
      <c r="D1157" s="28">
        <v>44788</v>
      </c>
      <c r="E1157" s="29">
        <v>348</v>
      </c>
      <c r="F1157" s="15" t="str">
        <f t="shared" si="18"/>
        <v>1205-268831-44788</v>
      </c>
    </row>
    <row r="1158" spans="1:6" ht="14.25" customHeight="1" x14ac:dyDescent="0.25">
      <c r="A1158" s="15" t="s">
        <v>1298</v>
      </c>
      <c r="B1158" s="27">
        <v>1205</v>
      </c>
      <c r="C1158" s="27">
        <v>273701</v>
      </c>
      <c r="D1158" s="28">
        <v>44739</v>
      </c>
      <c r="E1158" s="29">
        <v>816</v>
      </c>
      <c r="F1158" s="15" t="str">
        <f t="shared" si="18"/>
        <v>1205-273701-44739</v>
      </c>
    </row>
    <row r="1159" spans="1:6" ht="14.25" customHeight="1" x14ac:dyDescent="0.25">
      <c r="A1159" s="15" t="s">
        <v>1299</v>
      </c>
      <c r="B1159" s="27">
        <v>1205</v>
      </c>
      <c r="C1159" s="27">
        <v>273701</v>
      </c>
      <c r="D1159" s="28">
        <v>44746</v>
      </c>
      <c r="E1159" s="29">
        <v>942</v>
      </c>
      <c r="F1159" s="15" t="str">
        <f t="shared" si="18"/>
        <v>1205-273701-44746</v>
      </c>
    </row>
    <row r="1160" spans="1:6" ht="14.25" customHeight="1" x14ac:dyDescent="0.25">
      <c r="A1160" s="15" t="s">
        <v>1300</v>
      </c>
      <c r="B1160" s="27">
        <v>1205</v>
      </c>
      <c r="C1160" s="27">
        <v>273701</v>
      </c>
      <c r="D1160" s="28">
        <v>44753</v>
      </c>
      <c r="E1160" s="29">
        <v>855</v>
      </c>
      <c r="F1160" s="15" t="str">
        <f t="shared" si="18"/>
        <v>1205-273701-44753</v>
      </c>
    </row>
    <row r="1161" spans="1:6" ht="14.25" customHeight="1" x14ac:dyDescent="0.25">
      <c r="A1161" s="15" t="s">
        <v>1301</v>
      </c>
      <c r="B1161" s="27">
        <v>1205</v>
      </c>
      <c r="C1161" s="27">
        <v>273701</v>
      </c>
      <c r="D1161" s="28">
        <v>44760</v>
      </c>
      <c r="E1161" s="29">
        <v>650</v>
      </c>
      <c r="F1161" s="15" t="str">
        <f t="shared" si="18"/>
        <v>1205-273701-44760</v>
      </c>
    </row>
    <row r="1162" spans="1:6" ht="14.25" customHeight="1" x14ac:dyDescent="0.25">
      <c r="A1162" s="15" t="s">
        <v>1302</v>
      </c>
      <c r="B1162" s="27">
        <v>1205</v>
      </c>
      <c r="C1162" s="27">
        <v>273701</v>
      </c>
      <c r="D1162" s="28">
        <v>44767</v>
      </c>
      <c r="E1162" s="29">
        <v>544</v>
      </c>
      <c r="F1162" s="15" t="str">
        <f t="shared" si="18"/>
        <v>1205-273701-44767</v>
      </c>
    </row>
    <row r="1163" spans="1:6" ht="14.25" customHeight="1" x14ac:dyDescent="0.25">
      <c r="A1163" s="15" t="s">
        <v>1303</v>
      </c>
      <c r="B1163" s="27">
        <v>1205</v>
      </c>
      <c r="C1163" s="27">
        <v>273701</v>
      </c>
      <c r="D1163" s="28">
        <v>44774</v>
      </c>
      <c r="E1163" s="29">
        <v>775</v>
      </c>
      <c r="F1163" s="15" t="str">
        <f t="shared" si="18"/>
        <v>1205-273701-44774</v>
      </c>
    </row>
    <row r="1164" spans="1:6" ht="14.25" customHeight="1" x14ac:dyDescent="0.25">
      <c r="A1164" s="15" t="s">
        <v>1304</v>
      </c>
      <c r="B1164" s="27">
        <v>1205</v>
      </c>
      <c r="C1164" s="27">
        <v>273701</v>
      </c>
      <c r="D1164" s="28">
        <v>44781</v>
      </c>
      <c r="E1164" s="29">
        <v>538</v>
      </c>
      <c r="F1164" s="15" t="str">
        <f t="shared" si="18"/>
        <v>1205-273701-44781</v>
      </c>
    </row>
    <row r="1165" spans="1:6" ht="14.25" customHeight="1" x14ac:dyDescent="0.25">
      <c r="A1165" s="15" t="s">
        <v>1305</v>
      </c>
      <c r="B1165" s="27">
        <v>1205</v>
      </c>
      <c r="C1165" s="27">
        <v>273701</v>
      </c>
      <c r="D1165" s="28">
        <v>44788</v>
      </c>
      <c r="E1165" s="29">
        <v>750</v>
      </c>
      <c r="F1165" s="15" t="str">
        <f t="shared" si="18"/>
        <v>1205-273701-44788</v>
      </c>
    </row>
    <row r="1166" spans="1:6" ht="14.25" customHeight="1" x14ac:dyDescent="0.25">
      <c r="A1166" s="15" t="s">
        <v>1306</v>
      </c>
      <c r="B1166" s="27">
        <v>1205</v>
      </c>
      <c r="C1166" s="27">
        <v>291726</v>
      </c>
      <c r="D1166" s="28">
        <v>44739</v>
      </c>
      <c r="E1166" s="29">
        <v>37</v>
      </c>
      <c r="F1166" s="15" t="str">
        <f t="shared" si="18"/>
        <v>1205-291726-44739</v>
      </c>
    </row>
    <row r="1167" spans="1:6" ht="14.25" customHeight="1" x14ac:dyDescent="0.25">
      <c r="A1167" s="15" t="s">
        <v>1307</v>
      </c>
      <c r="B1167" s="27">
        <v>1205</v>
      </c>
      <c r="C1167" s="27">
        <v>291726</v>
      </c>
      <c r="D1167" s="28">
        <v>44746</v>
      </c>
      <c r="E1167" s="29">
        <v>24</v>
      </c>
      <c r="F1167" s="15" t="str">
        <f t="shared" si="18"/>
        <v>1205-291726-44746</v>
      </c>
    </row>
    <row r="1168" spans="1:6" ht="14.25" customHeight="1" x14ac:dyDescent="0.25">
      <c r="A1168" s="15" t="s">
        <v>1308</v>
      </c>
      <c r="B1168" s="27">
        <v>1205</v>
      </c>
      <c r="C1168" s="27">
        <v>291726</v>
      </c>
      <c r="D1168" s="28">
        <v>44753</v>
      </c>
      <c r="E1168" s="29">
        <v>11</v>
      </c>
      <c r="F1168" s="15" t="str">
        <f t="shared" si="18"/>
        <v>1205-291726-44753</v>
      </c>
    </row>
    <row r="1169" spans="1:6" ht="14.25" customHeight="1" x14ac:dyDescent="0.25">
      <c r="A1169" s="15" t="s">
        <v>1309</v>
      </c>
      <c r="B1169" s="27">
        <v>1205</v>
      </c>
      <c r="C1169" s="27">
        <v>291726</v>
      </c>
      <c r="D1169" s="28">
        <v>44760</v>
      </c>
      <c r="E1169" s="29">
        <v>31</v>
      </c>
      <c r="F1169" s="15" t="str">
        <f t="shared" si="18"/>
        <v>1205-291726-44760</v>
      </c>
    </row>
    <row r="1170" spans="1:6" ht="14.25" customHeight="1" x14ac:dyDescent="0.25">
      <c r="A1170" s="15" t="s">
        <v>1310</v>
      </c>
      <c r="B1170" s="27">
        <v>1205</v>
      </c>
      <c r="C1170" s="27">
        <v>291726</v>
      </c>
      <c r="D1170" s="28">
        <v>44767</v>
      </c>
      <c r="E1170" s="29">
        <v>7</v>
      </c>
      <c r="F1170" s="15" t="str">
        <f t="shared" si="18"/>
        <v>1205-291726-44767</v>
      </c>
    </row>
    <row r="1171" spans="1:6" ht="14.25" customHeight="1" x14ac:dyDescent="0.25">
      <c r="A1171" s="15" t="s">
        <v>1311</v>
      </c>
      <c r="B1171" s="27">
        <v>1205</v>
      </c>
      <c r="C1171" s="27">
        <v>291726</v>
      </c>
      <c r="D1171" s="28">
        <v>44774</v>
      </c>
      <c r="E1171" s="29">
        <v>33</v>
      </c>
      <c r="F1171" s="15" t="str">
        <f t="shared" si="18"/>
        <v>1205-291726-44774</v>
      </c>
    </row>
    <row r="1172" spans="1:6" ht="14.25" customHeight="1" x14ac:dyDescent="0.25">
      <c r="A1172" s="15" t="s">
        <v>1312</v>
      </c>
      <c r="B1172" s="27">
        <v>1205</v>
      </c>
      <c r="C1172" s="27">
        <v>291726</v>
      </c>
      <c r="D1172" s="28">
        <v>44781</v>
      </c>
      <c r="E1172" s="29">
        <v>22</v>
      </c>
      <c r="F1172" s="15" t="str">
        <f t="shared" si="18"/>
        <v>1205-291726-44781</v>
      </c>
    </row>
    <row r="1173" spans="1:6" ht="14.25" customHeight="1" x14ac:dyDescent="0.25">
      <c r="A1173" s="15" t="s">
        <v>1313</v>
      </c>
      <c r="B1173" s="27">
        <v>1205</v>
      </c>
      <c r="C1173" s="27">
        <v>291726</v>
      </c>
      <c r="D1173" s="28">
        <v>44788</v>
      </c>
      <c r="E1173" s="29">
        <v>35</v>
      </c>
      <c r="F1173" s="15" t="str">
        <f t="shared" si="18"/>
        <v>1205-291726-44788</v>
      </c>
    </row>
    <row r="1174" spans="1:6" ht="14.25" customHeight="1" x14ac:dyDescent="0.25">
      <c r="A1174" s="15" t="s">
        <v>1314</v>
      </c>
      <c r="B1174" s="27">
        <v>1205</v>
      </c>
      <c r="C1174" s="27">
        <v>291728</v>
      </c>
      <c r="D1174" s="28">
        <v>44739</v>
      </c>
      <c r="E1174" s="29">
        <v>58</v>
      </c>
      <c r="F1174" s="15" t="str">
        <f t="shared" si="18"/>
        <v>1205-291728-44739</v>
      </c>
    </row>
    <row r="1175" spans="1:6" ht="14.25" customHeight="1" x14ac:dyDescent="0.25">
      <c r="A1175" s="15" t="s">
        <v>1315</v>
      </c>
      <c r="B1175" s="27">
        <v>1205</v>
      </c>
      <c r="C1175" s="27">
        <v>291728</v>
      </c>
      <c r="D1175" s="28">
        <v>44746</v>
      </c>
      <c r="E1175" s="29">
        <v>42</v>
      </c>
      <c r="F1175" s="15" t="str">
        <f t="shared" si="18"/>
        <v>1205-291728-44746</v>
      </c>
    </row>
    <row r="1176" spans="1:6" ht="14.25" customHeight="1" x14ac:dyDescent="0.25">
      <c r="A1176" s="15" t="s">
        <v>1316</v>
      </c>
      <c r="B1176" s="27">
        <v>1205</v>
      </c>
      <c r="C1176" s="27">
        <v>291728</v>
      </c>
      <c r="D1176" s="28">
        <v>44753</v>
      </c>
      <c r="E1176" s="29">
        <v>61</v>
      </c>
      <c r="F1176" s="15" t="str">
        <f t="shared" si="18"/>
        <v>1205-291728-44753</v>
      </c>
    </row>
    <row r="1177" spans="1:6" ht="14.25" customHeight="1" x14ac:dyDescent="0.25">
      <c r="A1177" s="15" t="s">
        <v>1317</v>
      </c>
      <c r="B1177" s="27">
        <v>1205</v>
      </c>
      <c r="C1177" s="27">
        <v>291728</v>
      </c>
      <c r="D1177" s="28">
        <v>44760</v>
      </c>
      <c r="E1177" s="29">
        <v>11</v>
      </c>
      <c r="F1177" s="15" t="str">
        <f t="shared" si="18"/>
        <v>1205-291728-44760</v>
      </c>
    </row>
    <row r="1178" spans="1:6" ht="14.25" customHeight="1" x14ac:dyDescent="0.25">
      <c r="A1178" s="15" t="s">
        <v>1318</v>
      </c>
      <c r="B1178" s="27">
        <v>1205</v>
      </c>
      <c r="C1178" s="27">
        <v>291728</v>
      </c>
      <c r="D1178" s="28">
        <v>44767</v>
      </c>
      <c r="E1178" s="29">
        <v>46</v>
      </c>
      <c r="F1178" s="15" t="str">
        <f t="shared" si="18"/>
        <v>1205-291728-44767</v>
      </c>
    </row>
    <row r="1179" spans="1:6" ht="14.25" customHeight="1" x14ac:dyDescent="0.25">
      <c r="A1179" s="15" t="s">
        <v>1319</v>
      </c>
      <c r="B1179" s="27">
        <v>1205</v>
      </c>
      <c r="C1179" s="27">
        <v>291728</v>
      </c>
      <c r="D1179" s="28">
        <v>44774</v>
      </c>
      <c r="E1179" s="29">
        <v>47</v>
      </c>
      <c r="F1179" s="15" t="str">
        <f t="shared" si="18"/>
        <v>1205-291728-44774</v>
      </c>
    </row>
    <row r="1180" spans="1:6" ht="14.25" customHeight="1" x14ac:dyDescent="0.25">
      <c r="A1180" s="15" t="s">
        <v>1320</v>
      </c>
      <c r="B1180" s="27">
        <v>1205</v>
      </c>
      <c r="C1180" s="27">
        <v>291728</v>
      </c>
      <c r="D1180" s="28">
        <v>44781</v>
      </c>
      <c r="E1180" s="29">
        <v>11</v>
      </c>
      <c r="F1180" s="15" t="str">
        <f t="shared" si="18"/>
        <v>1205-291728-44781</v>
      </c>
    </row>
    <row r="1181" spans="1:6" ht="14.25" customHeight="1" x14ac:dyDescent="0.25">
      <c r="A1181" s="15" t="s">
        <v>1321</v>
      </c>
      <c r="B1181" s="27">
        <v>1205</v>
      </c>
      <c r="C1181" s="27">
        <v>291728</v>
      </c>
      <c r="D1181" s="28">
        <v>44788</v>
      </c>
      <c r="E1181" s="29">
        <v>44</v>
      </c>
      <c r="F1181" s="15" t="str">
        <f t="shared" si="18"/>
        <v>1205-291728-44788</v>
      </c>
    </row>
    <row r="1182" spans="1:6" ht="14.25" customHeight="1" x14ac:dyDescent="0.25">
      <c r="A1182" s="15" t="s">
        <v>1322</v>
      </c>
      <c r="B1182" s="27">
        <v>1205</v>
      </c>
      <c r="C1182" s="27">
        <v>300380</v>
      </c>
      <c r="D1182" s="28">
        <v>44739</v>
      </c>
      <c r="E1182" s="29">
        <v>36</v>
      </c>
      <c r="F1182" s="15" t="str">
        <f t="shared" si="18"/>
        <v>1205-300380-44739</v>
      </c>
    </row>
    <row r="1183" spans="1:6" ht="14.25" customHeight="1" x14ac:dyDescent="0.25">
      <c r="A1183" s="15" t="s">
        <v>1323</v>
      </c>
      <c r="B1183" s="27">
        <v>1205</v>
      </c>
      <c r="C1183" s="27">
        <v>300380</v>
      </c>
      <c r="D1183" s="28">
        <v>44746</v>
      </c>
      <c r="E1183" s="29">
        <v>33</v>
      </c>
      <c r="F1183" s="15" t="str">
        <f t="shared" si="18"/>
        <v>1205-300380-44746</v>
      </c>
    </row>
    <row r="1184" spans="1:6" ht="14.25" customHeight="1" x14ac:dyDescent="0.25">
      <c r="A1184" s="15" t="s">
        <v>1324</v>
      </c>
      <c r="B1184" s="27">
        <v>1205</v>
      </c>
      <c r="C1184" s="27">
        <v>300380</v>
      </c>
      <c r="D1184" s="28">
        <v>44753</v>
      </c>
      <c r="E1184" s="29">
        <v>40</v>
      </c>
      <c r="F1184" s="15" t="str">
        <f t="shared" si="18"/>
        <v>1205-300380-44753</v>
      </c>
    </row>
    <row r="1185" spans="1:6" ht="14.25" customHeight="1" x14ac:dyDescent="0.25">
      <c r="A1185" s="15" t="s">
        <v>1325</v>
      </c>
      <c r="B1185" s="27">
        <v>1205</v>
      </c>
      <c r="C1185" s="27">
        <v>300380</v>
      </c>
      <c r="D1185" s="28">
        <v>44760</v>
      </c>
      <c r="E1185" s="29">
        <v>43</v>
      </c>
      <c r="F1185" s="15" t="str">
        <f t="shared" si="18"/>
        <v>1205-300380-44760</v>
      </c>
    </row>
    <row r="1186" spans="1:6" ht="14.25" customHeight="1" x14ac:dyDescent="0.25">
      <c r="A1186" s="15" t="s">
        <v>1326</v>
      </c>
      <c r="B1186" s="27">
        <v>1205</v>
      </c>
      <c r="C1186" s="27">
        <v>300380</v>
      </c>
      <c r="D1186" s="28">
        <v>44767</v>
      </c>
      <c r="E1186" s="29">
        <v>36</v>
      </c>
      <c r="F1186" s="15" t="str">
        <f t="shared" si="18"/>
        <v>1205-300380-44767</v>
      </c>
    </row>
    <row r="1187" spans="1:6" ht="14.25" customHeight="1" x14ac:dyDescent="0.25">
      <c r="A1187" s="15" t="s">
        <v>1327</v>
      </c>
      <c r="B1187" s="27">
        <v>1205</v>
      </c>
      <c r="C1187" s="27">
        <v>300380</v>
      </c>
      <c r="D1187" s="28">
        <v>44774</v>
      </c>
      <c r="E1187" s="29">
        <v>28</v>
      </c>
      <c r="F1187" s="15" t="str">
        <f t="shared" si="18"/>
        <v>1205-300380-44774</v>
      </c>
    </row>
    <row r="1188" spans="1:6" ht="14.25" customHeight="1" x14ac:dyDescent="0.25">
      <c r="A1188" s="15" t="s">
        <v>1328</v>
      </c>
      <c r="B1188" s="27">
        <v>1205</v>
      </c>
      <c r="C1188" s="27">
        <v>300380</v>
      </c>
      <c r="D1188" s="28">
        <v>44781</v>
      </c>
      <c r="E1188" s="29">
        <v>37</v>
      </c>
      <c r="F1188" s="15" t="str">
        <f t="shared" si="18"/>
        <v>1205-300380-44781</v>
      </c>
    </row>
    <row r="1189" spans="1:6" ht="14.25" customHeight="1" x14ac:dyDescent="0.25">
      <c r="A1189" s="15" t="s">
        <v>1329</v>
      </c>
      <c r="B1189" s="27">
        <v>1205</v>
      </c>
      <c r="C1189" s="27">
        <v>300380</v>
      </c>
      <c r="D1189" s="28">
        <v>44788</v>
      </c>
      <c r="E1189" s="29">
        <v>23</v>
      </c>
      <c r="F1189" s="15" t="str">
        <f t="shared" si="18"/>
        <v>1205-300380-44788</v>
      </c>
    </row>
    <row r="1190" spans="1:6" ht="14.25" customHeight="1" x14ac:dyDescent="0.25">
      <c r="A1190" s="15" t="s">
        <v>1330</v>
      </c>
      <c r="B1190" s="27">
        <v>1205</v>
      </c>
      <c r="C1190" s="27">
        <v>571521</v>
      </c>
      <c r="D1190" s="28">
        <v>44739</v>
      </c>
      <c r="E1190" s="29">
        <v>182</v>
      </c>
      <c r="F1190" s="15" t="str">
        <f t="shared" si="18"/>
        <v>1205-571521-44739</v>
      </c>
    </row>
    <row r="1191" spans="1:6" ht="14.25" customHeight="1" x14ac:dyDescent="0.25">
      <c r="A1191" s="15" t="s">
        <v>1331</v>
      </c>
      <c r="B1191" s="27">
        <v>1205</v>
      </c>
      <c r="C1191" s="27">
        <v>571521</v>
      </c>
      <c r="D1191" s="28">
        <v>44746</v>
      </c>
      <c r="E1191" s="29">
        <v>98</v>
      </c>
      <c r="F1191" s="15" t="str">
        <f t="shared" si="18"/>
        <v>1205-571521-44746</v>
      </c>
    </row>
    <row r="1192" spans="1:6" ht="14.25" customHeight="1" x14ac:dyDescent="0.25">
      <c r="A1192" s="15" t="s">
        <v>1332</v>
      </c>
      <c r="B1192" s="27">
        <v>1205</v>
      </c>
      <c r="C1192" s="27">
        <v>571521</v>
      </c>
      <c r="D1192" s="28">
        <v>44753</v>
      </c>
      <c r="E1192" s="29">
        <v>102</v>
      </c>
      <c r="F1192" s="15" t="str">
        <f t="shared" si="18"/>
        <v>1205-571521-44753</v>
      </c>
    </row>
    <row r="1193" spans="1:6" ht="14.25" customHeight="1" x14ac:dyDescent="0.25">
      <c r="A1193" s="15" t="s">
        <v>1333</v>
      </c>
      <c r="B1193" s="27">
        <v>1205</v>
      </c>
      <c r="C1193" s="27">
        <v>571521</v>
      </c>
      <c r="D1193" s="28">
        <v>44760</v>
      </c>
      <c r="E1193" s="29">
        <v>221</v>
      </c>
      <c r="F1193" s="15" t="str">
        <f t="shared" si="18"/>
        <v>1205-571521-44760</v>
      </c>
    </row>
    <row r="1194" spans="1:6" ht="14.25" customHeight="1" x14ac:dyDescent="0.25">
      <c r="A1194" s="15" t="s">
        <v>1334</v>
      </c>
      <c r="B1194" s="27">
        <v>1205</v>
      </c>
      <c r="C1194" s="27">
        <v>571521</v>
      </c>
      <c r="D1194" s="28">
        <v>44767</v>
      </c>
      <c r="E1194" s="29">
        <v>99</v>
      </c>
      <c r="F1194" s="15" t="str">
        <f t="shared" si="18"/>
        <v>1205-571521-44767</v>
      </c>
    </row>
    <row r="1195" spans="1:6" ht="14.25" customHeight="1" x14ac:dyDescent="0.25">
      <c r="A1195" s="15" t="s">
        <v>1335</v>
      </c>
      <c r="B1195" s="27">
        <v>1205</v>
      </c>
      <c r="C1195" s="27">
        <v>571521</v>
      </c>
      <c r="D1195" s="28">
        <v>44774</v>
      </c>
      <c r="E1195" s="29">
        <v>339</v>
      </c>
      <c r="F1195" s="15" t="str">
        <f t="shared" si="18"/>
        <v>1205-571521-44774</v>
      </c>
    </row>
    <row r="1196" spans="1:6" ht="14.25" customHeight="1" x14ac:dyDescent="0.25">
      <c r="A1196" s="15" t="s">
        <v>1336</v>
      </c>
      <c r="B1196" s="27">
        <v>1205</v>
      </c>
      <c r="C1196" s="27">
        <v>571521</v>
      </c>
      <c r="D1196" s="28">
        <v>44781</v>
      </c>
      <c r="E1196" s="29">
        <v>281</v>
      </c>
      <c r="F1196" s="15" t="str">
        <f t="shared" si="18"/>
        <v>1205-571521-44781</v>
      </c>
    </row>
    <row r="1197" spans="1:6" ht="14.25" customHeight="1" x14ac:dyDescent="0.25">
      <c r="A1197" s="15" t="s">
        <v>1337</v>
      </c>
      <c r="B1197" s="27">
        <v>1205</v>
      </c>
      <c r="C1197" s="27">
        <v>571521</v>
      </c>
      <c r="D1197" s="28">
        <v>44788</v>
      </c>
      <c r="E1197" s="29">
        <v>98</v>
      </c>
      <c r="F1197" s="15" t="str">
        <f t="shared" si="18"/>
        <v>1205-571521-44788</v>
      </c>
    </row>
    <row r="1198" spans="1:6" ht="14.25" customHeight="1" x14ac:dyDescent="0.25">
      <c r="A1198" s="15" t="s">
        <v>1338</v>
      </c>
      <c r="B1198" s="27">
        <v>1205</v>
      </c>
      <c r="C1198" s="27">
        <v>614993</v>
      </c>
      <c r="D1198" s="28">
        <v>44739</v>
      </c>
      <c r="E1198" s="29">
        <v>87</v>
      </c>
      <c r="F1198" s="15" t="str">
        <f t="shared" si="18"/>
        <v>1205-614993-44739</v>
      </c>
    </row>
    <row r="1199" spans="1:6" ht="14.25" customHeight="1" x14ac:dyDescent="0.25">
      <c r="A1199" s="15" t="s">
        <v>1339</v>
      </c>
      <c r="B1199" s="27">
        <v>1205</v>
      </c>
      <c r="C1199" s="27">
        <v>614993</v>
      </c>
      <c r="D1199" s="28">
        <v>44746</v>
      </c>
      <c r="E1199" s="29">
        <v>35</v>
      </c>
      <c r="F1199" s="15" t="str">
        <f t="shared" si="18"/>
        <v>1205-614993-44746</v>
      </c>
    </row>
    <row r="1200" spans="1:6" ht="14.25" customHeight="1" x14ac:dyDescent="0.25">
      <c r="A1200" s="15" t="s">
        <v>1340</v>
      </c>
      <c r="B1200" s="27">
        <v>1205</v>
      </c>
      <c r="C1200" s="27">
        <v>614993</v>
      </c>
      <c r="D1200" s="28">
        <v>44753</v>
      </c>
      <c r="E1200" s="29">
        <v>92</v>
      </c>
      <c r="F1200" s="15" t="str">
        <f t="shared" si="18"/>
        <v>1205-614993-44753</v>
      </c>
    </row>
    <row r="1201" spans="1:6" ht="14.25" customHeight="1" x14ac:dyDescent="0.25">
      <c r="A1201" s="15" t="s">
        <v>1341</v>
      </c>
      <c r="B1201" s="27">
        <v>1205</v>
      </c>
      <c r="C1201" s="27">
        <v>614993</v>
      </c>
      <c r="D1201" s="28">
        <v>44760</v>
      </c>
      <c r="E1201" s="29">
        <v>78</v>
      </c>
      <c r="F1201" s="15" t="str">
        <f t="shared" si="18"/>
        <v>1205-614993-44760</v>
      </c>
    </row>
    <row r="1202" spans="1:6" ht="14.25" customHeight="1" x14ac:dyDescent="0.25">
      <c r="A1202" s="15" t="s">
        <v>1342</v>
      </c>
      <c r="B1202" s="27">
        <v>1205</v>
      </c>
      <c r="C1202" s="27">
        <v>614993</v>
      </c>
      <c r="D1202" s="28">
        <v>44767</v>
      </c>
      <c r="E1202" s="29">
        <v>39</v>
      </c>
      <c r="F1202" s="15" t="str">
        <f t="shared" si="18"/>
        <v>1205-614993-44767</v>
      </c>
    </row>
    <row r="1203" spans="1:6" ht="14.25" customHeight="1" x14ac:dyDescent="0.25">
      <c r="A1203" s="15" t="s">
        <v>1343</v>
      </c>
      <c r="B1203" s="27">
        <v>1205</v>
      </c>
      <c r="C1203" s="27">
        <v>614993</v>
      </c>
      <c r="D1203" s="28">
        <v>44774</v>
      </c>
      <c r="E1203" s="29">
        <v>73</v>
      </c>
      <c r="F1203" s="15" t="str">
        <f t="shared" si="18"/>
        <v>1205-614993-44774</v>
      </c>
    </row>
    <row r="1204" spans="1:6" ht="14.25" customHeight="1" x14ac:dyDescent="0.25">
      <c r="A1204" s="15" t="s">
        <v>1344</v>
      </c>
      <c r="B1204" s="27">
        <v>1205</v>
      </c>
      <c r="C1204" s="27">
        <v>614993</v>
      </c>
      <c r="D1204" s="28">
        <v>44781</v>
      </c>
      <c r="E1204" s="29">
        <v>37</v>
      </c>
      <c r="F1204" s="15" t="str">
        <f t="shared" si="18"/>
        <v>1205-614993-44781</v>
      </c>
    </row>
    <row r="1205" spans="1:6" ht="14.25" customHeight="1" x14ac:dyDescent="0.25">
      <c r="A1205" s="15" t="s">
        <v>1345</v>
      </c>
      <c r="B1205" s="27">
        <v>1205</v>
      </c>
      <c r="C1205" s="27">
        <v>614993</v>
      </c>
      <c r="D1205" s="28">
        <v>44788</v>
      </c>
      <c r="E1205" s="29">
        <v>79</v>
      </c>
      <c r="F1205" s="15" t="str">
        <f t="shared" si="18"/>
        <v>1205-614993-44788</v>
      </c>
    </row>
    <row r="1206" spans="1:6" ht="14.25" customHeight="1" x14ac:dyDescent="0.25">
      <c r="A1206" s="15" t="s">
        <v>1346</v>
      </c>
      <c r="B1206" s="27">
        <v>1206</v>
      </c>
      <c r="C1206" s="27">
        <v>23393</v>
      </c>
      <c r="D1206" s="28">
        <v>32874</v>
      </c>
      <c r="E1206" s="29">
        <v>155</v>
      </c>
      <c r="F1206" s="15" t="str">
        <f t="shared" si="18"/>
        <v>1206-23393-32874</v>
      </c>
    </row>
    <row r="1207" spans="1:6" ht="14.25" customHeight="1" x14ac:dyDescent="0.25">
      <c r="A1207" s="15" t="s">
        <v>1347</v>
      </c>
      <c r="B1207" s="30">
        <v>1206</v>
      </c>
      <c r="C1207" s="27">
        <v>23393</v>
      </c>
      <c r="D1207" s="28">
        <v>44739</v>
      </c>
      <c r="E1207" s="29">
        <v>380</v>
      </c>
      <c r="F1207" s="15" t="str">
        <f t="shared" si="18"/>
        <v>1206-23393-44739</v>
      </c>
    </row>
    <row r="1208" spans="1:6" ht="14.25" customHeight="1" x14ac:dyDescent="0.25">
      <c r="A1208" s="15" t="s">
        <v>1348</v>
      </c>
      <c r="B1208" s="27">
        <v>1206</v>
      </c>
      <c r="C1208" s="27">
        <v>23393</v>
      </c>
      <c r="D1208" s="28">
        <v>44746</v>
      </c>
      <c r="E1208" s="29">
        <v>152</v>
      </c>
      <c r="F1208" s="15" t="str">
        <f t="shared" si="18"/>
        <v>1206-23393-44746</v>
      </c>
    </row>
    <row r="1209" spans="1:6" ht="14.25" customHeight="1" x14ac:dyDescent="0.25">
      <c r="A1209" s="15" t="s">
        <v>1349</v>
      </c>
      <c r="B1209" s="27">
        <v>1206</v>
      </c>
      <c r="C1209" s="27">
        <v>23393</v>
      </c>
      <c r="D1209" s="28">
        <v>44753</v>
      </c>
      <c r="E1209" s="29">
        <v>152</v>
      </c>
      <c r="F1209" s="15" t="str">
        <f t="shared" si="18"/>
        <v>1206-23393-44753</v>
      </c>
    </row>
    <row r="1210" spans="1:6" ht="14.25" customHeight="1" x14ac:dyDescent="0.25">
      <c r="A1210" s="15" t="s">
        <v>1350</v>
      </c>
      <c r="B1210" s="27">
        <v>1206</v>
      </c>
      <c r="C1210" s="27">
        <v>23393</v>
      </c>
      <c r="D1210" s="28">
        <v>44760</v>
      </c>
      <c r="E1210" s="29">
        <v>396</v>
      </c>
      <c r="F1210" s="15" t="str">
        <f t="shared" si="18"/>
        <v>1206-23393-44760</v>
      </c>
    </row>
    <row r="1211" spans="1:6" ht="14.25" customHeight="1" x14ac:dyDescent="0.25">
      <c r="A1211" s="15" t="s">
        <v>1351</v>
      </c>
      <c r="B1211" s="27">
        <v>1206</v>
      </c>
      <c r="C1211" s="27">
        <v>23393</v>
      </c>
      <c r="D1211" s="28">
        <v>44767</v>
      </c>
      <c r="E1211" s="29">
        <v>475</v>
      </c>
      <c r="F1211" s="15" t="str">
        <f t="shared" si="18"/>
        <v>1206-23393-44767</v>
      </c>
    </row>
    <row r="1212" spans="1:6" ht="14.25" customHeight="1" x14ac:dyDescent="0.25">
      <c r="A1212" s="15" t="s">
        <v>1352</v>
      </c>
      <c r="B1212" s="27">
        <v>1206</v>
      </c>
      <c r="C1212" s="27">
        <v>23393</v>
      </c>
      <c r="D1212" s="28">
        <v>44774</v>
      </c>
      <c r="E1212" s="29">
        <v>156</v>
      </c>
      <c r="F1212" s="15" t="str">
        <f t="shared" si="18"/>
        <v>1206-23393-44774</v>
      </c>
    </row>
    <row r="1213" spans="1:6" ht="14.25" customHeight="1" x14ac:dyDescent="0.25">
      <c r="A1213" s="15" t="s">
        <v>1353</v>
      </c>
      <c r="B1213" s="27">
        <v>1206</v>
      </c>
      <c r="C1213" s="27">
        <v>23393</v>
      </c>
      <c r="D1213" s="28">
        <v>44781</v>
      </c>
      <c r="E1213" s="29">
        <v>149</v>
      </c>
      <c r="F1213" s="15" t="str">
        <f t="shared" si="18"/>
        <v>1206-23393-44781</v>
      </c>
    </row>
    <row r="1214" spans="1:6" ht="14.25" customHeight="1" x14ac:dyDescent="0.25">
      <c r="A1214" s="15" t="s">
        <v>1354</v>
      </c>
      <c r="B1214" s="27">
        <v>1206</v>
      </c>
      <c r="C1214" s="27">
        <v>23393</v>
      </c>
      <c r="D1214" s="28">
        <v>44788</v>
      </c>
      <c r="E1214" s="29">
        <v>634</v>
      </c>
      <c r="F1214" s="15" t="str">
        <f t="shared" si="18"/>
        <v>1206-23393-44788</v>
      </c>
    </row>
    <row r="1215" spans="1:6" ht="14.25" customHeight="1" x14ac:dyDescent="0.25">
      <c r="A1215" s="15" t="s">
        <v>1355</v>
      </c>
      <c r="B1215" s="27">
        <v>1206</v>
      </c>
      <c r="C1215" s="27">
        <v>26764</v>
      </c>
      <c r="D1215" s="28">
        <v>44739</v>
      </c>
      <c r="E1215" s="29">
        <v>193</v>
      </c>
      <c r="F1215" s="15" t="str">
        <f t="shared" si="18"/>
        <v>1206-26764-44739</v>
      </c>
    </row>
    <row r="1216" spans="1:6" ht="14.25" customHeight="1" x14ac:dyDescent="0.25">
      <c r="A1216" s="15" t="s">
        <v>1356</v>
      </c>
      <c r="B1216" s="27">
        <v>1206</v>
      </c>
      <c r="C1216" s="27">
        <v>26764</v>
      </c>
      <c r="D1216" s="28">
        <v>44746</v>
      </c>
      <c r="E1216" s="29">
        <v>243</v>
      </c>
      <c r="F1216" s="15" t="str">
        <f t="shared" si="18"/>
        <v>1206-26764-44746</v>
      </c>
    </row>
    <row r="1217" spans="1:6" ht="14.25" customHeight="1" x14ac:dyDescent="0.25">
      <c r="A1217" s="15" t="s">
        <v>1357</v>
      </c>
      <c r="B1217" s="27">
        <v>1206</v>
      </c>
      <c r="C1217" s="27">
        <v>26764</v>
      </c>
      <c r="D1217" s="28">
        <v>44753</v>
      </c>
      <c r="E1217" s="29">
        <v>198</v>
      </c>
      <c r="F1217" s="15" t="str">
        <f t="shared" si="18"/>
        <v>1206-26764-44753</v>
      </c>
    </row>
    <row r="1218" spans="1:6" ht="14.25" customHeight="1" x14ac:dyDescent="0.25">
      <c r="A1218" s="15" t="s">
        <v>1358</v>
      </c>
      <c r="B1218" s="27">
        <v>1206</v>
      </c>
      <c r="C1218" s="27">
        <v>26764</v>
      </c>
      <c r="D1218" s="28">
        <v>44760</v>
      </c>
      <c r="E1218" s="29">
        <v>115</v>
      </c>
      <c r="F1218" s="15" t="str">
        <f t="shared" si="18"/>
        <v>1206-26764-44760</v>
      </c>
    </row>
    <row r="1219" spans="1:6" ht="14.25" customHeight="1" x14ac:dyDescent="0.25">
      <c r="A1219" s="15" t="s">
        <v>1359</v>
      </c>
      <c r="B1219" s="27">
        <v>1206</v>
      </c>
      <c r="C1219" s="27">
        <v>26764</v>
      </c>
      <c r="D1219" s="28">
        <v>44767</v>
      </c>
      <c r="E1219" s="29">
        <v>218</v>
      </c>
      <c r="F1219" s="15" t="str">
        <f t="shared" ref="F1219:F1282" si="19">B1219&amp;"-"&amp;C1219&amp;"-"&amp;INT(D1219)</f>
        <v>1206-26764-44767</v>
      </c>
    </row>
    <row r="1220" spans="1:6" ht="14.25" customHeight="1" x14ac:dyDescent="0.25">
      <c r="A1220" s="15" t="s">
        <v>1360</v>
      </c>
      <c r="B1220" s="27">
        <v>1206</v>
      </c>
      <c r="C1220" s="27">
        <v>26764</v>
      </c>
      <c r="D1220" s="28">
        <v>44774</v>
      </c>
      <c r="E1220" s="29">
        <v>185</v>
      </c>
      <c r="F1220" s="15" t="str">
        <f t="shared" si="19"/>
        <v>1206-26764-44774</v>
      </c>
    </row>
    <row r="1221" spans="1:6" ht="14.25" customHeight="1" x14ac:dyDescent="0.25">
      <c r="A1221" s="15" t="s">
        <v>1361</v>
      </c>
      <c r="B1221" s="27">
        <v>1206</v>
      </c>
      <c r="C1221" s="27">
        <v>26764</v>
      </c>
      <c r="D1221" s="28">
        <v>44781</v>
      </c>
      <c r="E1221" s="29">
        <v>217</v>
      </c>
      <c r="F1221" s="15" t="str">
        <f t="shared" si="19"/>
        <v>1206-26764-44781</v>
      </c>
    </row>
    <row r="1222" spans="1:6" ht="14.25" customHeight="1" x14ac:dyDescent="0.25">
      <c r="A1222" s="15" t="s">
        <v>1362</v>
      </c>
      <c r="B1222" s="27">
        <v>1206</v>
      </c>
      <c r="C1222" s="27">
        <v>26764</v>
      </c>
      <c r="D1222" s="28">
        <v>44788</v>
      </c>
      <c r="E1222" s="29">
        <v>248</v>
      </c>
      <c r="F1222" s="15" t="str">
        <f t="shared" si="19"/>
        <v>1206-26764-44788</v>
      </c>
    </row>
    <row r="1223" spans="1:6" ht="14.25" customHeight="1" x14ac:dyDescent="0.25">
      <c r="A1223" s="15" t="s">
        <v>1363</v>
      </c>
      <c r="B1223" s="27">
        <v>1206</v>
      </c>
      <c r="C1223" s="27">
        <v>53934</v>
      </c>
      <c r="D1223" s="28">
        <v>44739</v>
      </c>
      <c r="E1223" s="29">
        <v>355</v>
      </c>
      <c r="F1223" s="15" t="str">
        <f t="shared" si="19"/>
        <v>1206-53934-44739</v>
      </c>
    </row>
    <row r="1224" spans="1:6" ht="14.25" customHeight="1" x14ac:dyDescent="0.25">
      <c r="A1224" s="15" t="s">
        <v>1364</v>
      </c>
      <c r="B1224" s="27">
        <v>1206</v>
      </c>
      <c r="C1224" s="27">
        <v>53934</v>
      </c>
      <c r="D1224" s="28">
        <v>44746</v>
      </c>
      <c r="E1224" s="29">
        <v>100</v>
      </c>
      <c r="F1224" s="15" t="str">
        <f t="shared" si="19"/>
        <v>1206-53934-44746</v>
      </c>
    </row>
    <row r="1225" spans="1:6" ht="14.25" customHeight="1" x14ac:dyDescent="0.25">
      <c r="A1225" s="15" t="s">
        <v>1365</v>
      </c>
      <c r="B1225" s="27">
        <v>1206</v>
      </c>
      <c r="C1225" s="27">
        <v>53934</v>
      </c>
      <c r="D1225" s="28">
        <v>44753</v>
      </c>
      <c r="E1225" s="29">
        <v>283</v>
      </c>
      <c r="F1225" s="15" t="str">
        <f t="shared" si="19"/>
        <v>1206-53934-44753</v>
      </c>
    </row>
    <row r="1226" spans="1:6" ht="14.25" customHeight="1" x14ac:dyDescent="0.25">
      <c r="A1226" s="15" t="s">
        <v>1366</v>
      </c>
      <c r="B1226" s="27">
        <v>1206</v>
      </c>
      <c r="C1226" s="27">
        <v>53934</v>
      </c>
      <c r="D1226" s="28">
        <v>44760</v>
      </c>
      <c r="E1226" s="29">
        <v>374</v>
      </c>
      <c r="F1226" s="15" t="str">
        <f t="shared" si="19"/>
        <v>1206-53934-44760</v>
      </c>
    </row>
    <row r="1227" spans="1:6" ht="14.25" customHeight="1" x14ac:dyDescent="0.25">
      <c r="A1227" s="15" t="s">
        <v>1367</v>
      </c>
      <c r="B1227" s="27">
        <v>1206</v>
      </c>
      <c r="C1227" s="27">
        <v>53934</v>
      </c>
      <c r="D1227" s="28">
        <v>44767</v>
      </c>
      <c r="E1227" s="29">
        <v>98</v>
      </c>
      <c r="F1227" s="15" t="str">
        <f t="shared" si="19"/>
        <v>1206-53934-44767</v>
      </c>
    </row>
    <row r="1228" spans="1:6" ht="14.25" customHeight="1" x14ac:dyDescent="0.25">
      <c r="A1228" s="15" t="s">
        <v>1368</v>
      </c>
      <c r="B1228" s="27">
        <v>1206</v>
      </c>
      <c r="C1228" s="27">
        <v>53934</v>
      </c>
      <c r="D1228" s="28">
        <v>44774</v>
      </c>
      <c r="E1228" s="29">
        <v>374</v>
      </c>
      <c r="F1228" s="15" t="str">
        <f t="shared" si="19"/>
        <v>1206-53934-44774</v>
      </c>
    </row>
    <row r="1229" spans="1:6" ht="14.25" customHeight="1" x14ac:dyDescent="0.25">
      <c r="A1229" s="15" t="s">
        <v>1369</v>
      </c>
      <c r="B1229" s="27">
        <v>1206</v>
      </c>
      <c r="C1229" s="27">
        <v>53934</v>
      </c>
      <c r="D1229" s="28">
        <v>44781</v>
      </c>
      <c r="E1229" s="29">
        <v>158</v>
      </c>
      <c r="F1229" s="15" t="str">
        <f t="shared" si="19"/>
        <v>1206-53934-44781</v>
      </c>
    </row>
    <row r="1230" spans="1:6" ht="14.25" customHeight="1" x14ac:dyDescent="0.25">
      <c r="A1230" s="15" t="s">
        <v>1370</v>
      </c>
      <c r="B1230" s="27">
        <v>1206</v>
      </c>
      <c r="C1230" s="27">
        <v>53934</v>
      </c>
      <c r="D1230" s="28">
        <v>44788</v>
      </c>
      <c r="E1230" s="29">
        <v>95</v>
      </c>
      <c r="F1230" s="15" t="str">
        <f t="shared" si="19"/>
        <v>1206-53934-44788</v>
      </c>
    </row>
    <row r="1231" spans="1:6" ht="14.25" customHeight="1" x14ac:dyDescent="0.25">
      <c r="A1231" s="15" t="s">
        <v>1371</v>
      </c>
      <c r="B1231" s="27">
        <v>1206</v>
      </c>
      <c r="C1231" s="27">
        <v>78699</v>
      </c>
      <c r="D1231" s="28">
        <v>44739</v>
      </c>
      <c r="E1231" s="29">
        <v>32</v>
      </c>
      <c r="F1231" s="15" t="str">
        <f t="shared" si="19"/>
        <v>1206-78699-44739</v>
      </c>
    </row>
    <row r="1232" spans="1:6" ht="14.25" customHeight="1" x14ac:dyDescent="0.25">
      <c r="A1232" s="15" t="s">
        <v>1372</v>
      </c>
      <c r="B1232" s="27">
        <v>1206</v>
      </c>
      <c r="C1232" s="27">
        <v>78699</v>
      </c>
      <c r="D1232" s="28">
        <v>44746</v>
      </c>
      <c r="E1232" s="29">
        <v>29</v>
      </c>
      <c r="F1232" s="15" t="str">
        <f t="shared" si="19"/>
        <v>1206-78699-44746</v>
      </c>
    </row>
    <row r="1233" spans="1:6" ht="14.25" customHeight="1" x14ac:dyDescent="0.25">
      <c r="A1233" s="15" t="s">
        <v>1373</v>
      </c>
      <c r="B1233" s="27">
        <v>1206</v>
      </c>
      <c r="C1233" s="27">
        <v>78699</v>
      </c>
      <c r="D1233" s="28">
        <v>44753</v>
      </c>
      <c r="E1233" s="29">
        <v>45</v>
      </c>
      <c r="F1233" s="15" t="str">
        <f t="shared" si="19"/>
        <v>1206-78699-44753</v>
      </c>
    </row>
    <row r="1234" spans="1:6" ht="14.25" customHeight="1" x14ac:dyDescent="0.25">
      <c r="A1234" s="15" t="s">
        <v>1374</v>
      </c>
      <c r="B1234" s="27">
        <v>1206</v>
      </c>
      <c r="C1234" s="27">
        <v>78699</v>
      </c>
      <c r="D1234" s="28">
        <v>44760</v>
      </c>
      <c r="E1234" s="29">
        <v>7</v>
      </c>
      <c r="F1234" s="15" t="str">
        <f t="shared" si="19"/>
        <v>1206-78699-44760</v>
      </c>
    </row>
    <row r="1235" spans="1:6" ht="14.25" customHeight="1" x14ac:dyDescent="0.25">
      <c r="A1235" s="15" t="s">
        <v>1375</v>
      </c>
      <c r="B1235" s="27">
        <v>1206</v>
      </c>
      <c r="C1235" s="27">
        <v>78699</v>
      </c>
      <c r="D1235" s="28">
        <v>44767</v>
      </c>
      <c r="E1235" s="29">
        <v>13</v>
      </c>
      <c r="F1235" s="15" t="str">
        <f t="shared" si="19"/>
        <v>1206-78699-44767</v>
      </c>
    </row>
    <row r="1236" spans="1:6" ht="14.25" customHeight="1" x14ac:dyDescent="0.25">
      <c r="A1236" s="15" t="s">
        <v>1376</v>
      </c>
      <c r="B1236" s="27">
        <v>1206</v>
      </c>
      <c r="C1236" s="27">
        <v>78699</v>
      </c>
      <c r="D1236" s="28">
        <v>44774</v>
      </c>
      <c r="E1236" s="29">
        <v>33</v>
      </c>
      <c r="F1236" s="15" t="str">
        <f t="shared" si="19"/>
        <v>1206-78699-44774</v>
      </c>
    </row>
    <row r="1237" spans="1:6" ht="14.25" customHeight="1" x14ac:dyDescent="0.25">
      <c r="A1237" s="15" t="s">
        <v>1377</v>
      </c>
      <c r="B1237" s="27">
        <v>1206</v>
      </c>
      <c r="C1237" s="27">
        <v>78699</v>
      </c>
      <c r="D1237" s="28">
        <v>44781</v>
      </c>
      <c r="E1237" s="29">
        <v>33</v>
      </c>
      <c r="F1237" s="15" t="str">
        <f t="shared" si="19"/>
        <v>1206-78699-44781</v>
      </c>
    </row>
    <row r="1238" spans="1:6" ht="14.25" customHeight="1" x14ac:dyDescent="0.25">
      <c r="A1238" s="15" t="s">
        <v>1378</v>
      </c>
      <c r="B1238" s="27">
        <v>1206</v>
      </c>
      <c r="C1238" s="27">
        <v>78699</v>
      </c>
      <c r="D1238" s="28">
        <v>44788</v>
      </c>
      <c r="E1238" s="29">
        <v>18</v>
      </c>
      <c r="F1238" s="15" t="str">
        <f t="shared" si="19"/>
        <v>1206-78699-44788</v>
      </c>
    </row>
    <row r="1239" spans="1:6" ht="14.25" customHeight="1" x14ac:dyDescent="0.25">
      <c r="A1239" s="15" t="s">
        <v>1379</v>
      </c>
      <c r="B1239" s="27">
        <v>1206</v>
      </c>
      <c r="C1239" s="27">
        <v>78869</v>
      </c>
      <c r="D1239" s="28">
        <v>44739</v>
      </c>
      <c r="E1239" s="29">
        <v>64</v>
      </c>
      <c r="F1239" s="15" t="str">
        <f t="shared" si="19"/>
        <v>1206-78869-44739</v>
      </c>
    </row>
    <row r="1240" spans="1:6" ht="14.25" customHeight="1" x14ac:dyDescent="0.25">
      <c r="A1240" s="15" t="s">
        <v>1380</v>
      </c>
      <c r="B1240" s="27">
        <v>1206</v>
      </c>
      <c r="C1240" s="27">
        <v>78869</v>
      </c>
      <c r="D1240" s="28">
        <v>44746</v>
      </c>
      <c r="E1240" s="29">
        <v>19</v>
      </c>
      <c r="F1240" s="15" t="str">
        <f t="shared" si="19"/>
        <v>1206-78869-44746</v>
      </c>
    </row>
    <row r="1241" spans="1:6" ht="14.25" customHeight="1" x14ac:dyDescent="0.25">
      <c r="A1241" s="15" t="s">
        <v>1381</v>
      </c>
      <c r="B1241" s="27">
        <v>1206</v>
      </c>
      <c r="C1241" s="27">
        <v>78869</v>
      </c>
      <c r="D1241" s="28">
        <v>44753</v>
      </c>
      <c r="E1241" s="29">
        <v>16</v>
      </c>
      <c r="F1241" s="15" t="str">
        <f t="shared" si="19"/>
        <v>1206-78869-44753</v>
      </c>
    </row>
    <row r="1242" spans="1:6" ht="14.25" customHeight="1" x14ac:dyDescent="0.25">
      <c r="A1242" s="15" t="s">
        <v>1382</v>
      </c>
      <c r="B1242" s="27">
        <v>1206</v>
      </c>
      <c r="C1242" s="27">
        <v>78869</v>
      </c>
      <c r="D1242" s="28">
        <v>44760</v>
      </c>
      <c r="E1242" s="29">
        <v>52</v>
      </c>
      <c r="F1242" s="15" t="str">
        <f t="shared" si="19"/>
        <v>1206-78869-44760</v>
      </c>
    </row>
    <row r="1243" spans="1:6" ht="14.25" customHeight="1" x14ac:dyDescent="0.25">
      <c r="A1243" s="15" t="s">
        <v>1383</v>
      </c>
      <c r="B1243" s="27">
        <v>1206</v>
      </c>
      <c r="C1243" s="27">
        <v>78869</v>
      </c>
      <c r="D1243" s="28">
        <v>44767</v>
      </c>
      <c r="E1243" s="29">
        <v>27</v>
      </c>
      <c r="F1243" s="15" t="str">
        <f t="shared" si="19"/>
        <v>1206-78869-44767</v>
      </c>
    </row>
    <row r="1244" spans="1:6" ht="14.25" customHeight="1" x14ac:dyDescent="0.25">
      <c r="A1244" s="15" t="s">
        <v>1384</v>
      </c>
      <c r="B1244" s="27">
        <v>1206</v>
      </c>
      <c r="C1244" s="27">
        <v>78869</v>
      </c>
      <c r="D1244" s="28">
        <v>44774</v>
      </c>
      <c r="E1244" s="29">
        <v>58</v>
      </c>
      <c r="F1244" s="15" t="str">
        <f t="shared" si="19"/>
        <v>1206-78869-44774</v>
      </c>
    </row>
    <row r="1245" spans="1:6" ht="14.25" customHeight="1" x14ac:dyDescent="0.25">
      <c r="A1245" s="15" t="s">
        <v>1385</v>
      </c>
      <c r="B1245" s="27">
        <v>1206</v>
      </c>
      <c r="C1245" s="27">
        <v>78869</v>
      </c>
      <c r="D1245" s="28">
        <v>44781</v>
      </c>
      <c r="E1245" s="29">
        <v>54</v>
      </c>
      <c r="F1245" s="15" t="str">
        <f t="shared" si="19"/>
        <v>1206-78869-44781</v>
      </c>
    </row>
    <row r="1246" spans="1:6" ht="14.25" customHeight="1" x14ac:dyDescent="0.25">
      <c r="A1246" s="15" t="s">
        <v>1386</v>
      </c>
      <c r="B1246" s="27">
        <v>1206</v>
      </c>
      <c r="C1246" s="27">
        <v>78869</v>
      </c>
      <c r="D1246" s="28">
        <v>44788</v>
      </c>
      <c r="E1246" s="29">
        <v>30</v>
      </c>
      <c r="F1246" s="15" t="str">
        <f t="shared" si="19"/>
        <v>1206-78869-44788</v>
      </c>
    </row>
    <row r="1247" spans="1:6" ht="14.25" customHeight="1" x14ac:dyDescent="0.25">
      <c r="A1247" s="15" t="s">
        <v>1387</v>
      </c>
      <c r="B1247" s="27">
        <v>1206</v>
      </c>
      <c r="C1247" s="27">
        <v>115600</v>
      </c>
      <c r="D1247" s="28">
        <v>44739</v>
      </c>
      <c r="E1247" s="29">
        <v>13</v>
      </c>
      <c r="F1247" s="15" t="str">
        <f t="shared" si="19"/>
        <v>1206-115600-44739</v>
      </c>
    </row>
    <row r="1248" spans="1:6" ht="14.25" customHeight="1" x14ac:dyDescent="0.25">
      <c r="A1248" s="15" t="s">
        <v>1388</v>
      </c>
      <c r="B1248" s="27">
        <v>1206</v>
      </c>
      <c r="C1248" s="27">
        <v>115600</v>
      </c>
      <c r="D1248" s="28">
        <v>44746</v>
      </c>
      <c r="E1248" s="29">
        <v>50</v>
      </c>
      <c r="F1248" s="15" t="str">
        <f t="shared" si="19"/>
        <v>1206-115600-44746</v>
      </c>
    </row>
    <row r="1249" spans="1:6" ht="14.25" customHeight="1" x14ac:dyDescent="0.25">
      <c r="A1249" s="15" t="s">
        <v>1389</v>
      </c>
      <c r="B1249" s="27">
        <v>1206</v>
      </c>
      <c r="C1249" s="27">
        <v>115600</v>
      </c>
      <c r="D1249" s="28">
        <v>44753</v>
      </c>
      <c r="E1249" s="29">
        <v>49</v>
      </c>
      <c r="F1249" s="15" t="str">
        <f t="shared" si="19"/>
        <v>1206-115600-44753</v>
      </c>
    </row>
    <row r="1250" spans="1:6" ht="14.25" customHeight="1" x14ac:dyDescent="0.25">
      <c r="A1250" s="15" t="s">
        <v>1390</v>
      </c>
      <c r="B1250" s="27">
        <v>1206</v>
      </c>
      <c r="C1250" s="27">
        <v>115600</v>
      </c>
      <c r="D1250" s="28">
        <v>44760</v>
      </c>
      <c r="E1250" s="29">
        <v>17</v>
      </c>
      <c r="F1250" s="15" t="str">
        <f t="shared" si="19"/>
        <v>1206-115600-44760</v>
      </c>
    </row>
    <row r="1251" spans="1:6" ht="14.25" customHeight="1" x14ac:dyDescent="0.25">
      <c r="A1251" s="15" t="s">
        <v>1391</v>
      </c>
      <c r="B1251" s="27">
        <v>1206</v>
      </c>
      <c r="C1251" s="27">
        <v>115600</v>
      </c>
      <c r="D1251" s="28">
        <v>44767</v>
      </c>
      <c r="E1251" s="29">
        <v>53</v>
      </c>
      <c r="F1251" s="15" t="str">
        <f t="shared" si="19"/>
        <v>1206-115600-44767</v>
      </c>
    </row>
    <row r="1252" spans="1:6" ht="14.25" customHeight="1" x14ac:dyDescent="0.25">
      <c r="A1252" s="15" t="s">
        <v>1392</v>
      </c>
      <c r="B1252" s="27">
        <v>1206</v>
      </c>
      <c r="C1252" s="27">
        <v>115600</v>
      </c>
      <c r="D1252" s="28">
        <v>44774</v>
      </c>
      <c r="E1252" s="29">
        <v>41</v>
      </c>
      <c r="F1252" s="15" t="str">
        <f t="shared" si="19"/>
        <v>1206-115600-44774</v>
      </c>
    </row>
    <row r="1253" spans="1:6" ht="14.25" customHeight="1" x14ac:dyDescent="0.25">
      <c r="A1253" s="15" t="s">
        <v>1393</v>
      </c>
      <c r="B1253" s="27">
        <v>1206</v>
      </c>
      <c r="C1253" s="27">
        <v>115600</v>
      </c>
      <c r="D1253" s="28">
        <v>44781</v>
      </c>
      <c r="E1253" s="29">
        <v>41</v>
      </c>
      <c r="F1253" s="15" t="str">
        <f t="shared" si="19"/>
        <v>1206-115600-44781</v>
      </c>
    </row>
    <row r="1254" spans="1:6" ht="14.25" customHeight="1" x14ac:dyDescent="0.25">
      <c r="A1254" s="15" t="s">
        <v>1394</v>
      </c>
      <c r="B1254" s="27">
        <v>1206</v>
      </c>
      <c r="C1254" s="27">
        <v>115600</v>
      </c>
      <c r="D1254" s="28">
        <v>44788</v>
      </c>
      <c r="E1254" s="29">
        <v>42</v>
      </c>
      <c r="F1254" s="15" t="str">
        <f t="shared" si="19"/>
        <v>1206-115600-44788</v>
      </c>
    </row>
    <row r="1255" spans="1:6" ht="14.25" customHeight="1" x14ac:dyDescent="0.25">
      <c r="A1255" s="15" t="s">
        <v>1395</v>
      </c>
      <c r="B1255" s="27">
        <v>1206</v>
      </c>
      <c r="C1255" s="27">
        <v>129208</v>
      </c>
      <c r="D1255" s="28">
        <v>44739</v>
      </c>
      <c r="E1255" s="29">
        <v>10</v>
      </c>
      <c r="F1255" s="15" t="str">
        <f t="shared" si="19"/>
        <v>1206-129208-44739</v>
      </c>
    </row>
    <row r="1256" spans="1:6" ht="14.25" customHeight="1" x14ac:dyDescent="0.25">
      <c r="A1256" s="15" t="s">
        <v>1396</v>
      </c>
      <c r="B1256" s="27">
        <v>1206</v>
      </c>
      <c r="C1256" s="27">
        <v>129208</v>
      </c>
      <c r="D1256" s="28">
        <v>44746</v>
      </c>
      <c r="E1256" s="29">
        <v>15</v>
      </c>
      <c r="F1256" s="15" t="str">
        <f t="shared" si="19"/>
        <v>1206-129208-44746</v>
      </c>
    </row>
    <row r="1257" spans="1:6" ht="14.25" customHeight="1" x14ac:dyDescent="0.25">
      <c r="A1257" s="15" t="s">
        <v>1397</v>
      </c>
      <c r="B1257" s="27">
        <v>1206</v>
      </c>
      <c r="C1257" s="27">
        <v>129208</v>
      </c>
      <c r="D1257" s="28">
        <v>44753</v>
      </c>
      <c r="E1257" s="29">
        <v>15</v>
      </c>
      <c r="F1257" s="15" t="str">
        <f t="shared" si="19"/>
        <v>1206-129208-44753</v>
      </c>
    </row>
    <row r="1258" spans="1:6" ht="14.25" customHeight="1" x14ac:dyDescent="0.25">
      <c r="A1258" s="15" t="s">
        <v>1398</v>
      </c>
      <c r="B1258" s="27">
        <v>1206</v>
      </c>
      <c r="C1258" s="27">
        <v>129208</v>
      </c>
      <c r="D1258" s="28">
        <v>44760</v>
      </c>
      <c r="E1258" s="29">
        <v>21</v>
      </c>
      <c r="F1258" s="15" t="str">
        <f t="shared" si="19"/>
        <v>1206-129208-44760</v>
      </c>
    </row>
    <row r="1259" spans="1:6" ht="14.25" customHeight="1" x14ac:dyDescent="0.25">
      <c r="A1259" s="15" t="s">
        <v>1399</v>
      </c>
      <c r="B1259" s="27">
        <v>1206</v>
      </c>
      <c r="C1259" s="27">
        <v>129208</v>
      </c>
      <c r="D1259" s="28">
        <v>44767</v>
      </c>
      <c r="E1259" s="29">
        <v>6</v>
      </c>
      <c r="F1259" s="15" t="str">
        <f t="shared" si="19"/>
        <v>1206-129208-44767</v>
      </c>
    </row>
    <row r="1260" spans="1:6" ht="14.25" customHeight="1" x14ac:dyDescent="0.25">
      <c r="A1260" s="15" t="s">
        <v>1400</v>
      </c>
      <c r="B1260" s="27">
        <v>1206</v>
      </c>
      <c r="C1260" s="27">
        <v>129208</v>
      </c>
      <c r="D1260" s="28">
        <v>44774</v>
      </c>
      <c r="E1260" s="29">
        <v>7</v>
      </c>
      <c r="F1260" s="15" t="str">
        <f t="shared" si="19"/>
        <v>1206-129208-44774</v>
      </c>
    </row>
    <row r="1261" spans="1:6" ht="14.25" customHeight="1" x14ac:dyDescent="0.25">
      <c r="A1261" s="15" t="s">
        <v>1401</v>
      </c>
      <c r="B1261" s="27">
        <v>1206</v>
      </c>
      <c r="C1261" s="27">
        <v>129208</v>
      </c>
      <c r="D1261" s="28">
        <v>44781</v>
      </c>
      <c r="E1261" s="29">
        <v>19</v>
      </c>
      <c r="F1261" s="15" t="str">
        <f t="shared" si="19"/>
        <v>1206-129208-44781</v>
      </c>
    </row>
    <row r="1262" spans="1:6" ht="14.25" customHeight="1" x14ac:dyDescent="0.25">
      <c r="A1262" s="15" t="s">
        <v>1402</v>
      </c>
      <c r="B1262" s="27">
        <v>1206</v>
      </c>
      <c r="C1262" s="27">
        <v>129208</v>
      </c>
      <c r="D1262" s="28">
        <v>44788</v>
      </c>
      <c r="E1262" s="29">
        <v>15</v>
      </c>
      <c r="F1262" s="15" t="str">
        <f t="shared" si="19"/>
        <v>1206-129208-44788</v>
      </c>
    </row>
    <row r="1263" spans="1:6" ht="14.25" customHeight="1" x14ac:dyDescent="0.25">
      <c r="A1263" s="15" t="s">
        <v>1403</v>
      </c>
      <c r="B1263" s="27">
        <v>1206</v>
      </c>
      <c r="C1263" s="27">
        <v>141622</v>
      </c>
      <c r="D1263" s="28">
        <v>44739</v>
      </c>
      <c r="E1263" s="29">
        <v>50</v>
      </c>
      <c r="F1263" s="15" t="str">
        <f t="shared" si="19"/>
        <v>1206-141622-44739</v>
      </c>
    </row>
    <row r="1264" spans="1:6" ht="14.25" customHeight="1" x14ac:dyDescent="0.25">
      <c r="A1264" s="15" t="s">
        <v>1404</v>
      </c>
      <c r="B1264" s="27">
        <v>1206</v>
      </c>
      <c r="C1264" s="27">
        <v>141622</v>
      </c>
      <c r="D1264" s="28">
        <v>44746</v>
      </c>
      <c r="E1264" s="29">
        <v>56</v>
      </c>
      <c r="F1264" s="15" t="str">
        <f t="shared" si="19"/>
        <v>1206-141622-44746</v>
      </c>
    </row>
    <row r="1265" spans="1:6" ht="14.25" customHeight="1" x14ac:dyDescent="0.25">
      <c r="A1265" s="15" t="s">
        <v>1405</v>
      </c>
      <c r="B1265" s="27">
        <v>1206</v>
      </c>
      <c r="C1265" s="27">
        <v>141622</v>
      </c>
      <c r="D1265" s="28">
        <v>44753</v>
      </c>
      <c r="E1265" s="29">
        <v>30</v>
      </c>
      <c r="F1265" s="15" t="str">
        <f t="shared" si="19"/>
        <v>1206-141622-44753</v>
      </c>
    </row>
    <row r="1266" spans="1:6" ht="14.25" customHeight="1" x14ac:dyDescent="0.25">
      <c r="A1266" s="15" t="s">
        <v>1406</v>
      </c>
      <c r="B1266" s="27">
        <v>1206</v>
      </c>
      <c r="C1266" s="27">
        <v>141622</v>
      </c>
      <c r="D1266" s="28">
        <v>44760</v>
      </c>
      <c r="E1266" s="29">
        <v>42</v>
      </c>
      <c r="F1266" s="15" t="str">
        <f t="shared" si="19"/>
        <v>1206-141622-44760</v>
      </c>
    </row>
    <row r="1267" spans="1:6" ht="14.25" customHeight="1" x14ac:dyDescent="0.25">
      <c r="A1267" s="15" t="s">
        <v>1407</v>
      </c>
      <c r="B1267" s="27">
        <v>1206</v>
      </c>
      <c r="C1267" s="27">
        <v>141622</v>
      </c>
      <c r="D1267" s="28">
        <v>44767</v>
      </c>
      <c r="E1267" s="29">
        <v>59</v>
      </c>
      <c r="F1267" s="15" t="str">
        <f t="shared" si="19"/>
        <v>1206-141622-44767</v>
      </c>
    </row>
    <row r="1268" spans="1:6" ht="14.25" customHeight="1" x14ac:dyDescent="0.25">
      <c r="A1268" s="15" t="s">
        <v>1408</v>
      </c>
      <c r="B1268" s="27">
        <v>1206</v>
      </c>
      <c r="C1268" s="27">
        <v>141622</v>
      </c>
      <c r="D1268" s="28">
        <v>44774</v>
      </c>
      <c r="E1268" s="29">
        <v>67</v>
      </c>
      <c r="F1268" s="15" t="str">
        <f t="shared" si="19"/>
        <v>1206-141622-44774</v>
      </c>
    </row>
    <row r="1269" spans="1:6" ht="14.25" customHeight="1" x14ac:dyDescent="0.25">
      <c r="A1269" s="15" t="s">
        <v>1409</v>
      </c>
      <c r="B1269" s="27">
        <v>1206</v>
      </c>
      <c r="C1269" s="27">
        <v>141622</v>
      </c>
      <c r="D1269" s="28">
        <v>44781</v>
      </c>
      <c r="E1269" s="29">
        <v>33</v>
      </c>
      <c r="F1269" s="15" t="str">
        <f t="shared" si="19"/>
        <v>1206-141622-44781</v>
      </c>
    </row>
    <row r="1270" spans="1:6" ht="14.25" customHeight="1" x14ac:dyDescent="0.25">
      <c r="A1270" s="15" t="s">
        <v>1410</v>
      </c>
      <c r="B1270" s="27">
        <v>1206</v>
      </c>
      <c r="C1270" s="27">
        <v>141622</v>
      </c>
      <c r="D1270" s="28">
        <v>44788</v>
      </c>
      <c r="E1270" s="29">
        <v>54</v>
      </c>
      <c r="F1270" s="15" t="str">
        <f t="shared" si="19"/>
        <v>1206-141622-44788</v>
      </c>
    </row>
    <row r="1271" spans="1:6" ht="14.25" customHeight="1" x14ac:dyDescent="0.25">
      <c r="A1271" s="15" t="s">
        <v>1411</v>
      </c>
      <c r="B1271" s="27">
        <v>1206</v>
      </c>
      <c r="C1271" s="27">
        <v>141626</v>
      </c>
      <c r="D1271" s="28">
        <v>44739</v>
      </c>
      <c r="E1271" s="29">
        <v>15</v>
      </c>
      <c r="F1271" s="15" t="str">
        <f t="shared" si="19"/>
        <v>1206-141626-44739</v>
      </c>
    </row>
    <row r="1272" spans="1:6" ht="14.25" customHeight="1" x14ac:dyDescent="0.25">
      <c r="A1272" s="15" t="s">
        <v>1412</v>
      </c>
      <c r="B1272" s="27">
        <v>1206</v>
      </c>
      <c r="C1272" s="27">
        <v>141626</v>
      </c>
      <c r="D1272" s="28">
        <v>44746</v>
      </c>
      <c r="E1272" s="29">
        <v>15</v>
      </c>
      <c r="F1272" s="15" t="str">
        <f t="shared" si="19"/>
        <v>1206-141626-44746</v>
      </c>
    </row>
    <row r="1273" spans="1:6" ht="14.25" customHeight="1" x14ac:dyDescent="0.25">
      <c r="A1273" s="15" t="s">
        <v>1413</v>
      </c>
      <c r="B1273" s="27">
        <v>1206</v>
      </c>
      <c r="C1273" s="27">
        <v>141626</v>
      </c>
      <c r="D1273" s="28">
        <v>44753</v>
      </c>
      <c r="E1273" s="29">
        <v>15</v>
      </c>
      <c r="F1273" s="15" t="str">
        <f t="shared" si="19"/>
        <v>1206-141626-44753</v>
      </c>
    </row>
    <row r="1274" spans="1:6" ht="14.25" customHeight="1" x14ac:dyDescent="0.25">
      <c r="A1274" s="15" t="s">
        <v>1414</v>
      </c>
      <c r="B1274" s="27">
        <v>1206</v>
      </c>
      <c r="C1274" s="27">
        <v>141626</v>
      </c>
      <c r="D1274" s="28">
        <v>44760</v>
      </c>
      <c r="E1274" s="29">
        <v>15</v>
      </c>
      <c r="F1274" s="15" t="str">
        <f t="shared" si="19"/>
        <v>1206-141626-44760</v>
      </c>
    </row>
    <row r="1275" spans="1:6" ht="14.25" customHeight="1" x14ac:dyDescent="0.25">
      <c r="A1275" s="15" t="s">
        <v>1415</v>
      </c>
      <c r="B1275" s="27">
        <v>1206</v>
      </c>
      <c r="C1275" s="27">
        <v>141626</v>
      </c>
      <c r="D1275" s="28">
        <v>44767</v>
      </c>
      <c r="E1275" s="29">
        <v>15</v>
      </c>
      <c r="F1275" s="15" t="str">
        <f t="shared" si="19"/>
        <v>1206-141626-44767</v>
      </c>
    </row>
    <row r="1276" spans="1:6" ht="14.25" customHeight="1" x14ac:dyDescent="0.25">
      <c r="A1276" s="15" t="s">
        <v>1416</v>
      </c>
      <c r="B1276" s="27">
        <v>1206</v>
      </c>
      <c r="C1276" s="27">
        <v>141626</v>
      </c>
      <c r="D1276" s="28">
        <v>44774</v>
      </c>
      <c r="E1276" s="29">
        <v>15</v>
      </c>
      <c r="F1276" s="15" t="str">
        <f t="shared" si="19"/>
        <v>1206-141626-44774</v>
      </c>
    </row>
    <row r="1277" spans="1:6" ht="14.25" customHeight="1" x14ac:dyDescent="0.25">
      <c r="A1277" s="15" t="s">
        <v>1417</v>
      </c>
      <c r="B1277" s="27">
        <v>1206</v>
      </c>
      <c r="C1277" s="27">
        <v>141626</v>
      </c>
      <c r="D1277" s="28">
        <v>44781</v>
      </c>
      <c r="E1277" s="29">
        <v>15</v>
      </c>
      <c r="F1277" s="15" t="str">
        <f t="shared" si="19"/>
        <v>1206-141626-44781</v>
      </c>
    </row>
    <row r="1278" spans="1:6" ht="14.25" customHeight="1" x14ac:dyDescent="0.25">
      <c r="A1278" s="15" t="s">
        <v>1418</v>
      </c>
      <c r="B1278" s="27">
        <v>1206</v>
      </c>
      <c r="C1278" s="27">
        <v>141626</v>
      </c>
      <c r="D1278" s="28">
        <v>44788</v>
      </c>
      <c r="E1278" s="29">
        <v>15</v>
      </c>
      <c r="F1278" s="15" t="str">
        <f t="shared" si="19"/>
        <v>1206-141626-44788</v>
      </c>
    </row>
    <row r="1279" spans="1:6" ht="14.25" customHeight="1" x14ac:dyDescent="0.25">
      <c r="A1279" s="15" t="s">
        <v>1419</v>
      </c>
      <c r="B1279" s="27">
        <v>1206</v>
      </c>
      <c r="C1279" s="27">
        <v>141791</v>
      </c>
      <c r="D1279" s="28">
        <v>44739</v>
      </c>
      <c r="E1279" s="29">
        <v>43</v>
      </c>
      <c r="F1279" s="15" t="str">
        <f t="shared" si="19"/>
        <v>1206-141791-44739</v>
      </c>
    </row>
    <row r="1280" spans="1:6" ht="14.25" customHeight="1" x14ac:dyDescent="0.25">
      <c r="A1280" s="15" t="s">
        <v>1420</v>
      </c>
      <c r="B1280" s="27">
        <v>1206</v>
      </c>
      <c r="C1280" s="27">
        <v>141791</v>
      </c>
      <c r="D1280" s="28">
        <v>44746</v>
      </c>
      <c r="E1280" s="29">
        <v>14</v>
      </c>
      <c r="F1280" s="15" t="str">
        <f t="shared" si="19"/>
        <v>1206-141791-44746</v>
      </c>
    </row>
    <row r="1281" spans="1:6" ht="14.25" customHeight="1" x14ac:dyDescent="0.25">
      <c r="A1281" s="15" t="s">
        <v>1421</v>
      </c>
      <c r="B1281" s="27">
        <v>1206</v>
      </c>
      <c r="C1281" s="27">
        <v>141791</v>
      </c>
      <c r="D1281" s="28">
        <v>44753</v>
      </c>
      <c r="E1281" s="29">
        <v>37</v>
      </c>
      <c r="F1281" s="15" t="str">
        <f t="shared" si="19"/>
        <v>1206-141791-44753</v>
      </c>
    </row>
    <row r="1282" spans="1:6" ht="14.25" customHeight="1" x14ac:dyDescent="0.25">
      <c r="A1282" s="15" t="s">
        <v>1422</v>
      </c>
      <c r="B1282" s="27">
        <v>1206</v>
      </c>
      <c r="C1282" s="27">
        <v>141791</v>
      </c>
      <c r="D1282" s="28">
        <v>44760</v>
      </c>
      <c r="E1282" s="29">
        <v>36</v>
      </c>
      <c r="F1282" s="15" t="str">
        <f t="shared" si="19"/>
        <v>1206-141791-44760</v>
      </c>
    </row>
    <row r="1283" spans="1:6" ht="14.25" customHeight="1" x14ac:dyDescent="0.25">
      <c r="A1283" s="15" t="s">
        <v>1423</v>
      </c>
      <c r="B1283" s="27">
        <v>1206</v>
      </c>
      <c r="C1283" s="27">
        <v>141791</v>
      </c>
      <c r="D1283" s="28">
        <v>44767</v>
      </c>
      <c r="E1283" s="29">
        <v>43</v>
      </c>
      <c r="F1283" s="15" t="str">
        <f t="shared" ref="F1283:F1346" si="20">B1283&amp;"-"&amp;C1283&amp;"-"&amp;INT(D1283)</f>
        <v>1206-141791-44767</v>
      </c>
    </row>
    <row r="1284" spans="1:6" ht="14.25" customHeight="1" x14ac:dyDescent="0.25">
      <c r="A1284" s="15" t="s">
        <v>1424</v>
      </c>
      <c r="B1284" s="27">
        <v>1206</v>
      </c>
      <c r="C1284" s="27">
        <v>141791</v>
      </c>
      <c r="D1284" s="28">
        <v>44774</v>
      </c>
      <c r="E1284" s="29">
        <v>35</v>
      </c>
      <c r="F1284" s="15" t="str">
        <f t="shared" si="20"/>
        <v>1206-141791-44774</v>
      </c>
    </row>
    <row r="1285" spans="1:6" ht="14.25" customHeight="1" x14ac:dyDescent="0.25">
      <c r="A1285" s="15" t="s">
        <v>1425</v>
      </c>
      <c r="B1285" s="27">
        <v>1206</v>
      </c>
      <c r="C1285" s="27">
        <v>141791</v>
      </c>
      <c r="D1285" s="28">
        <v>44781</v>
      </c>
      <c r="E1285" s="29">
        <v>30</v>
      </c>
      <c r="F1285" s="15" t="str">
        <f t="shared" si="20"/>
        <v>1206-141791-44781</v>
      </c>
    </row>
    <row r="1286" spans="1:6" ht="14.25" customHeight="1" x14ac:dyDescent="0.25">
      <c r="A1286" s="15" t="s">
        <v>1426</v>
      </c>
      <c r="B1286" s="27">
        <v>1206</v>
      </c>
      <c r="C1286" s="27">
        <v>141791</v>
      </c>
      <c r="D1286" s="28">
        <v>44788</v>
      </c>
      <c r="E1286" s="29">
        <v>34</v>
      </c>
      <c r="F1286" s="15" t="str">
        <f t="shared" si="20"/>
        <v>1206-141791-44788</v>
      </c>
    </row>
    <row r="1287" spans="1:6" ht="14.25" customHeight="1" x14ac:dyDescent="0.25">
      <c r="A1287" s="15" t="s">
        <v>1427</v>
      </c>
      <c r="B1287" s="27">
        <v>1206</v>
      </c>
      <c r="C1287" s="27">
        <v>141846</v>
      </c>
      <c r="D1287" s="28">
        <v>44739</v>
      </c>
      <c r="E1287" s="29">
        <v>11</v>
      </c>
      <c r="F1287" s="15" t="str">
        <f t="shared" si="20"/>
        <v>1206-141846-44739</v>
      </c>
    </row>
    <row r="1288" spans="1:6" ht="14.25" customHeight="1" x14ac:dyDescent="0.25">
      <c r="A1288" s="15" t="s">
        <v>1428</v>
      </c>
      <c r="B1288" s="27">
        <v>1206</v>
      </c>
      <c r="C1288" s="27">
        <v>141846</v>
      </c>
      <c r="D1288" s="28">
        <v>44746</v>
      </c>
      <c r="E1288" s="29">
        <v>10</v>
      </c>
      <c r="F1288" s="15" t="str">
        <f t="shared" si="20"/>
        <v>1206-141846-44746</v>
      </c>
    </row>
    <row r="1289" spans="1:6" ht="14.25" customHeight="1" x14ac:dyDescent="0.25">
      <c r="A1289" s="15" t="s">
        <v>1429</v>
      </c>
      <c r="B1289" s="27">
        <v>1206</v>
      </c>
      <c r="C1289" s="27">
        <v>141846</v>
      </c>
      <c r="D1289" s="28">
        <v>44753</v>
      </c>
      <c r="E1289" s="29">
        <v>11</v>
      </c>
      <c r="F1289" s="15" t="str">
        <f t="shared" si="20"/>
        <v>1206-141846-44753</v>
      </c>
    </row>
    <row r="1290" spans="1:6" ht="14.25" customHeight="1" x14ac:dyDescent="0.25">
      <c r="A1290" s="15" t="s">
        <v>1430</v>
      </c>
      <c r="B1290" s="27">
        <v>1206</v>
      </c>
      <c r="C1290" s="27">
        <v>141846</v>
      </c>
      <c r="D1290" s="28">
        <v>44760</v>
      </c>
      <c r="E1290" s="29">
        <v>5</v>
      </c>
      <c r="F1290" s="15" t="str">
        <f t="shared" si="20"/>
        <v>1206-141846-44760</v>
      </c>
    </row>
    <row r="1291" spans="1:6" ht="14.25" customHeight="1" x14ac:dyDescent="0.25">
      <c r="A1291" s="15" t="s">
        <v>1431</v>
      </c>
      <c r="B1291" s="27">
        <v>1206</v>
      </c>
      <c r="C1291" s="27">
        <v>141846</v>
      </c>
      <c r="D1291" s="28">
        <v>44767</v>
      </c>
      <c r="E1291" s="29">
        <v>13</v>
      </c>
      <c r="F1291" s="15" t="str">
        <f t="shared" si="20"/>
        <v>1206-141846-44767</v>
      </c>
    </row>
    <row r="1292" spans="1:6" ht="14.25" customHeight="1" x14ac:dyDescent="0.25">
      <c r="A1292" s="15" t="s">
        <v>1432</v>
      </c>
      <c r="B1292" s="27">
        <v>1206</v>
      </c>
      <c r="C1292" s="27">
        <v>141846</v>
      </c>
      <c r="D1292" s="28">
        <v>44774</v>
      </c>
      <c r="E1292" s="29">
        <v>10</v>
      </c>
      <c r="F1292" s="15" t="str">
        <f t="shared" si="20"/>
        <v>1206-141846-44774</v>
      </c>
    </row>
    <row r="1293" spans="1:6" ht="14.25" customHeight="1" x14ac:dyDescent="0.25">
      <c r="A1293" s="15" t="s">
        <v>1433</v>
      </c>
      <c r="B1293" s="27">
        <v>1206</v>
      </c>
      <c r="C1293" s="27">
        <v>141846</v>
      </c>
      <c r="D1293" s="28">
        <v>44781</v>
      </c>
      <c r="E1293" s="29">
        <v>12</v>
      </c>
      <c r="F1293" s="15" t="str">
        <f t="shared" si="20"/>
        <v>1206-141846-44781</v>
      </c>
    </row>
    <row r="1294" spans="1:6" ht="14.25" customHeight="1" x14ac:dyDescent="0.25">
      <c r="A1294" s="15" t="s">
        <v>1434</v>
      </c>
      <c r="B1294" s="27">
        <v>1206</v>
      </c>
      <c r="C1294" s="27">
        <v>141846</v>
      </c>
      <c r="D1294" s="28">
        <v>44788</v>
      </c>
      <c r="E1294" s="29">
        <v>9</v>
      </c>
      <c r="F1294" s="15" t="str">
        <f t="shared" si="20"/>
        <v>1206-141846-44788</v>
      </c>
    </row>
    <row r="1295" spans="1:6" ht="14.25" customHeight="1" x14ac:dyDescent="0.25">
      <c r="A1295" s="15" t="s">
        <v>1435</v>
      </c>
      <c r="B1295" s="27">
        <v>1206</v>
      </c>
      <c r="C1295" s="27">
        <v>141967</v>
      </c>
      <c r="D1295" s="28">
        <v>44739</v>
      </c>
      <c r="E1295" s="29">
        <v>17</v>
      </c>
      <c r="F1295" s="15" t="str">
        <f t="shared" si="20"/>
        <v>1206-141967-44739</v>
      </c>
    </row>
    <row r="1296" spans="1:6" ht="14.25" customHeight="1" x14ac:dyDescent="0.25">
      <c r="A1296" s="15" t="s">
        <v>1436</v>
      </c>
      <c r="B1296" s="27">
        <v>1206</v>
      </c>
      <c r="C1296" s="27">
        <v>141967</v>
      </c>
      <c r="D1296" s="28">
        <v>44746</v>
      </c>
      <c r="E1296" s="29">
        <v>20</v>
      </c>
      <c r="F1296" s="15" t="str">
        <f t="shared" si="20"/>
        <v>1206-141967-44746</v>
      </c>
    </row>
    <row r="1297" spans="1:6" ht="14.25" customHeight="1" x14ac:dyDescent="0.25">
      <c r="A1297" s="15" t="s">
        <v>1437</v>
      </c>
      <c r="B1297" s="27">
        <v>1206</v>
      </c>
      <c r="C1297" s="27">
        <v>141967</v>
      </c>
      <c r="D1297" s="28">
        <v>44753</v>
      </c>
      <c r="E1297" s="29">
        <v>15</v>
      </c>
      <c r="F1297" s="15" t="str">
        <f t="shared" si="20"/>
        <v>1206-141967-44753</v>
      </c>
    </row>
    <row r="1298" spans="1:6" ht="14.25" customHeight="1" x14ac:dyDescent="0.25">
      <c r="A1298" s="15" t="s">
        <v>1438</v>
      </c>
      <c r="B1298" s="27">
        <v>1206</v>
      </c>
      <c r="C1298" s="27">
        <v>141967</v>
      </c>
      <c r="D1298" s="28">
        <v>44760</v>
      </c>
      <c r="E1298" s="29">
        <v>13</v>
      </c>
      <c r="F1298" s="15" t="str">
        <f t="shared" si="20"/>
        <v>1206-141967-44760</v>
      </c>
    </row>
    <row r="1299" spans="1:6" ht="14.25" customHeight="1" x14ac:dyDescent="0.25">
      <c r="A1299" s="15" t="s">
        <v>1439</v>
      </c>
      <c r="B1299" s="27">
        <v>1206</v>
      </c>
      <c r="C1299" s="27">
        <v>141967</v>
      </c>
      <c r="D1299" s="28">
        <v>44767</v>
      </c>
      <c r="E1299" s="29">
        <v>20</v>
      </c>
      <c r="F1299" s="15" t="str">
        <f t="shared" si="20"/>
        <v>1206-141967-44767</v>
      </c>
    </row>
    <row r="1300" spans="1:6" ht="14.25" customHeight="1" x14ac:dyDescent="0.25">
      <c r="A1300" s="15" t="s">
        <v>1440</v>
      </c>
      <c r="B1300" s="27">
        <v>1206</v>
      </c>
      <c r="C1300" s="27">
        <v>141967</v>
      </c>
      <c r="D1300" s="28">
        <v>44774</v>
      </c>
      <c r="E1300" s="29">
        <v>5</v>
      </c>
      <c r="F1300" s="15" t="str">
        <f t="shared" si="20"/>
        <v>1206-141967-44774</v>
      </c>
    </row>
    <row r="1301" spans="1:6" ht="14.25" customHeight="1" x14ac:dyDescent="0.25">
      <c r="A1301" s="15" t="s">
        <v>1441</v>
      </c>
      <c r="B1301" s="27">
        <v>1206</v>
      </c>
      <c r="C1301" s="27">
        <v>141967</v>
      </c>
      <c r="D1301" s="28">
        <v>44781</v>
      </c>
      <c r="E1301" s="29">
        <v>12</v>
      </c>
      <c r="F1301" s="15" t="str">
        <f t="shared" si="20"/>
        <v>1206-141967-44781</v>
      </c>
    </row>
    <row r="1302" spans="1:6" ht="14.25" customHeight="1" x14ac:dyDescent="0.25">
      <c r="A1302" s="15" t="s">
        <v>1442</v>
      </c>
      <c r="B1302" s="27">
        <v>1206</v>
      </c>
      <c r="C1302" s="27">
        <v>141967</v>
      </c>
      <c r="D1302" s="28">
        <v>44788</v>
      </c>
      <c r="E1302" s="29">
        <v>0</v>
      </c>
      <c r="F1302" s="15" t="str">
        <f t="shared" si="20"/>
        <v>1206-141967-44788</v>
      </c>
    </row>
    <row r="1303" spans="1:6" ht="14.25" customHeight="1" x14ac:dyDescent="0.25">
      <c r="A1303" s="15" t="s">
        <v>1443</v>
      </c>
      <c r="B1303" s="27">
        <v>1206</v>
      </c>
      <c r="C1303" s="27">
        <v>142194</v>
      </c>
      <c r="D1303" s="28">
        <v>44739</v>
      </c>
      <c r="E1303" s="29">
        <v>15</v>
      </c>
      <c r="F1303" s="15" t="str">
        <f t="shared" si="20"/>
        <v>1206-142194-44739</v>
      </c>
    </row>
    <row r="1304" spans="1:6" ht="14.25" customHeight="1" x14ac:dyDescent="0.25">
      <c r="A1304" s="15" t="s">
        <v>1444</v>
      </c>
      <c r="B1304" s="27">
        <v>1206</v>
      </c>
      <c r="C1304" s="27">
        <v>142194</v>
      </c>
      <c r="D1304" s="28">
        <v>44746</v>
      </c>
      <c r="E1304" s="29">
        <v>6</v>
      </c>
      <c r="F1304" s="15" t="str">
        <f t="shared" si="20"/>
        <v>1206-142194-44746</v>
      </c>
    </row>
    <row r="1305" spans="1:6" ht="14.25" customHeight="1" x14ac:dyDescent="0.25">
      <c r="A1305" s="15" t="s">
        <v>1445</v>
      </c>
      <c r="B1305" s="27">
        <v>1206</v>
      </c>
      <c r="C1305" s="27">
        <v>142194</v>
      </c>
      <c r="D1305" s="28">
        <v>44753</v>
      </c>
      <c r="E1305" s="29">
        <v>2</v>
      </c>
      <c r="F1305" s="15" t="str">
        <f t="shared" si="20"/>
        <v>1206-142194-44753</v>
      </c>
    </row>
    <row r="1306" spans="1:6" ht="14.25" customHeight="1" x14ac:dyDescent="0.25">
      <c r="A1306" s="15" t="s">
        <v>1446</v>
      </c>
      <c r="B1306" s="27">
        <v>1206</v>
      </c>
      <c r="C1306" s="27">
        <v>142194</v>
      </c>
      <c r="D1306" s="28">
        <v>44760</v>
      </c>
      <c r="E1306" s="29">
        <v>12</v>
      </c>
      <c r="F1306" s="15" t="str">
        <f t="shared" si="20"/>
        <v>1206-142194-44760</v>
      </c>
    </row>
    <row r="1307" spans="1:6" ht="14.25" customHeight="1" x14ac:dyDescent="0.25">
      <c r="A1307" s="15" t="s">
        <v>1447</v>
      </c>
      <c r="B1307" s="30">
        <v>1206</v>
      </c>
      <c r="C1307" s="27">
        <v>142194</v>
      </c>
      <c r="D1307" s="28">
        <v>44767</v>
      </c>
      <c r="E1307" s="29">
        <v>12</v>
      </c>
      <c r="F1307" s="15" t="str">
        <f t="shared" si="20"/>
        <v>1206-142194-44767</v>
      </c>
    </row>
    <row r="1308" spans="1:6" ht="14.25" customHeight="1" x14ac:dyDescent="0.25">
      <c r="A1308" s="15" t="s">
        <v>1448</v>
      </c>
      <c r="B1308" s="27">
        <v>1206</v>
      </c>
      <c r="C1308" s="27">
        <v>142194</v>
      </c>
      <c r="D1308" s="28">
        <v>44774</v>
      </c>
      <c r="E1308" s="29">
        <v>19</v>
      </c>
      <c r="F1308" s="15" t="str">
        <f t="shared" si="20"/>
        <v>1206-142194-44774</v>
      </c>
    </row>
    <row r="1309" spans="1:6" ht="14.25" customHeight="1" x14ac:dyDescent="0.25">
      <c r="A1309" s="15" t="s">
        <v>1449</v>
      </c>
      <c r="B1309" s="27">
        <v>1206</v>
      </c>
      <c r="C1309" s="27">
        <v>142194</v>
      </c>
      <c r="D1309" s="28">
        <v>44781</v>
      </c>
      <c r="E1309" s="29">
        <v>12</v>
      </c>
      <c r="F1309" s="15" t="str">
        <f t="shared" si="20"/>
        <v>1206-142194-44781</v>
      </c>
    </row>
    <row r="1310" spans="1:6" ht="14.25" customHeight="1" x14ac:dyDescent="0.25">
      <c r="A1310" s="15" t="s">
        <v>1450</v>
      </c>
      <c r="B1310" s="27">
        <v>1206</v>
      </c>
      <c r="C1310" s="27">
        <v>142194</v>
      </c>
      <c r="D1310" s="28">
        <v>44788</v>
      </c>
      <c r="E1310" s="29">
        <v>18</v>
      </c>
      <c r="F1310" s="15" t="str">
        <f t="shared" si="20"/>
        <v>1206-142194-44788</v>
      </c>
    </row>
    <row r="1311" spans="1:6" ht="14.25" customHeight="1" x14ac:dyDescent="0.25">
      <c r="A1311" s="15" t="s">
        <v>1451</v>
      </c>
      <c r="B1311" s="27">
        <v>1206</v>
      </c>
      <c r="C1311" s="27">
        <v>149729</v>
      </c>
      <c r="D1311" s="28">
        <v>44739</v>
      </c>
      <c r="E1311" s="29">
        <v>19</v>
      </c>
      <c r="F1311" s="15" t="str">
        <f t="shared" si="20"/>
        <v>1206-149729-44739</v>
      </c>
    </row>
    <row r="1312" spans="1:6" ht="14.25" customHeight="1" x14ac:dyDescent="0.25">
      <c r="A1312" s="15" t="s">
        <v>1452</v>
      </c>
      <c r="B1312" s="27">
        <v>1206</v>
      </c>
      <c r="C1312" s="27">
        <v>149729</v>
      </c>
      <c r="D1312" s="28">
        <v>44746</v>
      </c>
      <c r="E1312" s="29">
        <v>8</v>
      </c>
      <c r="F1312" s="15" t="str">
        <f t="shared" si="20"/>
        <v>1206-149729-44746</v>
      </c>
    </row>
    <row r="1313" spans="1:6" ht="14.25" customHeight="1" x14ac:dyDescent="0.25">
      <c r="A1313" s="15" t="s">
        <v>1453</v>
      </c>
      <c r="B1313" s="27">
        <v>1206</v>
      </c>
      <c r="C1313" s="27">
        <v>149729</v>
      </c>
      <c r="D1313" s="28">
        <v>44753</v>
      </c>
      <c r="E1313" s="29">
        <v>6</v>
      </c>
      <c r="F1313" s="15" t="str">
        <f t="shared" si="20"/>
        <v>1206-149729-44753</v>
      </c>
    </row>
    <row r="1314" spans="1:6" ht="14.25" customHeight="1" x14ac:dyDescent="0.25">
      <c r="A1314" s="15" t="s">
        <v>1454</v>
      </c>
      <c r="B1314" s="27">
        <v>1206</v>
      </c>
      <c r="C1314" s="27">
        <v>149729</v>
      </c>
      <c r="D1314" s="28">
        <v>44760</v>
      </c>
      <c r="E1314" s="29">
        <v>5</v>
      </c>
      <c r="F1314" s="15" t="str">
        <f t="shared" si="20"/>
        <v>1206-149729-44760</v>
      </c>
    </row>
    <row r="1315" spans="1:6" ht="14.25" customHeight="1" x14ac:dyDescent="0.25">
      <c r="A1315" s="15" t="s">
        <v>1455</v>
      </c>
      <c r="B1315" s="27">
        <v>1206</v>
      </c>
      <c r="C1315" s="27">
        <v>149729</v>
      </c>
      <c r="D1315" s="28">
        <v>44767</v>
      </c>
      <c r="E1315" s="29">
        <v>21</v>
      </c>
      <c r="F1315" s="15" t="str">
        <f t="shared" si="20"/>
        <v>1206-149729-44767</v>
      </c>
    </row>
    <row r="1316" spans="1:6" ht="14.25" customHeight="1" x14ac:dyDescent="0.25">
      <c r="A1316" s="15" t="s">
        <v>1456</v>
      </c>
      <c r="B1316" s="27">
        <v>1206</v>
      </c>
      <c r="C1316" s="27">
        <v>149729</v>
      </c>
      <c r="D1316" s="28">
        <v>44774</v>
      </c>
      <c r="E1316" s="29">
        <v>24</v>
      </c>
      <c r="F1316" s="15" t="str">
        <f t="shared" si="20"/>
        <v>1206-149729-44774</v>
      </c>
    </row>
    <row r="1317" spans="1:6" ht="14.25" customHeight="1" x14ac:dyDescent="0.25">
      <c r="A1317" s="15" t="s">
        <v>1457</v>
      </c>
      <c r="B1317" s="27">
        <v>1206</v>
      </c>
      <c r="C1317" s="27">
        <v>149729</v>
      </c>
      <c r="D1317" s="28">
        <v>44781</v>
      </c>
      <c r="E1317" s="29">
        <v>7</v>
      </c>
      <c r="F1317" s="15" t="str">
        <f t="shared" si="20"/>
        <v>1206-149729-44781</v>
      </c>
    </row>
    <row r="1318" spans="1:6" ht="14.25" customHeight="1" x14ac:dyDescent="0.25">
      <c r="A1318" s="15" t="s">
        <v>1458</v>
      </c>
      <c r="B1318" s="27">
        <v>1206</v>
      </c>
      <c r="C1318" s="27">
        <v>149729</v>
      </c>
      <c r="D1318" s="28">
        <v>44788</v>
      </c>
      <c r="E1318" s="29">
        <v>15</v>
      </c>
      <c r="F1318" s="15" t="str">
        <f t="shared" si="20"/>
        <v>1206-149729-44788</v>
      </c>
    </row>
    <row r="1319" spans="1:6" ht="14.25" customHeight="1" x14ac:dyDescent="0.25">
      <c r="A1319" s="15" t="s">
        <v>1459</v>
      </c>
      <c r="B1319" s="27">
        <v>1206</v>
      </c>
      <c r="C1319" s="27">
        <v>149779</v>
      </c>
      <c r="D1319" s="28">
        <v>44739</v>
      </c>
      <c r="E1319" s="29">
        <v>34</v>
      </c>
      <c r="F1319" s="15" t="str">
        <f t="shared" si="20"/>
        <v>1206-149779-44739</v>
      </c>
    </row>
    <row r="1320" spans="1:6" ht="14.25" customHeight="1" x14ac:dyDescent="0.25">
      <c r="A1320" s="15" t="s">
        <v>1460</v>
      </c>
      <c r="B1320" s="27">
        <v>1206</v>
      </c>
      <c r="C1320" s="27">
        <v>149779</v>
      </c>
      <c r="D1320" s="28">
        <v>44746</v>
      </c>
      <c r="E1320" s="29">
        <v>34</v>
      </c>
      <c r="F1320" s="15" t="str">
        <f t="shared" si="20"/>
        <v>1206-149779-44746</v>
      </c>
    </row>
    <row r="1321" spans="1:6" ht="14.25" customHeight="1" x14ac:dyDescent="0.25">
      <c r="A1321" s="15" t="s">
        <v>1461</v>
      </c>
      <c r="B1321" s="27">
        <v>1206</v>
      </c>
      <c r="C1321" s="27">
        <v>149779</v>
      </c>
      <c r="D1321" s="28">
        <v>44753</v>
      </c>
      <c r="E1321" s="29">
        <v>34</v>
      </c>
      <c r="F1321" s="15" t="str">
        <f t="shared" si="20"/>
        <v>1206-149779-44753</v>
      </c>
    </row>
    <row r="1322" spans="1:6" ht="14.25" customHeight="1" x14ac:dyDescent="0.25">
      <c r="A1322" s="15" t="s">
        <v>1462</v>
      </c>
      <c r="B1322" s="27">
        <v>1206</v>
      </c>
      <c r="C1322" s="27">
        <v>149779</v>
      </c>
      <c r="D1322" s="28">
        <v>44760</v>
      </c>
      <c r="E1322" s="29">
        <v>34</v>
      </c>
      <c r="F1322" s="15" t="str">
        <f t="shared" si="20"/>
        <v>1206-149779-44760</v>
      </c>
    </row>
    <row r="1323" spans="1:6" ht="14.25" customHeight="1" x14ac:dyDescent="0.25">
      <c r="A1323" s="15" t="s">
        <v>1463</v>
      </c>
      <c r="B1323" s="27">
        <v>1206</v>
      </c>
      <c r="C1323" s="27">
        <v>149779</v>
      </c>
      <c r="D1323" s="28">
        <v>44767</v>
      </c>
      <c r="E1323" s="29">
        <v>34</v>
      </c>
      <c r="F1323" s="15" t="str">
        <f t="shared" si="20"/>
        <v>1206-149779-44767</v>
      </c>
    </row>
    <row r="1324" spans="1:6" ht="14.25" customHeight="1" x14ac:dyDescent="0.25">
      <c r="A1324" s="15" t="s">
        <v>1464</v>
      </c>
      <c r="B1324" s="27">
        <v>1206</v>
      </c>
      <c r="C1324" s="27">
        <v>149779</v>
      </c>
      <c r="D1324" s="28">
        <v>44774</v>
      </c>
      <c r="E1324" s="29">
        <v>34</v>
      </c>
      <c r="F1324" s="15" t="str">
        <f t="shared" si="20"/>
        <v>1206-149779-44774</v>
      </c>
    </row>
    <row r="1325" spans="1:6" ht="14.25" customHeight="1" x14ac:dyDescent="0.25">
      <c r="A1325" s="15" t="s">
        <v>1465</v>
      </c>
      <c r="B1325" s="27">
        <v>1206</v>
      </c>
      <c r="C1325" s="27">
        <v>149779</v>
      </c>
      <c r="D1325" s="28">
        <v>44781</v>
      </c>
      <c r="E1325" s="29">
        <v>34</v>
      </c>
      <c r="F1325" s="15" t="str">
        <f t="shared" si="20"/>
        <v>1206-149779-44781</v>
      </c>
    </row>
    <row r="1326" spans="1:6" ht="14.25" customHeight="1" x14ac:dyDescent="0.25">
      <c r="A1326" s="15" t="s">
        <v>1466</v>
      </c>
      <c r="B1326" s="27">
        <v>1206</v>
      </c>
      <c r="C1326" s="27">
        <v>149779</v>
      </c>
      <c r="D1326" s="28">
        <v>44788</v>
      </c>
      <c r="E1326" s="29">
        <v>34</v>
      </c>
      <c r="F1326" s="15" t="str">
        <f t="shared" si="20"/>
        <v>1206-149779-44788</v>
      </c>
    </row>
    <row r="1327" spans="1:6" ht="14.25" customHeight="1" x14ac:dyDescent="0.25">
      <c r="A1327" s="15" t="s">
        <v>1467</v>
      </c>
      <c r="B1327" s="27">
        <v>1206</v>
      </c>
      <c r="C1327" s="27">
        <v>189933</v>
      </c>
      <c r="D1327" s="28">
        <v>44739</v>
      </c>
      <c r="E1327" s="29">
        <v>54</v>
      </c>
      <c r="F1327" s="15" t="str">
        <f t="shared" si="20"/>
        <v>1206-189933-44739</v>
      </c>
    </row>
    <row r="1328" spans="1:6" ht="14.25" customHeight="1" x14ac:dyDescent="0.25">
      <c r="A1328" s="15" t="s">
        <v>1468</v>
      </c>
      <c r="B1328" s="27">
        <v>1206</v>
      </c>
      <c r="C1328" s="27">
        <v>189933</v>
      </c>
      <c r="D1328" s="28">
        <v>44746</v>
      </c>
      <c r="E1328" s="29">
        <v>36</v>
      </c>
      <c r="F1328" s="15" t="str">
        <f t="shared" si="20"/>
        <v>1206-189933-44746</v>
      </c>
    </row>
    <row r="1329" spans="1:6" ht="14.25" customHeight="1" x14ac:dyDescent="0.25">
      <c r="A1329" s="15" t="s">
        <v>1469</v>
      </c>
      <c r="B1329" s="27">
        <v>1206</v>
      </c>
      <c r="C1329" s="27">
        <v>189933</v>
      </c>
      <c r="D1329" s="28">
        <v>44753</v>
      </c>
      <c r="E1329" s="29">
        <v>13</v>
      </c>
      <c r="F1329" s="15" t="str">
        <f t="shared" si="20"/>
        <v>1206-189933-44753</v>
      </c>
    </row>
    <row r="1330" spans="1:6" ht="14.25" customHeight="1" x14ac:dyDescent="0.25">
      <c r="A1330" s="15" t="s">
        <v>1470</v>
      </c>
      <c r="B1330" s="27">
        <v>1206</v>
      </c>
      <c r="C1330" s="27">
        <v>189933</v>
      </c>
      <c r="D1330" s="28">
        <v>44760</v>
      </c>
      <c r="E1330" s="29">
        <v>39</v>
      </c>
      <c r="F1330" s="15" t="str">
        <f t="shared" si="20"/>
        <v>1206-189933-44760</v>
      </c>
    </row>
    <row r="1331" spans="1:6" ht="14.25" customHeight="1" x14ac:dyDescent="0.25">
      <c r="A1331" s="15" t="s">
        <v>1471</v>
      </c>
      <c r="B1331" s="27">
        <v>1206</v>
      </c>
      <c r="C1331" s="27">
        <v>189933</v>
      </c>
      <c r="D1331" s="28">
        <v>44767</v>
      </c>
      <c r="E1331" s="29">
        <v>50</v>
      </c>
      <c r="F1331" s="15" t="str">
        <f t="shared" si="20"/>
        <v>1206-189933-44767</v>
      </c>
    </row>
    <row r="1332" spans="1:6" ht="14.25" customHeight="1" x14ac:dyDescent="0.25">
      <c r="A1332" s="15" t="s">
        <v>1472</v>
      </c>
      <c r="B1332" s="27">
        <v>1206</v>
      </c>
      <c r="C1332" s="27">
        <v>189933</v>
      </c>
      <c r="D1332" s="28">
        <v>44774</v>
      </c>
      <c r="E1332" s="29">
        <v>48</v>
      </c>
      <c r="F1332" s="15" t="str">
        <f t="shared" si="20"/>
        <v>1206-189933-44774</v>
      </c>
    </row>
    <row r="1333" spans="1:6" ht="14.25" customHeight="1" x14ac:dyDescent="0.25">
      <c r="A1333" s="15" t="s">
        <v>1473</v>
      </c>
      <c r="B1333" s="27">
        <v>1206</v>
      </c>
      <c r="C1333" s="27">
        <v>189933</v>
      </c>
      <c r="D1333" s="28">
        <v>44781</v>
      </c>
      <c r="E1333" s="29">
        <v>27</v>
      </c>
      <c r="F1333" s="15" t="str">
        <f t="shared" si="20"/>
        <v>1206-189933-44781</v>
      </c>
    </row>
    <row r="1334" spans="1:6" ht="14.25" customHeight="1" x14ac:dyDescent="0.25">
      <c r="A1334" s="15" t="s">
        <v>1474</v>
      </c>
      <c r="B1334" s="27">
        <v>1206</v>
      </c>
      <c r="C1334" s="27">
        <v>189933</v>
      </c>
      <c r="D1334" s="28">
        <v>44788</v>
      </c>
      <c r="E1334" s="29">
        <v>27</v>
      </c>
      <c r="F1334" s="15" t="str">
        <f t="shared" si="20"/>
        <v>1206-189933-44788</v>
      </c>
    </row>
    <row r="1335" spans="1:6" ht="14.25" customHeight="1" x14ac:dyDescent="0.25">
      <c r="A1335" s="15" t="s">
        <v>1475</v>
      </c>
      <c r="B1335" s="27">
        <v>1206</v>
      </c>
      <c r="C1335" s="27">
        <v>202577</v>
      </c>
      <c r="D1335" s="28">
        <v>44739</v>
      </c>
      <c r="E1335" s="29">
        <v>36</v>
      </c>
      <c r="F1335" s="15" t="str">
        <f t="shared" si="20"/>
        <v>1206-202577-44739</v>
      </c>
    </row>
    <row r="1336" spans="1:6" ht="14.25" customHeight="1" x14ac:dyDescent="0.25">
      <c r="A1336" s="15" t="s">
        <v>1476</v>
      </c>
      <c r="B1336" s="27">
        <v>1206</v>
      </c>
      <c r="C1336" s="27">
        <v>202577</v>
      </c>
      <c r="D1336" s="28">
        <v>44746</v>
      </c>
      <c r="E1336" s="29">
        <v>36</v>
      </c>
      <c r="F1336" s="15" t="str">
        <f t="shared" si="20"/>
        <v>1206-202577-44746</v>
      </c>
    </row>
    <row r="1337" spans="1:6" ht="14.25" customHeight="1" x14ac:dyDescent="0.25">
      <c r="A1337" s="15" t="s">
        <v>1477</v>
      </c>
      <c r="B1337" s="27">
        <v>1206</v>
      </c>
      <c r="C1337" s="27">
        <v>202577</v>
      </c>
      <c r="D1337" s="28">
        <v>44753</v>
      </c>
      <c r="E1337" s="29">
        <v>36</v>
      </c>
      <c r="F1337" s="15" t="str">
        <f t="shared" si="20"/>
        <v>1206-202577-44753</v>
      </c>
    </row>
    <row r="1338" spans="1:6" ht="14.25" customHeight="1" x14ac:dyDescent="0.25">
      <c r="A1338" s="15" t="s">
        <v>1478</v>
      </c>
      <c r="B1338" s="27">
        <v>1206</v>
      </c>
      <c r="C1338" s="27">
        <v>202577</v>
      </c>
      <c r="D1338" s="28">
        <v>44760</v>
      </c>
      <c r="E1338" s="29">
        <v>36</v>
      </c>
      <c r="F1338" s="15" t="str">
        <f t="shared" si="20"/>
        <v>1206-202577-44760</v>
      </c>
    </row>
    <row r="1339" spans="1:6" ht="14.25" customHeight="1" x14ac:dyDescent="0.25">
      <c r="A1339" s="15" t="s">
        <v>1479</v>
      </c>
      <c r="B1339" s="27">
        <v>1206</v>
      </c>
      <c r="C1339" s="27">
        <v>202577</v>
      </c>
      <c r="D1339" s="28">
        <v>44767</v>
      </c>
      <c r="E1339" s="29">
        <v>36</v>
      </c>
      <c r="F1339" s="15" t="str">
        <f t="shared" si="20"/>
        <v>1206-202577-44767</v>
      </c>
    </row>
    <row r="1340" spans="1:6" ht="14.25" customHeight="1" x14ac:dyDescent="0.25">
      <c r="A1340" s="15" t="s">
        <v>1480</v>
      </c>
      <c r="B1340" s="27">
        <v>1206</v>
      </c>
      <c r="C1340" s="27">
        <v>202577</v>
      </c>
      <c r="D1340" s="28">
        <v>44774</v>
      </c>
      <c r="E1340" s="29">
        <v>36</v>
      </c>
      <c r="F1340" s="15" t="str">
        <f t="shared" si="20"/>
        <v>1206-202577-44774</v>
      </c>
    </row>
    <row r="1341" spans="1:6" ht="14.25" customHeight="1" x14ac:dyDescent="0.25">
      <c r="A1341" s="15" t="s">
        <v>1481</v>
      </c>
      <c r="B1341" s="27">
        <v>1206</v>
      </c>
      <c r="C1341" s="27">
        <v>202577</v>
      </c>
      <c r="D1341" s="28">
        <v>44781</v>
      </c>
      <c r="E1341" s="29">
        <v>36</v>
      </c>
      <c r="F1341" s="15" t="str">
        <f t="shared" si="20"/>
        <v>1206-202577-44781</v>
      </c>
    </row>
    <row r="1342" spans="1:6" ht="14.25" customHeight="1" x14ac:dyDescent="0.25">
      <c r="A1342" s="15" t="s">
        <v>1482</v>
      </c>
      <c r="B1342" s="27">
        <v>1206</v>
      </c>
      <c r="C1342" s="27">
        <v>202577</v>
      </c>
      <c r="D1342" s="28">
        <v>44788</v>
      </c>
      <c r="E1342" s="29">
        <v>36</v>
      </c>
      <c r="F1342" s="15" t="str">
        <f t="shared" si="20"/>
        <v>1206-202577-44788</v>
      </c>
    </row>
    <row r="1343" spans="1:6" ht="14.25" customHeight="1" x14ac:dyDescent="0.25">
      <c r="A1343" s="15" t="s">
        <v>1483</v>
      </c>
      <c r="B1343" s="27">
        <v>1206</v>
      </c>
      <c r="C1343" s="27">
        <v>234334</v>
      </c>
      <c r="D1343" s="28">
        <v>44739</v>
      </c>
      <c r="E1343" s="29">
        <v>20</v>
      </c>
      <c r="F1343" s="15" t="str">
        <f t="shared" si="20"/>
        <v>1206-234334-44739</v>
      </c>
    </row>
    <row r="1344" spans="1:6" ht="14.25" customHeight="1" x14ac:dyDescent="0.25">
      <c r="A1344" s="15" t="s">
        <v>1484</v>
      </c>
      <c r="B1344" s="27">
        <v>1206</v>
      </c>
      <c r="C1344" s="27">
        <v>234334</v>
      </c>
      <c r="D1344" s="28">
        <v>44746</v>
      </c>
      <c r="E1344" s="29">
        <v>22</v>
      </c>
      <c r="F1344" s="15" t="str">
        <f t="shared" si="20"/>
        <v>1206-234334-44746</v>
      </c>
    </row>
    <row r="1345" spans="1:6" ht="14.25" customHeight="1" x14ac:dyDescent="0.25">
      <c r="A1345" s="15" t="s">
        <v>1485</v>
      </c>
      <c r="B1345" s="27">
        <v>1206</v>
      </c>
      <c r="C1345" s="27">
        <v>234334</v>
      </c>
      <c r="D1345" s="28">
        <v>44753</v>
      </c>
      <c r="E1345" s="29">
        <v>26</v>
      </c>
      <c r="F1345" s="15" t="str">
        <f t="shared" si="20"/>
        <v>1206-234334-44753</v>
      </c>
    </row>
    <row r="1346" spans="1:6" ht="14.25" customHeight="1" x14ac:dyDescent="0.25">
      <c r="A1346" s="15" t="s">
        <v>1486</v>
      </c>
      <c r="B1346" s="27">
        <v>1206</v>
      </c>
      <c r="C1346" s="27">
        <v>234334</v>
      </c>
      <c r="D1346" s="28">
        <v>44760</v>
      </c>
      <c r="E1346" s="29">
        <v>24</v>
      </c>
      <c r="F1346" s="15" t="str">
        <f t="shared" si="20"/>
        <v>1206-234334-44760</v>
      </c>
    </row>
    <row r="1347" spans="1:6" ht="14.25" customHeight="1" x14ac:dyDescent="0.25">
      <c r="A1347" s="15" t="s">
        <v>1487</v>
      </c>
      <c r="B1347" s="27">
        <v>1206</v>
      </c>
      <c r="C1347" s="27">
        <v>234334</v>
      </c>
      <c r="D1347" s="28">
        <v>44767</v>
      </c>
      <c r="E1347" s="29">
        <v>9</v>
      </c>
      <c r="F1347" s="15" t="str">
        <f t="shared" ref="F1347:F1410" si="21">B1347&amp;"-"&amp;C1347&amp;"-"&amp;INT(D1347)</f>
        <v>1206-234334-44767</v>
      </c>
    </row>
    <row r="1348" spans="1:6" ht="14.25" customHeight="1" x14ac:dyDescent="0.25">
      <c r="A1348" s="15" t="s">
        <v>1488</v>
      </c>
      <c r="B1348" s="27">
        <v>1206</v>
      </c>
      <c r="C1348" s="27">
        <v>234334</v>
      </c>
      <c r="D1348" s="28">
        <v>44774</v>
      </c>
      <c r="E1348" s="29">
        <v>29</v>
      </c>
      <c r="F1348" s="15" t="str">
        <f t="shared" si="21"/>
        <v>1206-234334-44774</v>
      </c>
    </row>
    <row r="1349" spans="1:6" ht="14.25" customHeight="1" x14ac:dyDescent="0.25">
      <c r="A1349" s="15" t="s">
        <v>1489</v>
      </c>
      <c r="B1349" s="27">
        <v>1206</v>
      </c>
      <c r="C1349" s="27">
        <v>234334</v>
      </c>
      <c r="D1349" s="28">
        <v>44781</v>
      </c>
      <c r="E1349" s="29">
        <v>9</v>
      </c>
      <c r="F1349" s="15" t="str">
        <f t="shared" si="21"/>
        <v>1206-234334-44781</v>
      </c>
    </row>
    <row r="1350" spans="1:6" ht="14.25" customHeight="1" x14ac:dyDescent="0.25">
      <c r="A1350" s="15" t="s">
        <v>1490</v>
      </c>
      <c r="B1350" s="27">
        <v>1206</v>
      </c>
      <c r="C1350" s="27">
        <v>234334</v>
      </c>
      <c r="D1350" s="28">
        <v>44788</v>
      </c>
      <c r="E1350" s="29">
        <v>1</v>
      </c>
      <c r="F1350" s="15" t="str">
        <f t="shared" si="21"/>
        <v>1206-234334-44788</v>
      </c>
    </row>
    <row r="1351" spans="1:6" ht="14.25" customHeight="1" x14ac:dyDescent="0.25">
      <c r="A1351" s="15" t="s">
        <v>1491</v>
      </c>
      <c r="B1351" s="27">
        <v>1206</v>
      </c>
      <c r="C1351" s="27">
        <v>249444</v>
      </c>
      <c r="D1351" s="28">
        <v>44739</v>
      </c>
      <c r="E1351" s="29">
        <v>138</v>
      </c>
      <c r="F1351" s="15" t="str">
        <f t="shared" si="21"/>
        <v>1206-249444-44739</v>
      </c>
    </row>
    <row r="1352" spans="1:6" ht="14.25" customHeight="1" x14ac:dyDescent="0.25">
      <c r="A1352" s="15" t="s">
        <v>1492</v>
      </c>
      <c r="B1352" s="27">
        <v>1206</v>
      </c>
      <c r="C1352" s="27">
        <v>249444</v>
      </c>
      <c r="D1352" s="28">
        <v>44746</v>
      </c>
      <c r="E1352" s="29">
        <v>323</v>
      </c>
      <c r="F1352" s="15" t="str">
        <f t="shared" si="21"/>
        <v>1206-249444-44746</v>
      </c>
    </row>
    <row r="1353" spans="1:6" ht="14.25" customHeight="1" x14ac:dyDescent="0.25">
      <c r="A1353" s="15" t="s">
        <v>1493</v>
      </c>
      <c r="B1353" s="27">
        <v>1206</v>
      </c>
      <c r="C1353" s="27">
        <v>249444</v>
      </c>
      <c r="D1353" s="28">
        <v>44753</v>
      </c>
      <c r="E1353" s="29">
        <v>92</v>
      </c>
      <c r="F1353" s="15" t="str">
        <f t="shared" si="21"/>
        <v>1206-249444-44753</v>
      </c>
    </row>
    <row r="1354" spans="1:6" ht="14.25" customHeight="1" x14ac:dyDescent="0.25">
      <c r="A1354" s="15" t="s">
        <v>1494</v>
      </c>
      <c r="B1354" s="27">
        <v>1206</v>
      </c>
      <c r="C1354" s="27">
        <v>249444</v>
      </c>
      <c r="D1354" s="28">
        <v>44760</v>
      </c>
      <c r="E1354" s="29">
        <v>216</v>
      </c>
      <c r="F1354" s="15" t="str">
        <f t="shared" si="21"/>
        <v>1206-249444-44760</v>
      </c>
    </row>
    <row r="1355" spans="1:6" ht="14.25" customHeight="1" x14ac:dyDescent="0.25">
      <c r="A1355" s="15" t="s">
        <v>1495</v>
      </c>
      <c r="B1355" s="27">
        <v>1206</v>
      </c>
      <c r="C1355" s="27">
        <v>249444</v>
      </c>
      <c r="D1355" s="28">
        <v>44767</v>
      </c>
      <c r="E1355" s="29">
        <v>94</v>
      </c>
      <c r="F1355" s="15" t="str">
        <f t="shared" si="21"/>
        <v>1206-249444-44767</v>
      </c>
    </row>
    <row r="1356" spans="1:6" ht="14.25" customHeight="1" x14ac:dyDescent="0.25">
      <c r="A1356" s="15" t="s">
        <v>1496</v>
      </c>
      <c r="B1356" s="27">
        <v>1206</v>
      </c>
      <c r="C1356" s="27">
        <v>249444</v>
      </c>
      <c r="D1356" s="28">
        <v>44774</v>
      </c>
      <c r="E1356" s="29">
        <v>90</v>
      </c>
      <c r="F1356" s="15" t="str">
        <f t="shared" si="21"/>
        <v>1206-249444-44774</v>
      </c>
    </row>
    <row r="1357" spans="1:6" ht="14.25" customHeight="1" x14ac:dyDescent="0.25">
      <c r="A1357" s="15" t="s">
        <v>1497</v>
      </c>
      <c r="B1357" s="27">
        <v>1206</v>
      </c>
      <c r="C1357" s="27">
        <v>249444</v>
      </c>
      <c r="D1357" s="28">
        <v>44781</v>
      </c>
      <c r="E1357" s="29">
        <v>264</v>
      </c>
      <c r="F1357" s="15" t="str">
        <f t="shared" si="21"/>
        <v>1206-249444-44781</v>
      </c>
    </row>
    <row r="1358" spans="1:6" ht="14.25" customHeight="1" x14ac:dyDescent="0.25">
      <c r="A1358" s="15" t="s">
        <v>1498</v>
      </c>
      <c r="B1358" s="27">
        <v>1206</v>
      </c>
      <c r="C1358" s="27">
        <v>249444</v>
      </c>
      <c r="D1358" s="28">
        <v>44788</v>
      </c>
      <c r="E1358" s="29">
        <v>308</v>
      </c>
      <c r="F1358" s="15" t="str">
        <f t="shared" si="21"/>
        <v>1206-249444-44788</v>
      </c>
    </row>
    <row r="1359" spans="1:6" ht="14.25" customHeight="1" x14ac:dyDescent="0.25">
      <c r="A1359" s="15" t="s">
        <v>1499</v>
      </c>
      <c r="B1359" s="27">
        <v>1206</v>
      </c>
      <c r="C1359" s="27">
        <v>249795</v>
      </c>
      <c r="D1359" s="28">
        <v>44739</v>
      </c>
      <c r="E1359" s="29">
        <v>27</v>
      </c>
      <c r="F1359" s="15" t="str">
        <f t="shared" si="21"/>
        <v>1206-249795-44739</v>
      </c>
    </row>
    <row r="1360" spans="1:6" ht="14.25" customHeight="1" x14ac:dyDescent="0.25">
      <c r="A1360" s="15" t="s">
        <v>1500</v>
      </c>
      <c r="B1360" s="27">
        <v>1206</v>
      </c>
      <c r="C1360" s="27">
        <v>249795</v>
      </c>
      <c r="D1360" s="28">
        <v>44746</v>
      </c>
      <c r="E1360" s="29">
        <v>36</v>
      </c>
      <c r="F1360" s="15" t="str">
        <f t="shared" si="21"/>
        <v>1206-249795-44746</v>
      </c>
    </row>
    <row r="1361" spans="1:6" ht="14.25" customHeight="1" x14ac:dyDescent="0.25">
      <c r="A1361" s="15" t="s">
        <v>1501</v>
      </c>
      <c r="B1361" s="27">
        <v>1206</v>
      </c>
      <c r="C1361" s="27">
        <v>249795</v>
      </c>
      <c r="D1361" s="28">
        <v>44753</v>
      </c>
      <c r="E1361" s="29">
        <v>38</v>
      </c>
      <c r="F1361" s="15" t="str">
        <f t="shared" si="21"/>
        <v>1206-249795-44753</v>
      </c>
    </row>
    <row r="1362" spans="1:6" ht="14.25" customHeight="1" x14ac:dyDescent="0.25">
      <c r="A1362" s="15" t="s">
        <v>1502</v>
      </c>
      <c r="B1362" s="27">
        <v>1206</v>
      </c>
      <c r="C1362" s="27">
        <v>249795</v>
      </c>
      <c r="D1362" s="28">
        <v>44760</v>
      </c>
      <c r="E1362" s="29">
        <v>13</v>
      </c>
      <c r="F1362" s="15" t="str">
        <f t="shared" si="21"/>
        <v>1206-249795-44760</v>
      </c>
    </row>
    <row r="1363" spans="1:6" ht="14.25" customHeight="1" x14ac:dyDescent="0.25">
      <c r="A1363" s="15" t="s">
        <v>1503</v>
      </c>
      <c r="B1363" s="27">
        <v>1206</v>
      </c>
      <c r="C1363" s="27">
        <v>249795</v>
      </c>
      <c r="D1363" s="28">
        <v>44767</v>
      </c>
      <c r="E1363" s="29">
        <v>34</v>
      </c>
      <c r="F1363" s="15" t="str">
        <f t="shared" si="21"/>
        <v>1206-249795-44767</v>
      </c>
    </row>
    <row r="1364" spans="1:6" ht="14.25" customHeight="1" x14ac:dyDescent="0.25">
      <c r="A1364" s="15" t="s">
        <v>1504</v>
      </c>
      <c r="B1364" s="27">
        <v>1206</v>
      </c>
      <c r="C1364" s="27">
        <v>249795</v>
      </c>
      <c r="D1364" s="28">
        <v>44774</v>
      </c>
      <c r="E1364" s="29">
        <v>28</v>
      </c>
      <c r="F1364" s="15" t="str">
        <f t="shared" si="21"/>
        <v>1206-249795-44774</v>
      </c>
    </row>
    <row r="1365" spans="1:6" ht="14.25" customHeight="1" x14ac:dyDescent="0.25">
      <c r="A1365" s="15" t="s">
        <v>1505</v>
      </c>
      <c r="B1365" s="27">
        <v>1206</v>
      </c>
      <c r="C1365" s="27">
        <v>249795</v>
      </c>
      <c r="D1365" s="28">
        <v>44781</v>
      </c>
      <c r="E1365" s="29">
        <v>24</v>
      </c>
      <c r="F1365" s="15" t="str">
        <f t="shared" si="21"/>
        <v>1206-249795-44781</v>
      </c>
    </row>
    <row r="1366" spans="1:6" ht="14.25" customHeight="1" x14ac:dyDescent="0.25">
      <c r="A1366" s="15" t="s">
        <v>1506</v>
      </c>
      <c r="B1366" s="27">
        <v>1206</v>
      </c>
      <c r="C1366" s="27">
        <v>249795</v>
      </c>
      <c r="D1366" s="28">
        <v>44788</v>
      </c>
      <c r="E1366" s="29">
        <v>10</v>
      </c>
      <c r="F1366" s="15" t="str">
        <f t="shared" si="21"/>
        <v>1206-249795-44788</v>
      </c>
    </row>
    <row r="1367" spans="1:6" ht="14.25" customHeight="1" x14ac:dyDescent="0.25">
      <c r="A1367" s="15" t="s">
        <v>1507</v>
      </c>
      <c r="B1367" s="27">
        <v>1206</v>
      </c>
      <c r="C1367" s="27">
        <v>250979</v>
      </c>
      <c r="D1367" s="28">
        <v>44739</v>
      </c>
      <c r="E1367" s="29">
        <v>27</v>
      </c>
      <c r="F1367" s="15" t="str">
        <f t="shared" si="21"/>
        <v>1206-250979-44739</v>
      </c>
    </row>
    <row r="1368" spans="1:6" ht="14.25" customHeight="1" x14ac:dyDescent="0.25">
      <c r="A1368" s="15" t="s">
        <v>1508</v>
      </c>
      <c r="B1368" s="27">
        <v>1206</v>
      </c>
      <c r="C1368" s="27">
        <v>250979</v>
      </c>
      <c r="D1368" s="28">
        <v>44746</v>
      </c>
      <c r="E1368" s="29">
        <v>83</v>
      </c>
      <c r="F1368" s="15" t="str">
        <f t="shared" si="21"/>
        <v>1206-250979-44746</v>
      </c>
    </row>
    <row r="1369" spans="1:6" ht="14.25" customHeight="1" x14ac:dyDescent="0.25">
      <c r="A1369" s="15" t="s">
        <v>1509</v>
      </c>
      <c r="B1369" s="27">
        <v>1206</v>
      </c>
      <c r="C1369" s="27">
        <v>250979</v>
      </c>
      <c r="D1369" s="28">
        <v>44753</v>
      </c>
      <c r="E1369" s="29">
        <v>101</v>
      </c>
      <c r="F1369" s="15" t="str">
        <f t="shared" si="21"/>
        <v>1206-250979-44753</v>
      </c>
    </row>
    <row r="1370" spans="1:6" ht="14.25" customHeight="1" x14ac:dyDescent="0.25">
      <c r="A1370" s="15" t="s">
        <v>1510</v>
      </c>
      <c r="B1370" s="27">
        <v>1206</v>
      </c>
      <c r="C1370" s="27">
        <v>250979</v>
      </c>
      <c r="D1370" s="28">
        <v>44760</v>
      </c>
      <c r="E1370" s="29">
        <v>91</v>
      </c>
      <c r="F1370" s="15" t="str">
        <f t="shared" si="21"/>
        <v>1206-250979-44760</v>
      </c>
    </row>
    <row r="1371" spans="1:6" ht="14.25" customHeight="1" x14ac:dyDescent="0.25">
      <c r="A1371" s="15" t="s">
        <v>1511</v>
      </c>
      <c r="B1371" s="27">
        <v>1206</v>
      </c>
      <c r="C1371" s="27">
        <v>250979</v>
      </c>
      <c r="D1371" s="28">
        <v>44767</v>
      </c>
      <c r="E1371" s="29">
        <v>30</v>
      </c>
      <c r="F1371" s="15" t="str">
        <f t="shared" si="21"/>
        <v>1206-250979-44767</v>
      </c>
    </row>
    <row r="1372" spans="1:6" ht="14.25" customHeight="1" x14ac:dyDescent="0.25">
      <c r="A1372" s="15" t="s">
        <v>1512</v>
      </c>
      <c r="B1372" s="27">
        <v>1206</v>
      </c>
      <c r="C1372" s="27">
        <v>250979</v>
      </c>
      <c r="D1372" s="28">
        <v>44774</v>
      </c>
      <c r="E1372" s="29">
        <v>75</v>
      </c>
      <c r="F1372" s="15" t="str">
        <f t="shared" si="21"/>
        <v>1206-250979-44774</v>
      </c>
    </row>
    <row r="1373" spans="1:6" ht="14.25" customHeight="1" x14ac:dyDescent="0.25">
      <c r="A1373" s="15" t="s">
        <v>1513</v>
      </c>
      <c r="B1373" s="27">
        <v>1206</v>
      </c>
      <c r="C1373" s="27">
        <v>250979</v>
      </c>
      <c r="D1373" s="28">
        <v>44781</v>
      </c>
      <c r="E1373" s="29">
        <v>84</v>
      </c>
      <c r="F1373" s="15" t="str">
        <f t="shared" si="21"/>
        <v>1206-250979-44781</v>
      </c>
    </row>
    <row r="1374" spans="1:6" ht="14.25" customHeight="1" x14ac:dyDescent="0.25">
      <c r="A1374" s="15" t="s">
        <v>1514</v>
      </c>
      <c r="B1374" s="27">
        <v>1206</v>
      </c>
      <c r="C1374" s="27">
        <v>250979</v>
      </c>
      <c r="D1374" s="28">
        <v>44788</v>
      </c>
      <c r="E1374" s="29">
        <v>39</v>
      </c>
      <c r="F1374" s="15" t="str">
        <f t="shared" si="21"/>
        <v>1206-250979-44788</v>
      </c>
    </row>
    <row r="1375" spans="1:6" ht="14.25" customHeight="1" x14ac:dyDescent="0.25">
      <c r="A1375" s="15" t="s">
        <v>1515</v>
      </c>
      <c r="B1375" s="27">
        <v>1206</v>
      </c>
      <c r="C1375" s="27">
        <v>250981</v>
      </c>
      <c r="D1375" s="28">
        <v>44739</v>
      </c>
      <c r="E1375" s="29">
        <v>3</v>
      </c>
      <c r="F1375" s="15" t="str">
        <f t="shared" si="21"/>
        <v>1206-250981-44739</v>
      </c>
    </row>
    <row r="1376" spans="1:6" ht="14.25" customHeight="1" x14ac:dyDescent="0.25">
      <c r="A1376" s="15" t="s">
        <v>1516</v>
      </c>
      <c r="B1376" s="27">
        <v>1206</v>
      </c>
      <c r="C1376" s="27">
        <v>250981</v>
      </c>
      <c r="D1376" s="28">
        <v>44746</v>
      </c>
      <c r="E1376" s="29">
        <v>3</v>
      </c>
      <c r="F1376" s="15" t="str">
        <f t="shared" si="21"/>
        <v>1206-250981-44746</v>
      </c>
    </row>
    <row r="1377" spans="1:6" ht="14.25" customHeight="1" x14ac:dyDescent="0.25">
      <c r="A1377" s="15" t="s">
        <v>1517</v>
      </c>
      <c r="B1377" s="27">
        <v>1206</v>
      </c>
      <c r="C1377" s="27">
        <v>250981</v>
      </c>
      <c r="D1377" s="28">
        <v>44753</v>
      </c>
      <c r="E1377" s="29">
        <v>3</v>
      </c>
      <c r="F1377" s="15" t="str">
        <f t="shared" si="21"/>
        <v>1206-250981-44753</v>
      </c>
    </row>
    <row r="1378" spans="1:6" ht="14.25" customHeight="1" x14ac:dyDescent="0.25">
      <c r="A1378" s="15" t="s">
        <v>1518</v>
      </c>
      <c r="B1378" s="27">
        <v>1206</v>
      </c>
      <c r="C1378" s="27">
        <v>250981</v>
      </c>
      <c r="D1378" s="28">
        <v>44760</v>
      </c>
      <c r="E1378" s="29">
        <v>3</v>
      </c>
      <c r="F1378" s="15" t="str">
        <f t="shared" si="21"/>
        <v>1206-250981-44760</v>
      </c>
    </row>
    <row r="1379" spans="1:6" ht="14.25" customHeight="1" x14ac:dyDescent="0.25">
      <c r="A1379" s="15" t="s">
        <v>1519</v>
      </c>
      <c r="B1379" s="27">
        <v>1206</v>
      </c>
      <c r="C1379" s="27">
        <v>250981</v>
      </c>
      <c r="D1379" s="28">
        <v>44767</v>
      </c>
      <c r="E1379" s="29">
        <v>3</v>
      </c>
      <c r="F1379" s="15" t="str">
        <f t="shared" si="21"/>
        <v>1206-250981-44767</v>
      </c>
    </row>
    <row r="1380" spans="1:6" ht="14.25" customHeight="1" x14ac:dyDescent="0.25">
      <c r="A1380" s="15" t="s">
        <v>1520</v>
      </c>
      <c r="B1380" s="27">
        <v>1206</v>
      </c>
      <c r="C1380" s="27">
        <v>250981</v>
      </c>
      <c r="D1380" s="28">
        <v>44774</v>
      </c>
      <c r="E1380" s="29">
        <v>3</v>
      </c>
      <c r="F1380" s="15" t="str">
        <f t="shared" si="21"/>
        <v>1206-250981-44774</v>
      </c>
    </row>
    <row r="1381" spans="1:6" ht="14.25" customHeight="1" x14ac:dyDescent="0.25">
      <c r="A1381" s="15" t="s">
        <v>1521</v>
      </c>
      <c r="B1381" s="27">
        <v>1206</v>
      </c>
      <c r="C1381" s="27">
        <v>250981</v>
      </c>
      <c r="D1381" s="28">
        <v>44781</v>
      </c>
      <c r="E1381" s="29">
        <v>3</v>
      </c>
      <c r="F1381" s="15" t="str">
        <f t="shared" si="21"/>
        <v>1206-250981-44781</v>
      </c>
    </row>
    <row r="1382" spans="1:6" ht="14.25" customHeight="1" x14ac:dyDescent="0.25">
      <c r="A1382" s="15" t="s">
        <v>1522</v>
      </c>
      <c r="B1382" s="27">
        <v>1206</v>
      </c>
      <c r="C1382" s="27">
        <v>250981</v>
      </c>
      <c r="D1382" s="28">
        <v>44788</v>
      </c>
      <c r="E1382" s="29">
        <v>3</v>
      </c>
      <c r="F1382" s="15" t="str">
        <f t="shared" si="21"/>
        <v>1206-250981-44788</v>
      </c>
    </row>
    <row r="1383" spans="1:6" ht="14.25" customHeight="1" x14ac:dyDescent="0.25">
      <c r="A1383" s="15" t="s">
        <v>1523</v>
      </c>
      <c r="B1383" s="27">
        <v>1206</v>
      </c>
      <c r="C1383" s="27">
        <v>262294</v>
      </c>
      <c r="D1383" s="28">
        <v>44739</v>
      </c>
      <c r="E1383" s="29">
        <v>57</v>
      </c>
      <c r="F1383" s="15" t="str">
        <f t="shared" si="21"/>
        <v>1206-262294-44739</v>
      </c>
    </row>
    <row r="1384" spans="1:6" ht="14.25" customHeight="1" x14ac:dyDescent="0.25">
      <c r="A1384" s="15" t="s">
        <v>1524</v>
      </c>
      <c r="B1384" s="27">
        <v>1206</v>
      </c>
      <c r="C1384" s="27">
        <v>262294</v>
      </c>
      <c r="D1384" s="28">
        <v>44746</v>
      </c>
      <c r="E1384" s="29">
        <v>57</v>
      </c>
      <c r="F1384" s="15" t="str">
        <f t="shared" si="21"/>
        <v>1206-262294-44746</v>
      </c>
    </row>
    <row r="1385" spans="1:6" ht="14.25" customHeight="1" x14ac:dyDescent="0.25">
      <c r="A1385" s="15" t="s">
        <v>1525</v>
      </c>
      <c r="B1385" s="27">
        <v>1206</v>
      </c>
      <c r="C1385" s="27">
        <v>262294</v>
      </c>
      <c r="D1385" s="28">
        <v>44753</v>
      </c>
      <c r="E1385" s="29">
        <v>54</v>
      </c>
      <c r="F1385" s="15" t="str">
        <f t="shared" si="21"/>
        <v>1206-262294-44753</v>
      </c>
    </row>
    <row r="1386" spans="1:6" ht="14.25" customHeight="1" x14ac:dyDescent="0.25">
      <c r="A1386" s="15" t="s">
        <v>1526</v>
      </c>
      <c r="B1386" s="27">
        <v>1206</v>
      </c>
      <c r="C1386" s="27">
        <v>262294</v>
      </c>
      <c r="D1386" s="28">
        <v>44760</v>
      </c>
      <c r="E1386" s="29">
        <v>62</v>
      </c>
      <c r="F1386" s="15" t="str">
        <f t="shared" si="21"/>
        <v>1206-262294-44760</v>
      </c>
    </row>
    <row r="1387" spans="1:6" ht="14.25" customHeight="1" x14ac:dyDescent="0.25">
      <c r="A1387" s="15" t="s">
        <v>1527</v>
      </c>
      <c r="B1387" s="27">
        <v>1206</v>
      </c>
      <c r="C1387" s="27">
        <v>262294</v>
      </c>
      <c r="D1387" s="28">
        <v>44767</v>
      </c>
      <c r="E1387" s="29">
        <v>72</v>
      </c>
      <c r="F1387" s="15" t="str">
        <f t="shared" si="21"/>
        <v>1206-262294-44767</v>
      </c>
    </row>
    <row r="1388" spans="1:6" ht="14.25" customHeight="1" x14ac:dyDescent="0.25">
      <c r="A1388" s="15" t="s">
        <v>1528</v>
      </c>
      <c r="B1388" s="27">
        <v>1206</v>
      </c>
      <c r="C1388" s="27">
        <v>262294</v>
      </c>
      <c r="D1388" s="28">
        <v>44774</v>
      </c>
      <c r="E1388" s="29">
        <v>15</v>
      </c>
      <c r="F1388" s="15" t="str">
        <f t="shared" si="21"/>
        <v>1206-262294-44774</v>
      </c>
    </row>
    <row r="1389" spans="1:6" ht="14.25" customHeight="1" x14ac:dyDescent="0.25">
      <c r="A1389" s="15" t="s">
        <v>1529</v>
      </c>
      <c r="B1389" s="27">
        <v>1206</v>
      </c>
      <c r="C1389" s="27">
        <v>262294</v>
      </c>
      <c r="D1389" s="28">
        <v>44781</v>
      </c>
      <c r="E1389" s="29">
        <v>22</v>
      </c>
      <c r="F1389" s="15" t="str">
        <f t="shared" si="21"/>
        <v>1206-262294-44781</v>
      </c>
    </row>
    <row r="1390" spans="1:6" ht="14.25" customHeight="1" x14ac:dyDescent="0.25">
      <c r="A1390" s="15" t="s">
        <v>1530</v>
      </c>
      <c r="B1390" s="27">
        <v>1206</v>
      </c>
      <c r="C1390" s="27">
        <v>262294</v>
      </c>
      <c r="D1390" s="28">
        <v>44788</v>
      </c>
      <c r="E1390" s="29">
        <v>57</v>
      </c>
      <c r="F1390" s="15" t="str">
        <f t="shared" si="21"/>
        <v>1206-262294-44788</v>
      </c>
    </row>
    <row r="1391" spans="1:6" ht="14.25" customHeight="1" x14ac:dyDescent="0.25">
      <c r="A1391" s="15" t="s">
        <v>1531</v>
      </c>
      <c r="B1391" s="27">
        <v>1206</v>
      </c>
      <c r="C1391" s="27">
        <v>268831</v>
      </c>
      <c r="D1391" s="28">
        <v>44739</v>
      </c>
      <c r="E1391" s="29">
        <v>59</v>
      </c>
      <c r="F1391" s="15" t="str">
        <f t="shared" si="21"/>
        <v>1206-268831-44739</v>
      </c>
    </row>
    <row r="1392" spans="1:6" ht="14.25" customHeight="1" x14ac:dyDescent="0.25">
      <c r="A1392" s="15" t="s">
        <v>1532</v>
      </c>
      <c r="B1392" s="27">
        <v>1206</v>
      </c>
      <c r="C1392" s="27">
        <v>268831</v>
      </c>
      <c r="D1392" s="28">
        <v>44746</v>
      </c>
      <c r="E1392" s="29">
        <v>58</v>
      </c>
      <c r="F1392" s="15" t="str">
        <f t="shared" si="21"/>
        <v>1206-268831-44746</v>
      </c>
    </row>
    <row r="1393" spans="1:6" ht="14.25" customHeight="1" x14ac:dyDescent="0.25">
      <c r="A1393" s="15" t="s">
        <v>1533</v>
      </c>
      <c r="B1393" s="27">
        <v>1206</v>
      </c>
      <c r="C1393" s="27">
        <v>268831</v>
      </c>
      <c r="D1393" s="28">
        <v>44753</v>
      </c>
      <c r="E1393" s="29">
        <v>258</v>
      </c>
      <c r="F1393" s="15" t="str">
        <f t="shared" si="21"/>
        <v>1206-268831-44753</v>
      </c>
    </row>
    <row r="1394" spans="1:6" ht="14.25" customHeight="1" x14ac:dyDescent="0.25">
      <c r="A1394" s="15" t="s">
        <v>1534</v>
      </c>
      <c r="B1394" s="27">
        <v>1206</v>
      </c>
      <c r="C1394" s="27">
        <v>268831</v>
      </c>
      <c r="D1394" s="28">
        <v>44760</v>
      </c>
      <c r="E1394" s="29">
        <v>248</v>
      </c>
      <c r="F1394" s="15" t="str">
        <f t="shared" si="21"/>
        <v>1206-268831-44760</v>
      </c>
    </row>
    <row r="1395" spans="1:6" ht="14.25" customHeight="1" x14ac:dyDescent="0.25">
      <c r="A1395" s="15" t="s">
        <v>1535</v>
      </c>
      <c r="B1395" s="27">
        <v>1206</v>
      </c>
      <c r="C1395" s="27">
        <v>268831</v>
      </c>
      <c r="D1395" s="28">
        <v>44767</v>
      </c>
      <c r="E1395" s="29">
        <v>220</v>
      </c>
      <c r="F1395" s="15" t="str">
        <f t="shared" si="21"/>
        <v>1206-268831-44767</v>
      </c>
    </row>
    <row r="1396" spans="1:6" ht="14.25" customHeight="1" x14ac:dyDescent="0.25">
      <c r="A1396" s="15" t="s">
        <v>1536</v>
      </c>
      <c r="B1396" s="27">
        <v>1206</v>
      </c>
      <c r="C1396" s="27">
        <v>268831</v>
      </c>
      <c r="D1396" s="28">
        <v>44774</v>
      </c>
      <c r="E1396" s="29">
        <v>204</v>
      </c>
      <c r="F1396" s="15" t="str">
        <f t="shared" si="21"/>
        <v>1206-268831-44774</v>
      </c>
    </row>
    <row r="1397" spans="1:6" ht="14.25" customHeight="1" x14ac:dyDescent="0.25">
      <c r="A1397" s="15" t="s">
        <v>1537</v>
      </c>
      <c r="B1397" s="27">
        <v>1206</v>
      </c>
      <c r="C1397" s="27">
        <v>268831</v>
      </c>
      <c r="D1397" s="28">
        <v>44781</v>
      </c>
      <c r="E1397" s="29">
        <v>61</v>
      </c>
      <c r="F1397" s="15" t="str">
        <f t="shared" si="21"/>
        <v>1206-268831-44781</v>
      </c>
    </row>
    <row r="1398" spans="1:6" ht="14.25" customHeight="1" x14ac:dyDescent="0.25">
      <c r="A1398" s="15" t="s">
        <v>1538</v>
      </c>
      <c r="B1398" s="27">
        <v>1206</v>
      </c>
      <c r="C1398" s="27">
        <v>268831</v>
      </c>
      <c r="D1398" s="28">
        <v>44788</v>
      </c>
      <c r="E1398" s="29">
        <v>246</v>
      </c>
      <c r="F1398" s="15" t="str">
        <f t="shared" si="21"/>
        <v>1206-268831-44788</v>
      </c>
    </row>
    <row r="1399" spans="1:6" ht="14.25" customHeight="1" x14ac:dyDescent="0.25">
      <c r="A1399" s="15" t="s">
        <v>1539</v>
      </c>
      <c r="B1399" s="27">
        <v>1206</v>
      </c>
      <c r="C1399" s="27">
        <v>273701</v>
      </c>
      <c r="D1399" s="28">
        <v>44739</v>
      </c>
      <c r="E1399" s="29">
        <v>162</v>
      </c>
      <c r="F1399" s="15" t="str">
        <f t="shared" si="21"/>
        <v>1206-273701-44739</v>
      </c>
    </row>
    <row r="1400" spans="1:6" ht="14.25" customHeight="1" x14ac:dyDescent="0.25">
      <c r="A1400" s="15" t="s">
        <v>1540</v>
      </c>
      <c r="B1400" s="27">
        <v>1206</v>
      </c>
      <c r="C1400" s="27">
        <v>273701</v>
      </c>
      <c r="D1400" s="28">
        <v>44746</v>
      </c>
      <c r="E1400" s="29">
        <v>78</v>
      </c>
      <c r="F1400" s="15" t="str">
        <f t="shared" si="21"/>
        <v>1206-273701-44746</v>
      </c>
    </row>
    <row r="1401" spans="1:6" ht="14.25" customHeight="1" x14ac:dyDescent="0.25">
      <c r="A1401" s="15" t="s">
        <v>1541</v>
      </c>
      <c r="B1401" s="27">
        <v>1206</v>
      </c>
      <c r="C1401" s="27">
        <v>273701</v>
      </c>
      <c r="D1401" s="28">
        <v>44753</v>
      </c>
      <c r="E1401" s="29">
        <v>224</v>
      </c>
      <c r="F1401" s="15" t="str">
        <f t="shared" si="21"/>
        <v>1206-273701-44753</v>
      </c>
    </row>
    <row r="1402" spans="1:6" ht="14.25" customHeight="1" x14ac:dyDescent="0.25">
      <c r="A1402" s="15" t="s">
        <v>1542</v>
      </c>
      <c r="B1402" s="27">
        <v>1206</v>
      </c>
      <c r="C1402" s="27">
        <v>273701</v>
      </c>
      <c r="D1402" s="28">
        <v>44760</v>
      </c>
      <c r="E1402" s="29">
        <v>81</v>
      </c>
      <c r="F1402" s="15" t="str">
        <f t="shared" si="21"/>
        <v>1206-273701-44760</v>
      </c>
    </row>
    <row r="1403" spans="1:6" ht="14.25" customHeight="1" x14ac:dyDescent="0.25">
      <c r="A1403" s="15" t="s">
        <v>1543</v>
      </c>
      <c r="B1403" s="27">
        <v>1206</v>
      </c>
      <c r="C1403" s="27">
        <v>273701</v>
      </c>
      <c r="D1403" s="28">
        <v>44767</v>
      </c>
      <c r="E1403" s="29">
        <v>158</v>
      </c>
      <c r="F1403" s="15" t="str">
        <f t="shared" si="21"/>
        <v>1206-273701-44767</v>
      </c>
    </row>
    <row r="1404" spans="1:6" ht="14.25" customHeight="1" x14ac:dyDescent="0.25">
      <c r="A1404" s="15" t="s">
        <v>1544</v>
      </c>
      <c r="B1404" s="27">
        <v>1206</v>
      </c>
      <c r="C1404" s="27">
        <v>273701</v>
      </c>
      <c r="D1404" s="28">
        <v>44774</v>
      </c>
      <c r="E1404" s="29">
        <v>189</v>
      </c>
      <c r="F1404" s="15" t="str">
        <f t="shared" si="21"/>
        <v>1206-273701-44774</v>
      </c>
    </row>
    <row r="1405" spans="1:6" ht="14.25" customHeight="1" x14ac:dyDescent="0.25">
      <c r="A1405" s="15" t="s">
        <v>1545</v>
      </c>
      <c r="B1405" s="27">
        <v>1206</v>
      </c>
      <c r="C1405" s="27">
        <v>273701</v>
      </c>
      <c r="D1405" s="28">
        <v>44781</v>
      </c>
      <c r="E1405" s="29">
        <v>221</v>
      </c>
      <c r="F1405" s="15" t="str">
        <f t="shared" si="21"/>
        <v>1206-273701-44781</v>
      </c>
    </row>
    <row r="1406" spans="1:6" ht="14.25" customHeight="1" x14ac:dyDescent="0.25">
      <c r="A1406" s="15" t="s">
        <v>1546</v>
      </c>
      <c r="B1406" s="27">
        <v>1206</v>
      </c>
      <c r="C1406" s="27">
        <v>273701</v>
      </c>
      <c r="D1406" s="28">
        <v>44788</v>
      </c>
      <c r="E1406" s="29">
        <v>104</v>
      </c>
      <c r="F1406" s="15" t="str">
        <f t="shared" si="21"/>
        <v>1206-273701-44788</v>
      </c>
    </row>
    <row r="1407" spans="1:6" ht="14.25" customHeight="1" x14ac:dyDescent="0.25">
      <c r="A1407" s="15" t="s">
        <v>1547</v>
      </c>
      <c r="B1407" s="27">
        <v>1206</v>
      </c>
      <c r="C1407" s="27">
        <v>291726</v>
      </c>
      <c r="D1407" s="28">
        <v>44739</v>
      </c>
      <c r="E1407" s="29">
        <v>20</v>
      </c>
      <c r="F1407" s="15" t="str">
        <f t="shared" si="21"/>
        <v>1206-291726-44739</v>
      </c>
    </row>
    <row r="1408" spans="1:6" ht="14.25" customHeight="1" x14ac:dyDescent="0.25">
      <c r="A1408" s="15" t="s">
        <v>1548</v>
      </c>
      <c r="B1408" s="27">
        <v>1206</v>
      </c>
      <c r="C1408" s="27">
        <v>291726</v>
      </c>
      <c r="D1408" s="28">
        <v>44746</v>
      </c>
      <c r="E1408" s="29">
        <v>47</v>
      </c>
      <c r="F1408" s="15" t="str">
        <f t="shared" si="21"/>
        <v>1206-291726-44746</v>
      </c>
    </row>
    <row r="1409" spans="1:6" ht="14.25" customHeight="1" x14ac:dyDescent="0.25">
      <c r="A1409" s="15" t="s">
        <v>1549</v>
      </c>
      <c r="B1409" s="27">
        <v>1206</v>
      </c>
      <c r="C1409" s="27">
        <v>291726</v>
      </c>
      <c r="D1409" s="28">
        <v>44753</v>
      </c>
      <c r="E1409" s="29">
        <v>20</v>
      </c>
      <c r="F1409" s="15" t="str">
        <f t="shared" si="21"/>
        <v>1206-291726-44753</v>
      </c>
    </row>
    <row r="1410" spans="1:6" ht="14.25" customHeight="1" x14ac:dyDescent="0.25">
      <c r="A1410" s="15" t="s">
        <v>1550</v>
      </c>
      <c r="B1410" s="27">
        <v>1206</v>
      </c>
      <c r="C1410" s="27">
        <v>291726</v>
      </c>
      <c r="D1410" s="28">
        <v>44760</v>
      </c>
      <c r="E1410" s="29">
        <v>25</v>
      </c>
      <c r="F1410" s="15" t="str">
        <f t="shared" si="21"/>
        <v>1206-291726-44760</v>
      </c>
    </row>
    <row r="1411" spans="1:6" ht="14.25" customHeight="1" x14ac:dyDescent="0.25">
      <c r="A1411" s="15" t="s">
        <v>1551</v>
      </c>
      <c r="B1411" s="27">
        <v>1206</v>
      </c>
      <c r="C1411" s="27">
        <v>291726</v>
      </c>
      <c r="D1411" s="28">
        <v>44767</v>
      </c>
      <c r="E1411" s="29">
        <v>15</v>
      </c>
      <c r="F1411" s="15" t="str">
        <f t="shared" ref="F1411:F1474" si="22">B1411&amp;"-"&amp;C1411&amp;"-"&amp;INT(D1411)</f>
        <v>1206-291726-44767</v>
      </c>
    </row>
    <row r="1412" spans="1:6" ht="14.25" customHeight="1" x14ac:dyDescent="0.25">
      <c r="A1412" s="15" t="s">
        <v>1552</v>
      </c>
      <c r="B1412" s="27">
        <v>1206</v>
      </c>
      <c r="C1412" s="27">
        <v>291726</v>
      </c>
      <c r="D1412" s="28">
        <v>44774</v>
      </c>
      <c r="E1412" s="29">
        <v>66</v>
      </c>
      <c r="F1412" s="15" t="str">
        <f t="shared" si="22"/>
        <v>1206-291726-44774</v>
      </c>
    </row>
    <row r="1413" spans="1:6" ht="14.25" customHeight="1" x14ac:dyDescent="0.25">
      <c r="A1413" s="15" t="s">
        <v>1553</v>
      </c>
      <c r="B1413" s="27">
        <v>1206</v>
      </c>
      <c r="C1413" s="27">
        <v>291726</v>
      </c>
      <c r="D1413" s="28">
        <v>44781</v>
      </c>
      <c r="E1413" s="29">
        <v>54</v>
      </c>
      <c r="F1413" s="15" t="str">
        <f t="shared" si="22"/>
        <v>1206-291726-44781</v>
      </c>
    </row>
    <row r="1414" spans="1:6" ht="14.25" customHeight="1" x14ac:dyDescent="0.25">
      <c r="A1414" s="15" t="s">
        <v>1554</v>
      </c>
      <c r="B1414" s="27">
        <v>1206</v>
      </c>
      <c r="C1414" s="27">
        <v>291726</v>
      </c>
      <c r="D1414" s="28">
        <v>44788</v>
      </c>
      <c r="E1414" s="29">
        <v>64</v>
      </c>
      <c r="F1414" s="15" t="str">
        <f t="shared" si="22"/>
        <v>1206-291726-44788</v>
      </c>
    </row>
    <row r="1415" spans="1:6" ht="14.25" customHeight="1" x14ac:dyDescent="0.25">
      <c r="A1415" s="15" t="s">
        <v>1555</v>
      </c>
      <c r="B1415" s="27">
        <v>1206</v>
      </c>
      <c r="C1415" s="27">
        <v>291728</v>
      </c>
      <c r="D1415" s="28">
        <v>44739</v>
      </c>
      <c r="E1415" s="29">
        <v>43</v>
      </c>
      <c r="F1415" s="15" t="str">
        <f t="shared" si="22"/>
        <v>1206-291728-44739</v>
      </c>
    </row>
    <row r="1416" spans="1:6" ht="14.25" customHeight="1" x14ac:dyDescent="0.25">
      <c r="A1416" s="15" t="s">
        <v>1556</v>
      </c>
      <c r="B1416" s="27">
        <v>1206</v>
      </c>
      <c r="C1416" s="27">
        <v>291728</v>
      </c>
      <c r="D1416" s="28">
        <v>44746</v>
      </c>
      <c r="E1416" s="29">
        <v>60</v>
      </c>
      <c r="F1416" s="15" t="str">
        <f t="shared" si="22"/>
        <v>1206-291728-44746</v>
      </c>
    </row>
    <row r="1417" spans="1:6" ht="14.25" customHeight="1" x14ac:dyDescent="0.25">
      <c r="A1417" s="15" t="s">
        <v>1557</v>
      </c>
      <c r="B1417" s="27">
        <v>1206</v>
      </c>
      <c r="C1417" s="27">
        <v>291728</v>
      </c>
      <c r="D1417" s="28">
        <v>44753</v>
      </c>
      <c r="E1417" s="29">
        <v>15</v>
      </c>
      <c r="F1417" s="15" t="str">
        <f t="shared" si="22"/>
        <v>1206-291728-44753</v>
      </c>
    </row>
    <row r="1418" spans="1:6" ht="14.25" customHeight="1" x14ac:dyDescent="0.25">
      <c r="A1418" s="15" t="s">
        <v>1558</v>
      </c>
      <c r="B1418" s="27">
        <v>1206</v>
      </c>
      <c r="C1418" s="27">
        <v>291728</v>
      </c>
      <c r="D1418" s="28">
        <v>44760</v>
      </c>
      <c r="E1418" s="29">
        <v>36</v>
      </c>
      <c r="F1418" s="15" t="str">
        <f t="shared" si="22"/>
        <v>1206-291728-44760</v>
      </c>
    </row>
    <row r="1419" spans="1:6" ht="14.25" customHeight="1" x14ac:dyDescent="0.25">
      <c r="A1419" s="15" t="s">
        <v>1559</v>
      </c>
      <c r="B1419" s="27">
        <v>1206</v>
      </c>
      <c r="C1419" s="27">
        <v>291728</v>
      </c>
      <c r="D1419" s="28">
        <v>44767</v>
      </c>
      <c r="E1419" s="29">
        <v>8</v>
      </c>
      <c r="F1419" s="15" t="str">
        <f t="shared" si="22"/>
        <v>1206-291728-44767</v>
      </c>
    </row>
    <row r="1420" spans="1:6" ht="14.25" customHeight="1" x14ac:dyDescent="0.25">
      <c r="A1420" s="15" t="s">
        <v>1560</v>
      </c>
      <c r="B1420" s="27">
        <v>1206</v>
      </c>
      <c r="C1420" s="27">
        <v>291728</v>
      </c>
      <c r="D1420" s="28">
        <v>44774</v>
      </c>
      <c r="E1420" s="29">
        <v>56</v>
      </c>
      <c r="F1420" s="15" t="str">
        <f t="shared" si="22"/>
        <v>1206-291728-44774</v>
      </c>
    </row>
    <row r="1421" spans="1:6" ht="14.25" customHeight="1" x14ac:dyDescent="0.25">
      <c r="A1421" s="15" t="s">
        <v>1561</v>
      </c>
      <c r="B1421" s="27">
        <v>1206</v>
      </c>
      <c r="C1421" s="27">
        <v>291728</v>
      </c>
      <c r="D1421" s="28">
        <v>44781</v>
      </c>
      <c r="E1421" s="29">
        <v>35</v>
      </c>
      <c r="F1421" s="15" t="str">
        <f t="shared" si="22"/>
        <v>1206-291728-44781</v>
      </c>
    </row>
    <row r="1422" spans="1:6" ht="14.25" customHeight="1" x14ac:dyDescent="0.25">
      <c r="A1422" s="15" t="s">
        <v>1562</v>
      </c>
      <c r="B1422" s="27">
        <v>1206</v>
      </c>
      <c r="C1422" s="27">
        <v>291728</v>
      </c>
      <c r="D1422" s="28">
        <v>44788</v>
      </c>
      <c r="E1422" s="29">
        <v>39</v>
      </c>
      <c r="F1422" s="15" t="str">
        <f t="shared" si="22"/>
        <v>1206-291728-44788</v>
      </c>
    </row>
    <row r="1423" spans="1:6" ht="14.25" customHeight="1" x14ac:dyDescent="0.25">
      <c r="A1423" s="15" t="s">
        <v>1563</v>
      </c>
      <c r="B1423" s="30">
        <v>1206</v>
      </c>
      <c r="C1423" s="27">
        <v>300380</v>
      </c>
      <c r="D1423" s="28">
        <v>44739</v>
      </c>
      <c r="E1423" s="29">
        <v>80</v>
      </c>
      <c r="F1423" s="15" t="str">
        <f t="shared" si="22"/>
        <v>1206-300380-44739</v>
      </c>
    </row>
    <row r="1424" spans="1:6" ht="14.25" customHeight="1" x14ac:dyDescent="0.25">
      <c r="A1424" s="15" t="s">
        <v>1564</v>
      </c>
      <c r="B1424" s="27">
        <v>1206</v>
      </c>
      <c r="C1424" s="27">
        <v>300380</v>
      </c>
      <c r="D1424" s="28">
        <v>44746</v>
      </c>
      <c r="E1424" s="29">
        <v>66</v>
      </c>
      <c r="F1424" s="15" t="str">
        <f t="shared" si="22"/>
        <v>1206-300380-44746</v>
      </c>
    </row>
    <row r="1425" spans="1:6" ht="14.25" customHeight="1" x14ac:dyDescent="0.25">
      <c r="A1425" s="15" t="s">
        <v>1565</v>
      </c>
      <c r="B1425" s="27">
        <v>1206</v>
      </c>
      <c r="C1425" s="27">
        <v>300380</v>
      </c>
      <c r="D1425" s="28">
        <v>44753</v>
      </c>
      <c r="E1425" s="29">
        <v>71</v>
      </c>
      <c r="F1425" s="15" t="str">
        <f t="shared" si="22"/>
        <v>1206-300380-44753</v>
      </c>
    </row>
    <row r="1426" spans="1:6" ht="14.25" customHeight="1" x14ac:dyDescent="0.25">
      <c r="A1426" s="15" t="s">
        <v>1566</v>
      </c>
      <c r="B1426" s="27">
        <v>1206</v>
      </c>
      <c r="C1426" s="27">
        <v>300380</v>
      </c>
      <c r="D1426" s="28">
        <v>44760</v>
      </c>
      <c r="E1426" s="29">
        <v>76</v>
      </c>
      <c r="F1426" s="15" t="str">
        <f t="shared" si="22"/>
        <v>1206-300380-44760</v>
      </c>
    </row>
    <row r="1427" spans="1:6" ht="14.25" customHeight="1" x14ac:dyDescent="0.25">
      <c r="A1427" s="15" t="s">
        <v>1567</v>
      </c>
      <c r="B1427" s="27">
        <v>1206</v>
      </c>
      <c r="C1427" s="27">
        <v>300380</v>
      </c>
      <c r="D1427" s="28">
        <v>44767</v>
      </c>
      <c r="E1427" s="29">
        <v>55</v>
      </c>
      <c r="F1427" s="15" t="str">
        <f t="shared" si="22"/>
        <v>1206-300380-44767</v>
      </c>
    </row>
    <row r="1428" spans="1:6" ht="14.25" customHeight="1" x14ac:dyDescent="0.25">
      <c r="A1428" s="15" t="s">
        <v>1568</v>
      </c>
      <c r="B1428" s="27">
        <v>1206</v>
      </c>
      <c r="C1428" s="27">
        <v>300380</v>
      </c>
      <c r="D1428" s="28">
        <v>44774</v>
      </c>
      <c r="E1428" s="29">
        <v>54</v>
      </c>
      <c r="F1428" s="15" t="str">
        <f t="shared" si="22"/>
        <v>1206-300380-44774</v>
      </c>
    </row>
    <row r="1429" spans="1:6" ht="14.25" customHeight="1" x14ac:dyDescent="0.25">
      <c r="A1429" s="15" t="s">
        <v>1569</v>
      </c>
      <c r="B1429" s="27">
        <v>1206</v>
      </c>
      <c r="C1429" s="27">
        <v>300380</v>
      </c>
      <c r="D1429" s="28">
        <v>44781</v>
      </c>
      <c r="E1429" s="29">
        <v>28</v>
      </c>
      <c r="F1429" s="15" t="str">
        <f t="shared" si="22"/>
        <v>1206-300380-44781</v>
      </c>
    </row>
    <row r="1430" spans="1:6" ht="14.25" customHeight="1" x14ac:dyDescent="0.25">
      <c r="A1430" s="15" t="s">
        <v>1570</v>
      </c>
      <c r="B1430" s="27">
        <v>1206</v>
      </c>
      <c r="C1430" s="27">
        <v>300380</v>
      </c>
      <c r="D1430" s="28">
        <v>44788</v>
      </c>
      <c r="E1430" s="29">
        <v>67</v>
      </c>
      <c r="F1430" s="15" t="str">
        <f t="shared" si="22"/>
        <v>1206-300380-44788</v>
      </c>
    </row>
    <row r="1431" spans="1:6" ht="14.25" customHeight="1" x14ac:dyDescent="0.25">
      <c r="A1431" s="15" t="s">
        <v>1571</v>
      </c>
      <c r="B1431" s="27">
        <v>1206</v>
      </c>
      <c r="C1431" s="27">
        <v>571521</v>
      </c>
      <c r="D1431" s="28">
        <v>44739</v>
      </c>
      <c r="E1431" s="29">
        <v>158</v>
      </c>
      <c r="F1431" s="15" t="str">
        <f t="shared" si="22"/>
        <v>1206-571521-44739</v>
      </c>
    </row>
    <row r="1432" spans="1:6" ht="14.25" customHeight="1" x14ac:dyDescent="0.25">
      <c r="A1432" s="15" t="s">
        <v>1572</v>
      </c>
      <c r="B1432" s="27">
        <v>1206</v>
      </c>
      <c r="C1432" s="27">
        <v>571521</v>
      </c>
      <c r="D1432" s="28">
        <v>44746</v>
      </c>
      <c r="E1432" s="29">
        <v>187</v>
      </c>
      <c r="F1432" s="15" t="str">
        <f t="shared" si="22"/>
        <v>1206-571521-44746</v>
      </c>
    </row>
    <row r="1433" spans="1:6" ht="14.25" customHeight="1" x14ac:dyDescent="0.25">
      <c r="A1433" s="15" t="s">
        <v>1573</v>
      </c>
      <c r="B1433" s="27">
        <v>1206</v>
      </c>
      <c r="C1433" s="27">
        <v>571521</v>
      </c>
      <c r="D1433" s="28">
        <v>44753</v>
      </c>
      <c r="E1433" s="29">
        <v>50</v>
      </c>
      <c r="F1433" s="15" t="str">
        <f t="shared" si="22"/>
        <v>1206-571521-44753</v>
      </c>
    </row>
    <row r="1434" spans="1:6" ht="14.25" customHeight="1" x14ac:dyDescent="0.25">
      <c r="A1434" s="15" t="s">
        <v>1574</v>
      </c>
      <c r="B1434" s="27">
        <v>1206</v>
      </c>
      <c r="C1434" s="27">
        <v>571521</v>
      </c>
      <c r="D1434" s="28">
        <v>44760</v>
      </c>
      <c r="E1434" s="29">
        <v>27</v>
      </c>
      <c r="F1434" s="15" t="str">
        <f t="shared" si="22"/>
        <v>1206-571521-44760</v>
      </c>
    </row>
    <row r="1435" spans="1:6" ht="14.25" customHeight="1" x14ac:dyDescent="0.25">
      <c r="A1435" s="15" t="s">
        <v>1575</v>
      </c>
      <c r="B1435" s="27">
        <v>1206</v>
      </c>
      <c r="C1435" s="27">
        <v>571521</v>
      </c>
      <c r="D1435" s="28">
        <v>44767</v>
      </c>
      <c r="E1435" s="29">
        <v>172</v>
      </c>
      <c r="F1435" s="15" t="str">
        <f t="shared" si="22"/>
        <v>1206-571521-44767</v>
      </c>
    </row>
    <row r="1436" spans="1:6" ht="14.25" customHeight="1" x14ac:dyDescent="0.25">
      <c r="A1436" s="15" t="s">
        <v>1576</v>
      </c>
      <c r="B1436" s="27">
        <v>1206</v>
      </c>
      <c r="C1436" s="27">
        <v>571521</v>
      </c>
      <c r="D1436" s="28">
        <v>44774</v>
      </c>
      <c r="E1436" s="29">
        <v>24</v>
      </c>
      <c r="F1436" s="15" t="str">
        <f t="shared" si="22"/>
        <v>1206-571521-44774</v>
      </c>
    </row>
    <row r="1437" spans="1:6" ht="14.25" customHeight="1" x14ac:dyDescent="0.25">
      <c r="A1437" s="15" t="s">
        <v>1577</v>
      </c>
      <c r="B1437" s="27">
        <v>1206</v>
      </c>
      <c r="C1437" s="27">
        <v>571521</v>
      </c>
      <c r="D1437" s="28">
        <v>44781</v>
      </c>
      <c r="E1437" s="29">
        <v>143</v>
      </c>
      <c r="F1437" s="15" t="str">
        <f t="shared" si="22"/>
        <v>1206-571521-44781</v>
      </c>
    </row>
    <row r="1438" spans="1:6" ht="14.25" customHeight="1" x14ac:dyDescent="0.25">
      <c r="A1438" s="15" t="s">
        <v>1578</v>
      </c>
      <c r="B1438" s="27">
        <v>1206</v>
      </c>
      <c r="C1438" s="27">
        <v>571521</v>
      </c>
      <c r="D1438" s="28">
        <v>44788</v>
      </c>
      <c r="E1438" s="29">
        <v>25</v>
      </c>
      <c r="F1438" s="15" t="str">
        <f t="shared" si="22"/>
        <v>1206-571521-44788</v>
      </c>
    </row>
    <row r="1439" spans="1:6" ht="14.25" customHeight="1" x14ac:dyDescent="0.25">
      <c r="A1439" s="15" t="s">
        <v>1579</v>
      </c>
      <c r="B1439" s="27">
        <v>1206</v>
      </c>
      <c r="C1439" s="27">
        <v>614993</v>
      </c>
      <c r="D1439" s="28">
        <v>44739</v>
      </c>
      <c r="E1439" s="29">
        <v>56</v>
      </c>
      <c r="F1439" s="15" t="str">
        <f t="shared" si="22"/>
        <v>1206-614993-44739</v>
      </c>
    </row>
    <row r="1440" spans="1:6" ht="14.25" customHeight="1" x14ac:dyDescent="0.25">
      <c r="A1440" s="15" t="s">
        <v>1580</v>
      </c>
      <c r="B1440" s="27">
        <v>1206</v>
      </c>
      <c r="C1440" s="27">
        <v>614993</v>
      </c>
      <c r="D1440" s="28">
        <v>44746</v>
      </c>
      <c r="E1440" s="29">
        <v>42</v>
      </c>
      <c r="F1440" s="15" t="str">
        <f t="shared" si="22"/>
        <v>1206-614993-44746</v>
      </c>
    </row>
    <row r="1441" spans="1:6" ht="14.25" customHeight="1" x14ac:dyDescent="0.25">
      <c r="A1441" s="15" t="s">
        <v>1581</v>
      </c>
      <c r="B1441" s="27">
        <v>1206</v>
      </c>
      <c r="C1441" s="27">
        <v>614993</v>
      </c>
      <c r="D1441" s="28">
        <v>44753</v>
      </c>
      <c r="E1441" s="29">
        <v>24</v>
      </c>
      <c r="F1441" s="15" t="str">
        <f t="shared" si="22"/>
        <v>1206-614993-44753</v>
      </c>
    </row>
    <row r="1442" spans="1:6" ht="14.25" customHeight="1" x14ac:dyDescent="0.25">
      <c r="A1442" s="15" t="s">
        <v>1582</v>
      </c>
      <c r="B1442" s="27">
        <v>1206</v>
      </c>
      <c r="C1442" s="27">
        <v>614993</v>
      </c>
      <c r="D1442" s="28">
        <v>44760</v>
      </c>
      <c r="E1442" s="29">
        <v>51</v>
      </c>
      <c r="F1442" s="15" t="str">
        <f t="shared" si="22"/>
        <v>1206-614993-44760</v>
      </c>
    </row>
    <row r="1443" spans="1:6" ht="14.25" customHeight="1" x14ac:dyDescent="0.25">
      <c r="A1443" s="15" t="s">
        <v>1583</v>
      </c>
      <c r="B1443" s="27">
        <v>1206</v>
      </c>
      <c r="C1443" s="27">
        <v>614993</v>
      </c>
      <c r="D1443" s="28">
        <v>44767</v>
      </c>
      <c r="E1443" s="29">
        <v>50</v>
      </c>
      <c r="F1443" s="15" t="str">
        <f t="shared" si="22"/>
        <v>1206-614993-44767</v>
      </c>
    </row>
    <row r="1444" spans="1:6" ht="14.25" customHeight="1" x14ac:dyDescent="0.25">
      <c r="A1444" s="15" t="s">
        <v>1584</v>
      </c>
      <c r="B1444" s="27">
        <v>1206</v>
      </c>
      <c r="C1444" s="27">
        <v>614993</v>
      </c>
      <c r="D1444" s="28">
        <v>44774</v>
      </c>
      <c r="E1444" s="29">
        <v>18</v>
      </c>
      <c r="F1444" s="15" t="str">
        <f t="shared" si="22"/>
        <v>1206-614993-44774</v>
      </c>
    </row>
    <row r="1445" spans="1:6" ht="14.25" customHeight="1" x14ac:dyDescent="0.25">
      <c r="A1445" s="15" t="s">
        <v>1585</v>
      </c>
      <c r="B1445" s="27">
        <v>1206</v>
      </c>
      <c r="C1445" s="27">
        <v>614993</v>
      </c>
      <c r="D1445" s="28">
        <v>44781</v>
      </c>
      <c r="E1445" s="29">
        <v>50</v>
      </c>
      <c r="F1445" s="15" t="str">
        <f t="shared" si="22"/>
        <v>1206-614993-44781</v>
      </c>
    </row>
    <row r="1446" spans="1:6" ht="14.25" customHeight="1" x14ac:dyDescent="0.25">
      <c r="A1446" s="15" t="s">
        <v>1586</v>
      </c>
      <c r="B1446" s="27">
        <v>1206</v>
      </c>
      <c r="C1446" s="27">
        <v>614993</v>
      </c>
      <c r="D1446" s="28">
        <v>44788</v>
      </c>
      <c r="E1446" s="29">
        <v>48</v>
      </c>
      <c r="F1446" s="15" t="str">
        <f t="shared" si="22"/>
        <v>1206-614993-44788</v>
      </c>
    </row>
    <row r="1447" spans="1:6" ht="14.25" customHeight="1" x14ac:dyDescent="0.25">
      <c r="A1447" s="15" t="s">
        <v>1587</v>
      </c>
      <c r="B1447" s="27">
        <v>1207</v>
      </c>
      <c r="C1447" s="27">
        <v>23393</v>
      </c>
      <c r="D1447" s="28">
        <v>32874</v>
      </c>
      <c r="E1447" s="29">
        <v>526</v>
      </c>
      <c r="F1447" s="15" t="str">
        <f t="shared" si="22"/>
        <v>1207-23393-32874</v>
      </c>
    </row>
    <row r="1448" spans="1:6" ht="14.25" customHeight="1" x14ac:dyDescent="0.25">
      <c r="A1448" s="15" t="s">
        <v>1588</v>
      </c>
      <c r="B1448" s="27">
        <v>1207</v>
      </c>
      <c r="C1448" s="27">
        <v>23393</v>
      </c>
      <c r="D1448" s="28">
        <v>44739</v>
      </c>
      <c r="E1448" s="29">
        <v>939</v>
      </c>
      <c r="F1448" s="15" t="str">
        <f t="shared" si="22"/>
        <v>1207-23393-44739</v>
      </c>
    </row>
    <row r="1449" spans="1:6" ht="14.25" customHeight="1" x14ac:dyDescent="0.25">
      <c r="A1449" s="15" t="s">
        <v>1589</v>
      </c>
      <c r="B1449" s="27">
        <v>1207</v>
      </c>
      <c r="C1449" s="27">
        <v>23393</v>
      </c>
      <c r="D1449" s="28">
        <v>44746</v>
      </c>
      <c r="E1449" s="29">
        <v>897</v>
      </c>
      <c r="F1449" s="15" t="str">
        <f t="shared" si="22"/>
        <v>1207-23393-44746</v>
      </c>
    </row>
    <row r="1450" spans="1:6" ht="14.25" customHeight="1" x14ac:dyDescent="0.25">
      <c r="A1450" s="15" t="s">
        <v>1590</v>
      </c>
      <c r="B1450" s="27">
        <v>1207</v>
      </c>
      <c r="C1450" s="27">
        <v>23393</v>
      </c>
      <c r="D1450" s="28">
        <v>44753</v>
      </c>
      <c r="E1450" s="29">
        <v>816</v>
      </c>
      <c r="F1450" s="15" t="str">
        <f t="shared" si="22"/>
        <v>1207-23393-44753</v>
      </c>
    </row>
    <row r="1451" spans="1:6" ht="14.25" customHeight="1" x14ac:dyDescent="0.25">
      <c r="A1451" s="15" t="s">
        <v>1591</v>
      </c>
      <c r="B1451" s="27">
        <v>1207</v>
      </c>
      <c r="C1451" s="27">
        <v>23393</v>
      </c>
      <c r="D1451" s="28">
        <v>44760</v>
      </c>
      <c r="E1451" s="29">
        <v>527</v>
      </c>
      <c r="F1451" s="15" t="str">
        <f t="shared" si="22"/>
        <v>1207-23393-44760</v>
      </c>
    </row>
    <row r="1452" spans="1:6" ht="14.25" customHeight="1" x14ac:dyDescent="0.25">
      <c r="A1452" s="15" t="s">
        <v>1592</v>
      </c>
      <c r="B1452" s="27">
        <v>1207</v>
      </c>
      <c r="C1452" s="27">
        <v>23393</v>
      </c>
      <c r="D1452" s="28">
        <v>44767</v>
      </c>
      <c r="E1452" s="29">
        <v>1118</v>
      </c>
      <c r="F1452" s="15" t="str">
        <f t="shared" si="22"/>
        <v>1207-23393-44767</v>
      </c>
    </row>
    <row r="1453" spans="1:6" ht="14.25" customHeight="1" x14ac:dyDescent="0.25">
      <c r="A1453" s="15" t="s">
        <v>1593</v>
      </c>
      <c r="B1453" s="27">
        <v>1207</v>
      </c>
      <c r="C1453" s="27">
        <v>23393</v>
      </c>
      <c r="D1453" s="28">
        <v>44774</v>
      </c>
      <c r="E1453" s="29">
        <v>1073</v>
      </c>
      <c r="F1453" s="15" t="str">
        <f t="shared" si="22"/>
        <v>1207-23393-44774</v>
      </c>
    </row>
    <row r="1454" spans="1:6" ht="14.25" customHeight="1" x14ac:dyDescent="0.25">
      <c r="A1454" s="15" t="s">
        <v>1594</v>
      </c>
      <c r="B1454" s="27">
        <v>1207</v>
      </c>
      <c r="C1454" s="27">
        <v>23393</v>
      </c>
      <c r="D1454" s="28">
        <v>44781</v>
      </c>
      <c r="E1454" s="29">
        <v>938</v>
      </c>
      <c r="F1454" s="15" t="str">
        <f t="shared" si="22"/>
        <v>1207-23393-44781</v>
      </c>
    </row>
    <row r="1455" spans="1:6" ht="14.25" customHeight="1" x14ac:dyDescent="0.25">
      <c r="A1455" s="15" t="s">
        <v>1595</v>
      </c>
      <c r="B1455" s="27">
        <v>1207</v>
      </c>
      <c r="C1455" s="27">
        <v>23393</v>
      </c>
      <c r="D1455" s="28">
        <v>44788</v>
      </c>
      <c r="E1455" s="29">
        <v>816</v>
      </c>
      <c r="F1455" s="15" t="str">
        <f t="shared" si="22"/>
        <v>1207-23393-44788</v>
      </c>
    </row>
    <row r="1456" spans="1:6" ht="14.25" customHeight="1" x14ac:dyDescent="0.25">
      <c r="A1456" s="15" t="s">
        <v>1596</v>
      </c>
      <c r="B1456" s="27">
        <v>1207</v>
      </c>
      <c r="C1456" s="27">
        <v>26764</v>
      </c>
      <c r="D1456" s="28">
        <v>44739</v>
      </c>
      <c r="E1456" s="29">
        <v>154</v>
      </c>
      <c r="F1456" s="15" t="str">
        <f t="shared" si="22"/>
        <v>1207-26764-44739</v>
      </c>
    </row>
    <row r="1457" spans="1:6" ht="14.25" customHeight="1" x14ac:dyDescent="0.25">
      <c r="A1457" s="15" t="s">
        <v>1597</v>
      </c>
      <c r="B1457" s="27">
        <v>1207</v>
      </c>
      <c r="C1457" s="27">
        <v>26764</v>
      </c>
      <c r="D1457" s="28">
        <v>44746</v>
      </c>
      <c r="E1457" s="29">
        <v>132</v>
      </c>
      <c r="F1457" s="15" t="str">
        <f t="shared" si="22"/>
        <v>1207-26764-44746</v>
      </c>
    </row>
    <row r="1458" spans="1:6" ht="14.25" customHeight="1" x14ac:dyDescent="0.25">
      <c r="A1458" s="15" t="s">
        <v>1598</v>
      </c>
      <c r="B1458" s="27">
        <v>1207</v>
      </c>
      <c r="C1458" s="27">
        <v>26764</v>
      </c>
      <c r="D1458" s="28">
        <v>44753</v>
      </c>
      <c r="E1458" s="29">
        <v>47</v>
      </c>
      <c r="F1458" s="15" t="str">
        <f t="shared" si="22"/>
        <v>1207-26764-44753</v>
      </c>
    </row>
    <row r="1459" spans="1:6" ht="14.25" customHeight="1" x14ac:dyDescent="0.25">
      <c r="A1459" s="15" t="s">
        <v>1599</v>
      </c>
      <c r="B1459" s="27">
        <v>1207</v>
      </c>
      <c r="C1459" s="27">
        <v>26764</v>
      </c>
      <c r="D1459" s="28">
        <v>44760</v>
      </c>
      <c r="E1459" s="29">
        <v>92</v>
      </c>
      <c r="F1459" s="15" t="str">
        <f t="shared" si="22"/>
        <v>1207-26764-44760</v>
      </c>
    </row>
    <row r="1460" spans="1:6" ht="14.25" customHeight="1" x14ac:dyDescent="0.25">
      <c r="A1460" s="15" t="s">
        <v>1600</v>
      </c>
      <c r="B1460" s="27">
        <v>1207</v>
      </c>
      <c r="C1460" s="27">
        <v>26764</v>
      </c>
      <c r="D1460" s="28">
        <v>44767</v>
      </c>
      <c r="E1460" s="29">
        <v>49</v>
      </c>
      <c r="F1460" s="15" t="str">
        <f t="shared" si="22"/>
        <v>1207-26764-44767</v>
      </c>
    </row>
    <row r="1461" spans="1:6" ht="14.25" customHeight="1" x14ac:dyDescent="0.25">
      <c r="A1461" s="15" t="s">
        <v>1601</v>
      </c>
      <c r="B1461" s="27">
        <v>1207</v>
      </c>
      <c r="C1461" s="27">
        <v>26764</v>
      </c>
      <c r="D1461" s="28">
        <v>44774</v>
      </c>
      <c r="E1461" s="29">
        <v>143</v>
      </c>
      <c r="F1461" s="15" t="str">
        <f t="shared" si="22"/>
        <v>1207-26764-44774</v>
      </c>
    </row>
    <row r="1462" spans="1:6" ht="14.25" customHeight="1" x14ac:dyDescent="0.25">
      <c r="A1462" s="15" t="s">
        <v>1602</v>
      </c>
      <c r="B1462" s="27">
        <v>1207</v>
      </c>
      <c r="C1462" s="27">
        <v>26764</v>
      </c>
      <c r="D1462" s="28">
        <v>44781</v>
      </c>
      <c r="E1462" s="29">
        <v>51</v>
      </c>
      <c r="F1462" s="15" t="str">
        <f t="shared" si="22"/>
        <v>1207-26764-44781</v>
      </c>
    </row>
    <row r="1463" spans="1:6" ht="14.25" customHeight="1" x14ac:dyDescent="0.25">
      <c r="A1463" s="15" t="s">
        <v>1603</v>
      </c>
      <c r="B1463" s="27">
        <v>1207</v>
      </c>
      <c r="C1463" s="27">
        <v>26764</v>
      </c>
      <c r="D1463" s="28">
        <v>44788</v>
      </c>
      <c r="E1463" s="29">
        <v>140</v>
      </c>
      <c r="F1463" s="15" t="str">
        <f t="shared" si="22"/>
        <v>1207-26764-44788</v>
      </c>
    </row>
    <row r="1464" spans="1:6" ht="14.25" customHeight="1" x14ac:dyDescent="0.25">
      <c r="A1464" s="15" t="s">
        <v>1604</v>
      </c>
      <c r="B1464" s="27">
        <v>1207</v>
      </c>
      <c r="C1464" s="27">
        <v>53934</v>
      </c>
      <c r="D1464" s="28">
        <v>44739</v>
      </c>
      <c r="E1464" s="29">
        <v>1042</v>
      </c>
      <c r="F1464" s="15" t="str">
        <f t="shared" si="22"/>
        <v>1207-53934-44739</v>
      </c>
    </row>
    <row r="1465" spans="1:6" ht="14.25" customHeight="1" x14ac:dyDescent="0.25">
      <c r="A1465" s="15" t="s">
        <v>1605</v>
      </c>
      <c r="B1465" s="27">
        <v>1207</v>
      </c>
      <c r="C1465" s="27">
        <v>53934</v>
      </c>
      <c r="D1465" s="28">
        <v>44746</v>
      </c>
      <c r="E1465" s="29">
        <v>1188</v>
      </c>
      <c r="F1465" s="15" t="str">
        <f t="shared" si="22"/>
        <v>1207-53934-44746</v>
      </c>
    </row>
    <row r="1466" spans="1:6" ht="14.25" customHeight="1" x14ac:dyDescent="0.25">
      <c r="A1466" s="15" t="s">
        <v>1606</v>
      </c>
      <c r="B1466" s="27">
        <v>1207</v>
      </c>
      <c r="C1466" s="27">
        <v>53934</v>
      </c>
      <c r="D1466" s="28">
        <v>44753</v>
      </c>
      <c r="E1466" s="29">
        <v>942</v>
      </c>
      <c r="F1466" s="15" t="str">
        <f t="shared" si="22"/>
        <v>1207-53934-44753</v>
      </c>
    </row>
    <row r="1467" spans="1:6" ht="14.25" customHeight="1" x14ac:dyDescent="0.25">
      <c r="A1467" s="15" t="s">
        <v>1607</v>
      </c>
      <c r="B1467" s="27">
        <v>1207</v>
      </c>
      <c r="C1467" s="27">
        <v>53934</v>
      </c>
      <c r="D1467" s="28">
        <v>44760</v>
      </c>
      <c r="E1467" s="29">
        <v>1224</v>
      </c>
      <c r="F1467" s="15" t="str">
        <f t="shared" si="22"/>
        <v>1207-53934-44760</v>
      </c>
    </row>
    <row r="1468" spans="1:6" ht="14.25" customHeight="1" x14ac:dyDescent="0.25">
      <c r="A1468" s="15" t="s">
        <v>1608</v>
      </c>
      <c r="B1468" s="27">
        <v>1207</v>
      </c>
      <c r="C1468" s="27">
        <v>53934</v>
      </c>
      <c r="D1468" s="28">
        <v>44767</v>
      </c>
      <c r="E1468" s="29">
        <v>377</v>
      </c>
      <c r="F1468" s="15" t="str">
        <f t="shared" si="22"/>
        <v>1207-53934-44767</v>
      </c>
    </row>
    <row r="1469" spans="1:6" ht="14.25" customHeight="1" x14ac:dyDescent="0.25">
      <c r="A1469" s="15" t="s">
        <v>1609</v>
      </c>
      <c r="B1469" s="27">
        <v>1207</v>
      </c>
      <c r="C1469" s="27">
        <v>53934</v>
      </c>
      <c r="D1469" s="28">
        <v>44774</v>
      </c>
      <c r="E1469" s="29">
        <v>384</v>
      </c>
      <c r="F1469" s="15" t="str">
        <f t="shared" si="22"/>
        <v>1207-53934-44774</v>
      </c>
    </row>
    <row r="1470" spans="1:6" ht="14.25" customHeight="1" x14ac:dyDescent="0.25">
      <c r="A1470" s="15" t="s">
        <v>1610</v>
      </c>
      <c r="B1470" s="27">
        <v>1207</v>
      </c>
      <c r="C1470" s="27">
        <v>53934</v>
      </c>
      <c r="D1470" s="28">
        <v>44781</v>
      </c>
      <c r="E1470" s="29">
        <v>941</v>
      </c>
      <c r="F1470" s="15" t="str">
        <f t="shared" si="22"/>
        <v>1207-53934-44781</v>
      </c>
    </row>
    <row r="1471" spans="1:6" ht="14.25" customHeight="1" x14ac:dyDescent="0.25">
      <c r="A1471" s="15" t="s">
        <v>1611</v>
      </c>
      <c r="B1471" s="27">
        <v>1207</v>
      </c>
      <c r="C1471" s="27">
        <v>53934</v>
      </c>
      <c r="D1471" s="28">
        <v>44788</v>
      </c>
      <c r="E1471" s="29">
        <v>380</v>
      </c>
      <c r="F1471" s="15" t="str">
        <f t="shared" si="22"/>
        <v>1207-53934-44788</v>
      </c>
    </row>
    <row r="1472" spans="1:6" ht="14.25" customHeight="1" x14ac:dyDescent="0.25">
      <c r="A1472" s="15" t="s">
        <v>1612</v>
      </c>
      <c r="B1472" s="27">
        <v>1207</v>
      </c>
      <c r="C1472" s="27">
        <v>78699</v>
      </c>
      <c r="D1472" s="28">
        <v>44739</v>
      </c>
      <c r="E1472" s="29">
        <v>18</v>
      </c>
      <c r="F1472" s="15" t="str">
        <f t="shared" si="22"/>
        <v>1207-78699-44739</v>
      </c>
    </row>
    <row r="1473" spans="1:6" ht="14.25" customHeight="1" x14ac:dyDescent="0.25">
      <c r="A1473" s="15" t="s">
        <v>1613</v>
      </c>
      <c r="B1473" s="27">
        <v>1207</v>
      </c>
      <c r="C1473" s="27">
        <v>78699</v>
      </c>
      <c r="D1473" s="28">
        <v>44746</v>
      </c>
      <c r="E1473" s="29">
        <v>13</v>
      </c>
      <c r="F1473" s="15" t="str">
        <f t="shared" si="22"/>
        <v>1207-78699-44746</v>
      </c>
    </row>
    <row r="1474" spans="1:6" ht="14.25" customHeight="1" x14ac:dyDescent="0.25">
      <c r="A1474" s="15" t="s">
        <v>1614</v>
      </c>
      <c r="B1474" s="27">
        <v>1207</v>
      </c>
      <c r="C1474" s="27">
        <v>78699</v>
      </c>
      <c r="D1474" s="28">
        <v>44753</v>
      </c>
      <c r="E1474" s="29">
        <v>15</v>
      </c>
      <c r="F1474" s="15" t="str">
        <f t="shared" si="22"/>
        <v>1207-78699-44753</v>
      </c>
    </row>
    <row r="1475" spans="1:6" ht="14.25" customHeight="1" x14ac:dyDescent="0.25">
      <c r="A1475" s="15" t="s">
        <v>1615</v>
      </c>
      <c r="B1475" s="27">
        <v>1207</v>
      </c>
      <c r="C1475" s="27">
        <v>78699</v>
      </c>
      <c r="D1475" s="28">
        <v>44760</v>
      </c>
      <c r="E1475" s="29">
        <v>4</v>
      </c>
      <c r="F1475" s="15" t="str">
        <f t="shared" ref="F1475:F1538" si="23">B1475&amp;"-"&amp;C1475&amp;"-"&amp;INT(D1475)</f>
        <v>1207-78699-44760</v>
      </c>
    </row>
    <row r="1476" spans="1:6" ht="14.25" customHeight="1" x14ac:dyDescent="0.25">
      <c r="A1476" s="15" t="s">
        <v>1616</v>
      </c>
      <c r="B1476" s="27">
        <v>1207</v>
      </c>
      <c r="C1476" s="27">
        <v>78699</v>
      </c>
      <c r="D1476" s="28">
        <v>44767</v>
      </c>
      <c r="E1476" s="29">
        <v>11</v>
      </c>
      <c r="F1476" s="15" t="str">
        <f t="shared" si="23"/>
        <v>1207-78699-44767</v>
      </c>
    </row>
    <row r="1477" spans="1:6" ht="14.25" customHeight="1" x14ac:dyDescent="0.25">
      <c r="A1477" s="15" t="s">
        <v>1617</v>
      </c>
      <c r="B1477" s="27">
        <v>1207</v>
      </c>
      <c r="C1477" s="27">
        <v>78699</v>
      </c>
      <c r="D1477" s="28">
        <v>44774</v>
      </c>
      <c r="E1477" s="29">
        <v>12</v>
      </c>
      <c r="F1477" s="15" t="str">
        <f t="shared" si="23"/>
        <v>1207-78699-44774</v>
      </c>
    </row>
    <row r="1478" spans="1:6" ht="14.25" customHeight="1" x14ac:dyDescent="0.25">
      <c r="A1478" s="15" t="s">
        <v>1618</v>
      </c>
      <c r="B1478" s="27">
        <v>1207</v>
      </c>
      <c r="C1478" s="27">
        <v>78699</v>
      </c>
      <c r="D1478" s="28">
        <v>44781</v>
      </c>
      <c r="E1478" s="29">
        <v>14</v>
      </c>
      <c r="F1478" s="15" t="str">
        <f t="shared" si="23"/>
        <v>1207-78699-44781</v>
      </c>
    </row>
    <row r="1479" spans="1:6" ht="14.25" customHeight="1" x14ac:dyDescent="0.25">
      <c r="A1479" s="15" t="s">
        <v>1619</v>
      </c>
      <c r="B1479" s="27">
        <v>1207</v>
      </c>
      <c r="C1479" s="27">
        <v>78699</v>
      </c>
      <c r="D1479" s="28">
        <v>44788</v>
      </c>
      <c r="E1479" s="29">
        <v>1</v>
      </c>
      <c r="F1479" s="15" t="str">
        <f t="shared" si="23"/>
        <v>1207-78699-44788</v>
      </c>
    </row>
    <row r="1480" spans="1:6" ht="14.25" customHeight="1" x14ac:dyDescent="0.25">
      <c r="A1480" s="15" t="s">
        <v>1620</v>
      </c>
      <c r="B1480" s="27">
        <v>1207</v>
      </c>
      <c r="C1480" s="27">
        <v>78869</v>
      </c>
      <c r="D1480" s="28">
        <v>44739</v>
      </c>
      <c r="E1480" s="29">
        <v>30</v>
      </c>
      <c r="F1480" s="15" t="str">
        <f t="shared" si="23"/>
        <v>1207-78869-44739</v>
      </c>
    </row>
    <row r="1481" spans="1:6" ht="14.25" customHeight="1" x14ac:dyDescent="0.25">
      <c r="A1481" s="15" t="s">
        <v>1621</v>
      </c>
      <c r="B1481" s="27">
        <v>1207</v>
      </c>
      <c r="C1481" s="27">
        <v>78869</v>
      </c>
      <c r="D1481" s="28">
        <v>44746</v>
      </c>
      <c r="E1481" s="29">
        <v>72</v>
      </c>
      <c r="F1481" s="15" t="str">
        <f t="shared" si="23"/>
        <v>1207-78869-44746</v>
      </c>
    </row>
    <row r="1482" spans="1:6" ht="14.25" customHeight="1" x14ac:dyDescent="0.25">
      <c r="A1482" s="15" t="s">
        <v>1622</v>
      </c>
      <c r="B1482" s="27">
        <v>1207</v>
      </c>
      <c r="C1482" s="27">
        <v>78869</v>
      </c>
      <c r="D1482" s="28">
        <v>44753</v>
      </c>
      <c r="E1482" s="29">
        <v>28</v>
      </c>
      <c r="F1482" s="15" t="str">
        <f t="shared" si="23"/>
        <v>1207-78869-44753</v>
      </c>
    </row>
    <row r="1483" spans="1:6" ht="14.25" customHeight="1" x14ac:dyDescent="0.25">
      <c r="A1483" s="15" t="s">
        <v>1623</v>
      </c>
      <c r="B1483" s="27">
        <v>1207</v>
      </c>
      <c r="C1483" s="27">
        <v>78869</v>
      </c>
      <c r="D1483" s="28">
        <v>44760</v>
      </c>
      <c r="E1483" s="29">
        <v>32</v>
      </c>
      <c r="F1483" s="15" t="str">
        <f t="shared" si="23"/>
        <v>1207-78869-44760</v>
      </c>
    </row>
    <row r="1484" spans="1:6" ht="14.25" customHeight="1" x14ac:dyDescent="0.25">
      <c r="A1484" s="15" t="s">
        <v>1624</v>
      </c>
      <c r="B1484" s="27">
        <v>1207</v>
      </c>
      <c r="C1484" s="27">
        <v>78869</v>
      </c>
      <c r="D1484" s="28">
        <v>44767</v>
      </c>
      <c r="E1484" s="29">
        <v>78</v>
      </c>
      <c r="F1484" s="15" t="str">
        <f t="shared" si="23"/>
        <v>1207-78869-44767</v>
      </c>
    </row>
    <row r="1485" spans="1:6" ht="14.25" customHeight="1" x14ac:dyDescent="0.25">
      <c r="A1485" s="15" t="s">
        <v>1625</v>
      </c>
      <c r="B1485" s="27">
        <v>1207</v>
      </c>
      <c r="C1485" s="27">
        <v>78869</v>
      </c>
      <c r="D1485" s="28">
        <v>44774</v>
      </c>
      <c r="E1485" s="29">
        <v>88</v>
      </c>
      <c r="F1485" s="15" t="str">
        <f t="shared" si="23"/>
        <v>1207-78869-44774</v>
      </c>
    </row>
    <row r="1486" spans="1:6" ht="14.25" customHeight="1" x14ac:dyDescent="0.25">
      <c r="A1486" s="15" t="s">
        <v>1626</v>
      </c>
      <c r="B1486" s="27">
        <v>1207</v>
      </c>
      <c r="C1486" s="27">
        <v>78869</v>
      </c>
      <c r="D1486" s="28">
        <v>44781</v>
      </c>
      <c r="E1486" s="29">
        <v>57</v>
      </c>
      <c r="F1486" s="15" t="str">
        <f t="shared" si="23"/>
        <v>1207-78869-44781</v>
      </c>
    </row>
    <row r="1487" spans="1:6" ht="14.25" customHeight="1" x14ac:dyDescent="0.25">
      <c r="A1487" s="15" t="s">
        <v>1627</v>
      </c>
      <c r="B1487" s="27">
        <v>1207</v>
      </c>
      <c r="C1487" s="27">
        <v>78869</v>
      </c>
      <c r="D1487" s="28">
        <v>44788</v>
      </c>
      <c r="E1487" s="29">
        <v>36</v>
      </c>
      <c r="F1487" s="15" t="str">
        <f t="shared" si="23"/>
        <v>1207-78869-44788</v>
      </c>
    </row>
    <row r="1488" spans="1:6" ht="14.25" customHeight="1" x14ac:dyDescent="0.25">
      <c r="A1488" s="15" t="s">
        <v>1628</v>
      </c>
      <c r="B1488" s="27">
        <v>1207</v>
      </c>
      <c r="C1488" s="27">
        <v>115600</v>
      </c>
      <c r="D1488" s="28">
        <v>32874</v>
      </c>
      <c r="E1488" s="29">
        <v>12</v>
      </c>
      <c r="F1488" s="15" t="str">
        <f t="shared" si="23"/>
        <v>1207-115600-32874</v>
      </c>
    </row>
    <row r="1489" spans="1:6" ht="14.25" customHeight="1" x14ac:dyDescent="0.25">
      <c r="A1489" s="15" t="s">
        <v>1629</v>
      </c>
      <c r="B1489" s="27">
        <v>1207</v>
      </c>
      <c r="C1489" s="27">
        <v>115600</v>
      </c>
      <c r="D1489" s="28">
        <v>44739</v>
      </c>
      <c r="E1489" s="29">
        <v>36</v>
      </c>
      <c r="F1489" s="15" t="str">
        <f t="shared" si="23"/>
        <v>1207-115600-44739</v>
      </c>
    </row>
    <row r="1490" spans="1:6" ht="14.25" customHeight="1" x14ac:dyDescent="0.25">
      <c r="A1490" s="15" t="s">
        <v>1630</v>
      </c>
      <c r="B1490" s="27">
        <v>1207</v>
      </c>
      <c r="C1490" s="27">
        <v>115600</v>
      </c>
      <c r="D1490" s="28">
        <v>44746</v>
      </c>
      <c r="E1490" s="29">
        <v>38</v>
      </c>
      <c r="F1490" s="15" t="str">
        <f t="shared" si="23"/>
        <v>1207-115600-44746</v>
      </c>
    </row>
    <row r="1491" spans="1:6" ht="14.25" customHeight="1" x14ac:dyDescent="0.25">
      <c r="A1491" s="15" t="s">
        <v>1631</v>
      </c>
      <c r="B1491" s="27">
        <v>1207</v>
      </c>
      <c r="C1491" s="27">
        <v>115600</v>
      </c>
      <c r="D1491" s="28">
        <v>44753</v>
      </c>
      <c r="E1491" s="29">
        <v>7</v>
      </c>
      <c r="F1491" s="15" t="str">
        <f t="shared" si="23"/>
        <v>1207-115600-44753</v>
      </c>
    </row>
    <row r="1492" spans="1:6" ht="14.25" customHeight="1" x14ac:dyDescent="0.25">
      <c r="A1492" s="15" t="s">
        <v>1632</v>
      </c>
      <c r="B1492" s="27">
        <v>1207</v>
      </c>
      <c r="C1492" s="27">
        <v>115600</v>
      </c>
      <c r="D1492" s="28">
        <v>44760</v>
      </c>
      <c r="E1492" s="29">
        <v>44</v>
      </c>
      <c r="F1492" s="15" t="str">
        <f t="shared" si="23"/>
        <v>1207-115600-44760</v>
      </c>
    </row>
    <row r="1493" spans="1:6" ht="14.25" customHeight="1" x14ac:dyDescent="0.25">
      <c r="A1493" s="15" t="s">
        <v>1633</v>
      </c>
      <c r="B1493" s="27">
        <v>1207</v>
      </c>
      <c r="C1493" s="27">
        <v>115600</v>
      </c>
      <c r="D1493" s="28">
        <v>44767</v>
      </c>
      <c r="E1493" s="29">
        <v>31</v>
      </c>
      <c r="F1493" s="15" t="str">
        <f t="shared" si="23"/>
        <v>1207-115600-44767</v>
      </c>
    </row>
    <row r="1494" spans="1:6" ht="14.25" customHeight="1" x14ac:dyDescent="0.25">
      <c r="A1494" s="15" t="s">
        <v>1634</v>
      </c>
      <c r="B1494" s="27">
        <v>1207</v>
      </c>
      <c r="C1494" s="27">
        <v>115600</v>
      </c>
      <c r="D1494" s="28">
        <v>44774</v>
      </c>
      <c r="E1494" s="29">
        <v>47</v>
      </c>
      <c r="F1494" s="15" t="str">
        <f t="shared" si="23"/>
        <v>1207-115600-44774</v>
      </c>
    </row>
    <row r="1495" spans="1:6" ht="14.25" customHeight="1" x14ac:dyDescent="0.25">
      <c r="A1495" s="15" t="s">
        <v>1635</v>
      </c>
      <c r="B1495" s="27">
        <v>1207</v>
      </c>
      <c r="C1495" s="27">
        <v>115600</v>
      </c>
      <c r="D1495" s="28">
        <v>44781</v>
      </c>
      <c r="E1495" s="29">
        <v>18</v>
      </c>
      <c r="F1495" s="15" t="str">
        <f t="shared" si="23"/>
        <v>1207-115600-44781</v>
      </c>
    </row>
    <row r="1496" spans="1:6" ht="14.25" customHeight="1" x14ac:dyDescent="0.25">
      <c r="A1496" s="15" t="s">
        <v>1636</v>
      </c>
      <c r="B1496" s="27">
        <v>1207</v>
      </c>
      <c r="C1496" s="27">
        <v>115600</v>
      </c>
      <c r="D1496" s="28">
        <v>44788</v>
      </c>
      <c r="E1496" s="29">
        <v>12</v>
      </c>
      <c r="F1496" s="15" t="str">
        <f t="shared" si="23"/>
        <v>1207-115600-44788</v>
      </c>
    </row>
    <row r="1497" spans="1:6" ht="14.25" customHeight="1" x14ac:dyDescent="0.25">
      <c r="A1497" s="15" t="s">
        <v>1637</v>
      </c>
      <c r="B1497" s="27">
        <v>1207</v>
      </c>
      <c r="C1497" s="27">
        <v>129208</v>
      </c>
      <c r="D1497" s="28">
        <v>44739</v>
      </c>
      <c r="E1497" s="29">
        <v>26</v>
      </c>
      <c r="F1497" s="15" t="str">
        <f t="shared" si="23"/>
        <v>1207-129208-44739</v>
      </c>
    </row>
    <row r="1498" spans="1:6" ht="14.25" customHeight="1" x14ac:dyDescent="0.25">
      <c r="A1498" s="15" t="s">
        <v>1638</v>
      </c>
      <c r="B1498" s="27">
        <v>1207</v>
      </c>
      <c r="C1498" s="27">
        <v>129208</v>
      </c>
      <c r="D1498" s="28">
        <v>44746</v>
      </c>
      <c r="E1498" s="29">
        <v>18</v>
      </c>
      <c r="F1498" s="15" t="str">
        <f t="shared" si="23"/>
        <v>1207-129208-44746</v>
      </c>
    </row>
    <row r="1499" spans="1:6" ht="14.25" customHeight="1" x14ac:dyDescent="0.25">
      <c r="A1499" s="15" t="s">
        <v>1639</v>
      </c>
      <c r="B1499" s="27">
        <v>1207</v>
      </c>
      <c r="C1499" s="27">
        <v>129208</v>
      </c>
      <c r="D1499" s="28">
        <v>44753</v>
      </c>
      <c r="E1499" s="29">
        <v>12</v>
      </c>
      <c r="F1499" s="15" t="str">
        <f t="shared" si="23"/>
        <v>1207-129208-44753</v>
      </c>
    </row>
    <row r="1500" spans="1:6" ht="14.25" customHeight="1" x14ac:dyDescent="0.25">
      <c r="A1500" s="15" t="s">
        <v>1640</v>
      </c>
      <c r="B1500" s="27">
        <v>1207</v>
      </c>
      <c r="C1500" s="27">
        <v>129208</v>
      </c>
      <c r="D1500" s="28">
        <v>44760</v>
      </c>
      <c r="E1500" s="29">
        <v>14</v>
      </c>
      <c r="F1500" s="15" t="str">
        <f t="shared" si="23"/>
        <v>1207-129208-44760</v>
      </c>
    </row>
    <row r="1501" spans="1:6" ht="14.25" customHeight="1" x14ac:dyDescent="0.25">
      <c r="A1501" s="15" t="s">
        <v>1641</v>
      </c>
      <c r="B1501" s="27">
        <v>1207</v>
      </c>
      <c r="C1501" s="27">
        <v>129208</v>
      </c>
      <c r="D1501" s="28">
        <v>44767</v>
      </c>
      <c r="E1501" s="29">
        <v>-1</v>
      </c>
      <c r="F1501" s="15" t="str">
        <f t="shared" si="23"/>
        <v>1207-129208-44767</v>
      </c>
    </row>
    <row r="1502" spans="1:6" ht="14.25" customHeight="1" x14ac:dyDescent="0.25">
      <c r="A1502" s="15" t="s">
        <v>1642</v>
      </c>
      <c r="B1502" s="27">
        <v>1207</v>
      </c>
      <c r="C1502" s="27">
        <v>129208</v>
      </c>
      <c r="D1502" s="28">
        <v>44774</v>
      </c>
      <c r="E1502" s="29">
        <v>-1</v>
      </c>
      <c r="F1502" s="15" t="str">
        <f t="shared" si="23"/>
        <v>1207-129208-44774</v>
      </c>
    </row>
    <row r="1503" spans="1:6" ht="14.25" customHeight="1" x14ac:dyDescent="0.25">
      <c r="A1503" s="15" t="s">
        <v>1643</v>
      </c>
      <c r="B1503" s="27">
        <v>1207</v>
      </c>
      <c r="C1503" s="27">
        <v>129208</v>
      </c>
      <c r="D1503" s="28">
        <v>44781</v>
      </c>
      <c r="E1503" s="29">
        <v>-2</v>
      </c>
      <c r="F1503" s="15" t="str">
        <f t="shared" si="23"/>
        <v>1207-129208-44781</v>
      </c>
    </row>
    <row r="1504" spans="1:6" ht="14.25" customHeight="1" x14ac:dyDescent="0.25">
      <c r="A1504" s="15" t="s">
        <v>1644</v>
      </c>
      <c r="B1504" s="27">
        <v>1207</v>
      </c>
      <c r="C1504" s="27">
        <v>129208</v>
      </c>
      <c r="D1504" s="28">
        <v>44788</v>
      </c>
      <c r="E1504" s="29">
        <v>16</v>
      </c>
      <c r="F1504" s="15" t="str">
        <f t="shared" si="23"/>
        <v>1207-129208-44788</v>
      </c>
    </row>
    <row r="1505" spans="1:6" ht="14.25" customHeight="1" x14ac:dyDescent="0.25">
      <c r="A1505" s="15" t="s">
        <v>1645</v>
      </c>
      <c r="B1505" s="27">
        <v>1207</v>
      </c>
      <c r="C1505" s="27">
        <v>141622</v>
      </c>
      <c r="D1505" s="28">
        <v>44739</v>
      </c>
      <c r="E1505" s="29">
        <v>37</v>
      </c>
      <c r="F1505" s="15" t="str">
        <f t="shared" si="23"/>
        <v>1207-141622-44739</v>
      </c>
    </row>
    <row r="1506" spans="1:6" ht="14.25" customHeight="1" x14ac:dyDescent="0.25">
      <c r="A1506" s="15" t="s">
        <v>1646</v>
      </c>
      <c r="B1506" s="27">
        <v>1207</v>
      </c>
      <c r="C1506" s="27">
        <v>141622</v>
      </c>
      <c r="D1506" s="28">
        <v>44746</v>
      </c>
      <c r="E1506" s="29">
        <v>72</v>
      </c>
      <c r="F1506" s="15" t="str">
        <f t="shared" si="23"/>
        <v>1207-141622-44746</v>
      </c>
    </row>
    <row r="1507" spans="1:6" ht="14.25" customHeight="1" x14ac:dyDescent="0.25">
      <c r="A1507" s="15" t="s">
        <v>1647</v>
      </c>
      <c r="B1507" s="27">
        <v>1207</v>
      </c>
      <c r="C1507" s="27">
        <v>141622</v>
      </c>
      <c r="D1507" s="28">
        <v>44753</v>
      </c>
      <c r="E1507" s="29">
        <v>66</v>
      </c>
      <c r="F1507" s="15" t="str">
        <f t="shared" si="23"/>
        <v>1207-141622-44753</v>
      </c>
    </row>
    <row r="1508" spans="1:6" ht="14.25" customHeight="1" x14ac:dyDescent="0.25">
      <c r="A1508" s="15" t="s">
        <v>1648</v>
      </c>
      <c r="B1508" s="30">
        <v>1207</v>
      </c>
      <c r="C1508" s="27">
        <v>141622</v>
      </c>
      <c r="D1508" s="28">
        <v>44760</v>
      </c>
      <c r="E1508" s="29">
        <v>48</v>
      </c>
      <c r="F1508" s="15" t="str">
        <f t="shared" si="23"/>
        <v>1207-141622-44760</v>
      </c>
    </row>
    <row r="1509" spans="1:6" ht="14.25" customHeight="1" x14ac:dyDescent="0.25">
      <c r="A1509" s="15" t="s">
        <v>1649</v>
      </c>
      <c r="B1509" s="27">
        <v>1207</v>
      </c>
      <c r="C1509" s="27">
        <v>141622</v>
      </c>
      <c r="D1509" s="28">
        <v>44767</v>
      </c>
      <c r="E1509" s="29">
        <v>75</v>
      </c>
      <c r="F1509" s="15" t="str">
        <f t="shared" si="23"/>
        <v>1207-141622-44767</v>
      </c>
    </row>
    <row r="1510" spans="1:6" ht="14.25" customHeight="1" x14ac:dyDescent="0.25">
      <c r="A1510" s="15" t="s">
        <v>1650</v>
      </c>
      <c r="B1510" s="27">
        <v>1207</v>
      </c>
      <c r="C1510" s="27">
        <v>141622</v>
      </c>
      <c r="D1510" s="28">
        <v>44774</v>
      </c>
      <c r="E1510" s="29">
        <v>84</v>
      </c>
      <c r="F1510" s="15" t="str">
        <f t="shared" si="23"/>
        <v>1207-141622-44774</v>
      </c>
    </row>
    <row r="1511" spans="1:6" ht="14.25" customHeight="1" x14ac:dyDescent="0.25">
      <c r="A1511" s="15" t="s">
        <v>1651</v>
      </c>
      <c r="B1511" s="27">
        <v>1207</v>
      </c>
      <c r="C1511" s="27">
        <v>141622</v>
      </c>
      <c r="D1511" s="28">
        <v>44781</v>
      </c>
      <c r="E1511" s="29">
        <v>38</v>
      </c>
      <c r="F1511" s="15" t="str">
        <f t="shared" si="23"/>
        <v>1207-141622-44781</v>
      </c>
    </row>
    <row r="1512" spans="1:6" ht="14.25" customHeight="1" x14ac:dyDescent="0.25">
      <c r="A1512" s="15" t="s">
        <v>1652</v>
      </c>
      <c r="B1512" s="27">
        <v>1207</v>
      </c>
      <c r="C1512" s="27">
        <v>141622</v>
      </c>
      <c r="D1512" s="28">
        <v>44788</v>
      </c>
      <c r="E1512" s="29">
        <v>48</v>
      </c>
      <c r="F1512" s="15" t="str">
        <f t="shared" si="23"/>
        <v>1207-141622-44788</v>
      </c>
    </row>
    <row r="1513" spans="1:6" ht="14.25" customHeight="1" x14ac:dyDescent="0.25">
      <c r="A1513" s="15" t="s">
        <v>1653</v>
      </c>
      <c r="B1513" s="27">
        <v>1207</v>
      </c>
      <c r="C1513" s="27">
        <v>141626</v>
      </c>
      <c r="D1513" s="28">
        <v>44739</v>
      </c>
      <c r="E1513" s="29">
        <v>1624</v>
      </c>
      <c r="F1513" s="15" t="str">
        <f t="shared" si="23"/>
        <v>1207-141626-44739</v>
      </c>
    </row>
    <row r="1514" spans="1:6" ht="14.25" customHeight="1" x14ac:dyDescent="0.25">
      <c r="A1514" s="15" t="s">
        <v>1654</v>
      </c>
      <c r="B1514" s="27">
        <v>1207</v>
      </c>
      <c r="C1514" s="27">
        <v>141626</v>
      </c>
      <c r="D1514" s="28">
        <v>44746</v>
      </c>
      <c r="E1514" s="29">
        <v>460</v>
      </c>
      <c r="F1514" s="15" t="str">
        <f t="shared" si="23"/>
        <v>1207-141626-44746</v>
      </c>
    </row>
    <row r="1515" spans="1:6" ht="14.25" customHeight="1" x14ac:dyDescent="0.25">
      <c r="A1515" s="15" t="s">
        <v>1655</v>
      </c>
      <c r="B1515" s="27">
        <v>1207</v>
      </c>
      <c r="C1515" s="27">
        <v>141626</v>
      </c>
      <c r="D1515" s="28">
        <v>44753</v>
      </c>
      <c r="E1515" s="29">
        <v>411</v>
      </c>
      <c r="F1515" s="15" t="str">
        <f t="shared" si="23"/>
        <v>1207-141626-44753</v>
      </c>
    </row>
    <row r="1516" spans="1:6" ht="14.25" customHeight="1" x14ac:dyDescent="0.25">
      <c r="A1516" s="15" t="s">
        <v>1656</v>
      </c>
      <c r="B1516" s="27">
        <v>1207</v>
      </c>
      <c r="C1516" s="27">
        <v>141626</v>
      </c>
      <c r="D1516" s="28">
        <v>44760</v>
      </c>
      <c r="E1516" s="29">
        <v>416</v>
      </c>
      <c r="F1516" s="15" t="str">
        <f t="shared" si="23"/>
        <v>1207-141626-44760</v>
      </c>
    </row>
    <row r="1517" spans="1:6" ht="14.25" customHeight="1" x14ac:dyDescent="0.25">
      <c r="A1517" s="15" t="s">
        <v>1657</v>
      </c>
      <c r="B1517" s="27">
        <v>1207</v>
      </c>
      <c r="C1517" s="27">
        <v>141626</v>
      </c>
      <c r="D1517" s="28">
        <v>44767</v>
      </c>
      <c r="E1517" s="29">
        <v>1622</v>
      </c>
      <c r="F1517" s="15" t="str">
        <f t="shared" si="23"/>
        <v>1207-141626-44767</v>
      </c>
    </row>
    <row r="1518" spans="1:6" ht="14.25" customHeight="1" x14ac:dyDescent="0.25">
      <c r="A1518" s="15" t="s">
        <v>1658</v>
      </c>
      <c r="B1518" s="27">
        <v>1207</v>
      </c>
      <c r="C1518" s="27">
        <v>141626</v>
      </c>
      <c r="D1518" s="28">
        <v>44774</v>
      </c>
      <c r="E1518" s="29">
        <v>544</v>
      </c>
      <c r="F1518" s="15" t="str">
        <f t="shared" si="23"/>
        <v>1207-141626-44774</v>
      </c>
    </row>
    <row r="1519" spans="1:6" ht="14.25" customHeight="1" x14ac:dyDescent="0.25">
      <c r="A1519" s="15" t="s">
        <v>1659</v>
      </c>
      <c r="B1519" s="27">
        <v>1207</v>
      </c>
      <c r="C1519" s="27">
        <v>141626</v>
      </c>
      <c r="D1519" s="28">
        <v>44781</v>
      </c>
      <c r="E1519" s="29">
        <v>413</v>
      </c>
      <c r="F1519" s="15" t="str">
        <f t="shared" si="23"/>
        <v>1207-141626-44781</v>
      </c>
    </row>
    <row r="1520" spans="1:6" ht="14.25" customHeight="1" x14ac:dyDescent="0.25">
      <c r="A1520" s="15" t="s">
        <v>1660</v>
      </c>
      <c r="B1520" s="27">
        <v>1207</v>
      </c>
      <c r="C1520" s="27">
        <v>141626</v>
      </c>
      <c r="D1520" s="28">
        <v>44788</v>
      </c>
      <c r="E1520" s="29">
        <v>1401</v>
      </c>
      <c r="F1520" s="15" t="str">
        <f t="shared" si="23"/>
        <v>1207-141626-44788</v>
      </c>
    </row>
    <row r="1521" spans="1:6" ht="14.25" customHeight="1" x14ac:dyDescent="0.25">
      <c r="A1521" s="15" t="s">
        <v>1661</v>
      </c>
      <c r="B1521" s="27">
        <v>1207</v>
      </c>
      <c r="C1521" s="27">
        <v>141791</v>
      </c>
      <c r="D1521" s="28">
        <v>44739</v>
      </c>
      <c r="E1521" s="29">
        <v>27</v>
      </c>
      <c r="F1521" s="15" t="str">
        <f t="shared" si="23"/>
        <v>1207-141791-44739</v>
      </c>
    </row>
    <row r="1522" spans="1:6" ht="14.25" customHeight="1" x14ac:dyDescent="0.25">
      <c r="A1522" s="15" t="s">
        <v>1662</v>
      </c>
      <c r="B1522" s="27">
        <v>1207</v>
      </c>
      <c r="C1522" s="27">
        <v>141791</v>
      </c>
      <c r="D1522" s="28">
        <v>44746</v>
      </c>
      <c r="E1522" s="29">
        <v>26</v>
      </c>
      <c r="F1522" s="15" t="str">
        <f t="shared" si="23"/>
        <v>1207-141791-44746</v>
      </c>
    </row>
    <row r="1523" spans="1:6" ht="14.25" customHeight="1" x14ac:dyDescent="0.25">
      <c r="A1523" s="15" t="s">
        <v>1663</v>
      </c>
      <c r="B1523" s="27">
        <v>1207</v>
      </c>
      <c r="C1523" s="27">
        <v>141791</v>
      </c>
      <c r="D1523" s="28">
        <v>44753</v>
      </c>
      <c r="E1523" s="29">
        <v>2</v>
      </c>
      <c r="F1523" s="15" t="str">
        <f t="shared" si="23"/>
        <v>1207-141791-44753</v>
      </c>
    </row>
    <row r="1524" spans="1:6" ht="14.25" customHeight="1" x14ac:dyDescent="0.25">
      <c r="A1524" s="15" t="s">
        <v>1664</v>
      </c>
      <c r="B1524" s="27">
        <v>1207</v>
      </c>
      <c r="C1524" s="27">
        <v>141791</v>
      </c>
      <c r="D1524" s="28">
        <v>44760</v>
      </c>
      <c r="E1524" s="29">
        <v>8</v>
      </c>
      <c r="F1524" s="15" t="str">
        <f t="shared" si="23"/>
        <v>1207-141791-44760</v>
      </c>
    </row>
    <row r="1525" spans="1:6" ht="14.25" customHeight="1" x14ac:dyDescent="0.25">
      <c r="A1525" s="15" t="s">
        <v>1665</v>
      </c>
      <c r="B1525" s="27">
        <v>1207</v>
      </c>
      <c r="C1525" s="27">
        <v>141791</v>
      </c>
      <c r="D1525" s="28">
        <v>44767</v>
      </c>
      <c r="E1525" s="29">
        <v>26</v>
      </c>
      <c r="F1525" s="15" t="str">
        <f t="shared" si="23"/>
        <v>1207-141791-44767</v>
      </c>
    </row>
    <row r="1526" spans="1:6" ht="14.25" customHeight="1" x14ac:dyDescent="0.25">
      <c r="A1526" s="15" t="s">
        <v>1666</v>
      </c>
      <c r="B1526" s="27">
        <v>1207</v>
      </c>
      <c r="C1526" s="27">
        <v>141791</v>
      </c>
      <c r="D1526" s="28">
        <v>44774</v>
      </c>
      <c r="E1526" s="29">
        <v>9</v>
      </c>
      <c r="F1526" s="15" t="str">
        <f t="shared" si="23"/>
        <v>1207-141791-44774</v>
      </c>
    </row>
    <row r="1527" spans="1:6" ht="14.25" customHeight="1" x14ac:dyDescent="0.25">
      <c r="A1527" s="15" t="s">
        <v>1667</v>
      </c>
      <c r="B1527" s="27">
        <v>1207</v>
      </c>
      <c r="C1527" s="27">
        <v>141791</v>
      </c>
      <c r="D1527" s="28">
        <v>44781</v>
      </c>
      <c r="E1527" s="29">
        <v>24</v>
      </c>
      <c r="F1527" s="15" t="str">
        <f t="shared" si="23"/>
        <v>1207-141791-44781</v>
      </c>
    </row>
    <row r="1528" spans="1:6" ht="14.25" customHeight="1" x14ac:dyDescent="0.25">
      <c r="A1528" s="15" t="s">
        <v>1668</v>
      </c>
      <c r="B1528" s="27">
        <v>1207</v>
      </c>
      <c r="C1528" s="27">
        <v>141791</v>
      </c>
      <c r="D1528" s="28">
        <v>44788</v>
      </c>
      <c r="E1528" s="29">
        <v>20</v>
      </c>
      <c r="F1528" s="15" t="str">
        <f t="shared" si="23"/>
        <v>1207-141791-44788</v>
      </c>
    </row>
    <row r="1529" spans="1:6" ht="14.25" customHeight="1" x14ac:dyDescent="0.25">
      <c r="A1529" s="15" t="s">
        <v>1669</v>
      </c>
      <c r="B1529" s="27">
        <v>1207</v>
      </c>
      <c r="C1529" s="27">
        <v>141846</v>
      </c>
      <c r="D1529" s="28">
        <v>44739</v>
      </c>
      <c r="E1529" s="29">
        <v>30</v>
      </c>
      <c r="F1529" s="15" t="str">
        <f t="shared" si="23"/>
        <v>1207-141846-44739</v>
      </c>
    </row>
    <row r="1530" spans="1:6" ht="14.25" customHeight="1" x14ac:dyDescent="0.25">
      <c r="A1530" s="15" t="s">
        <v>1670</v>
      </c>
      <c r="B1530" s="27">
        <v>1207</v>
      </c>
      <c r="C1530" s="27">
        <v>141846</v>
      </c>
      <c r="D1530" s="28">
        <v>44746</v>
      </c>
      <c r="E1530" s="29">
        <v>9</v>
      </c>
      <c r="F1530" s="15" t="str">
        <f t="shared" si="23"/>
        <v>1207-141846-44746</v>
      </c>
    </row>
    <row r="1531" spans="1:6" ht="14.25" customHeight="1" x14ac:dyDescent="0.25">
      <c r="A1531" s="15" t="s">
        <v>1671</v>
      </c>
      <c r="B1531" s="27">
        <v>1207</v>
      </c>
      <c r="C1531" s="27">
        <v>141846</v>
      </c>
      <c r="D1531" s="28">
        <v>44753</v>
      </c>
      <c r="E1531" s="29">
        <v>15</v>
      </c>
      <c r="F1531" s="15" t="str">
        <f t="shared" si="23"/>
        <v>1207-141846-44753</v>
      </c>
    </row>
    <row r="1532" spans="1:6" ht="14.25" customHeight="1" x14ac:dyDescent="0.25">
      <c r="A1532" s="15" t="s">
        <v>1672</v>
      </c>
      <c r="B1532" s="27">
        <v>1207</v>
      </c>
      <c r="C1532" s="27">
        <v>141846</v>
      </c>
      <c r="D1532" s="28">
        <v>44760</v>
      </c>
      <c r="E1532" s="29">
        <v>36</v>
      </c>
      <c r="F1532" s="15" t="str">
        <f t="shared" si="23"/>
        <v>1207-141846-44760</v>
      </c>
    </row>
    <row r="1533" spans="1:6" ht="14.25" customHeight="1" x14ac:dyDescent="0.25">
      <c r="A1533" s="15" t="s">
        <v>1673</v>
      </c>
      <c r="B1533" s="27">
        <v>1207</v>
      </c>
      <c r="C1533" s="27">
        <v>141846</v>
      </c>
      <c r="D1533" s="28">
        <v>44767</v>
      </c>
      <c r="E1533" s="29">
        <v>8</v>
      </c>
      <c r="F1533" s="15" t="str">
        <f t="shared" si="23"/>
        <v>1207-141846-44767</v>
      </c>
    </row>
    <row r="1534" spans="1:6" ht="14.25" customHeight="1" x14ac:dyDescent="0.25">
      <c r="A1534" s="15" t="s">
        <v>1674</v>
      </c>
      <c r="B1534" s="27">
        <v>1207</v>
      </c>
      <c r="C1534" s="27">
        <v>141846</v>
      </c>
      <c r="D1534" s="28">
        <v>44774</v>
      </c>
      <c r="E1534" s="29">
        <v>39</v>
      </c>
      <c r="F1534" s="15" t="str">
        <f t="shared" si="23"/>
        <v>1207-141846-44774</v>
      </c>
    </row>
    <row r="1535" spans="1:6" ht="14.25" customHeight="1" x14ac:dyDescent="0.25">
      <c r="A1535" s="15" t="s">
        <v>1675</v>
      </c>
      <c r="B1535" s="27">
        <v>1207</v>
      </c>
      <c r="C1535" s="27">
        <v>141846</v>
      </c>
      <c r="D1535" s="28">
        <v>44781</v>
      </c>
      <c r="E1535" s="29">
        <v>18</v>
      </c>
      <c r="F1535" s="15" t="str">
        <f t="shared" si="23"/>
        <v>1207-141846-44781</v>
      </c>
    </row>
    <row r="1536" spans="1:6" ht="14.25" customHeight="1" x14ac:dyDescent="0.25">
      <c r="A1536" s="15" t="s">
        <v>1676</v>
      </c>
      <c r="B1536" s="27">
        <v>1207</v>
      </c>
      <c r="C1536" s="27">
        <v>141846</v>
      </c>
      <c r="D1536" s="28">
        <v>44788</v>
      </c>
      <c r="E1536" s="29">
        <v>34</v>
      </c>
      <c r="F1536" s="15" t="str">
        <f t="shared" si="23"/>
        <v>1207-141846-44788</v>
      </c>
    </row>
    <row r="1537" spans="1:6" ht="14.25" customHeight="1" x14ac:dyDescent="0.25">
      <c r="A1537" s="15" t="s">
        <v>1677</v>
      </c>
      <c r="B1537" s="27">
        <v>1207</v>
      </c>
      <c r="C1537" s="27">
        <v>141967</v>
      </c>
      <c r="D1537" s="28">
        <v>44739</v>
      </c>
      <c r="E1537" s="29">
        <v>64</v>
      </c>
      <c r="F1537" s="15" t="str">
        <f t="shared" si="23"/>
        <v>1207-141967-44739</v>
      </c>
    </row>
    <row r="1538" spans="1:6" ht="14.25" customHeight="1" x14ac:dyDescent="0.25">
      <c r="A1538" s="15" t="s">
        <v>1678</v>
      </c>
      <c r="B1538" s="27">
        <v>1207</v>
      </c>
      <c r="C1538" s="27">
        <v>141967</v>
      </c>
      <c r="D1538" s="28">
        <v>44746</v>
      </c>
      <c r="E1538" s="29">
        <v>34</v>
      </c>
      <c r="F1538" s="15" t="str">
        <f t="shared" si="23"/>
        <v>1207-141967-44746</v>
      </c>
    </row>
    <row r="1539" spans="1:6" ht="14.25" customHeight="1" x14ac:dyDescent="0.25">
      <c r="A1539" s="15" t="s">
        <v>1679</v>
      </c>
      <c r="B1539" s="27">
        <v>1207</v>
      </c>
      <c r="C1539" s="27">
        <v>141967</v>
      </c>
      <c r="D1539" s="28">
        <v>44753</v>
      </c>
      <c r="E1539" s="29">
        <v>50</v>
      </c>
      <c r="F1539" s="15" t="str">
        <f t="shared" ref="F1539:F1602" si="24">B1539&amp;"-"&amp;C1539&amp;"-"&amp;INT(D1539)</f>
        <v>1207-141967-44753</v>
      </c>
    </row>
    <row r="1540" spans="1:6" ht="14.25" customHeight="1" x14ac:dyDescent="0.25">
      <c r="A1540" s="15" t="s">
        <v>1680</v>
      </c>
      <c r="B1540" s="27">
        <v>1207</v>
      </c>
      <c r="C1540" s="27">
        <v>141967</v>
      </c>
      <c r="D1540" s="28">
        <v>44760</v>
      </c>
      <c r="E1540" s="29">
        <v>50</v>
      </c>
      <c r="F1540" s="15" t="str">
        <f t="shared" si="24"/>
        <v>1207-141967-44760</v>
      </c>
    </row>
    <row r="1541" spans="1:6" ht="14.25" customHeight="1" x14ac:dyDescent="0.25">
      <c r="A1541" s="15" t="s">
        <v>1681</v>
      </c>
      <c r="B1541" s="27">
        <v>1207</v>
      </c>
      <c r="C1541" s="27">
        <v>141967</v>
      </c>
      <c r="D1541" s="28">
        <v>44767</v>
      </c>
      <c r="E1541" s="29">
        <v>54</v>
      </c>
      <c r="F1541" s="15" t="str">
        <f t="shared" si="24"/>
        <v>1207-141967-44767</v>
      </c>
    </row>
    <row r="1542" spans="1:6" ht="14.25" customHeight="1" x14ac:dyDescent="0.25">
      <c r="A1542" s="15" t="s">
        <v>1682</v>
      </c>
      <c r="B1542" s="27">
        <v>1207</v>
      </c>
      <c r="C1542" s="27">
        <v>141967</v>
      </c>
      <c r="D1542" s="28">
        <v>44774</v>
      </c>
      <c r="E1542" s="29">
        <v>60</v>
      </c>
      <c r="F1542" s="15" t="str">
        <f t="shared" si="24"/>
        <v>1207-141967-44774</v>
      </c>
    </row>
    <row r="1543" spans="1:6" ht="14.25" customHeight="1" x14ac:dyDescent="0.25">
      <c r="A1543" s="15" t="s">
        <v>1683</v>
      </c>
      <c r="B1543" s="27">
        <v>1207</v>
      </c>
      <c r="C1543" s="27">
        <v>141967</v>
      </c>
      <c r="D1543" s="28">
        <v>44781</v>
      </c>
      <c r="E1543" s="29">
        <v>41</v>
      </c>
      <c r="F1543" s="15" t="str">
        <f t="shared" si="24"/>
        <v>1207-141967-44781</v>
      </c>
    </row>
    <row r="1544" spans="1:6" ht="14.25" customHeight="1" x14ac:dyDescent="0.25">
      <c r="A1544" s="15" t="s">
        <v>1684</v>
      </c>
      <c r="B1544" s="27">
        <v>1207</v>
      </c>
      <c r="C1544" s="27">
        <v>141967</v>
      </c>
      <c r="D1544" s="28">
        <v>44788</v>
      </c>
      <c r="E1544" s="29">
        <v>33</v>
      </c>
      <c r="F1544" s="15" t="str">
        <f t="shared" si="24"/>
        <v>1207-141967-44788</v>
      </c>
    </row>
    <row r="1545" spans="1:6" ht="14.25" customHeight="1" x14ac:dyDescent="0.25">
      <c r="A1545" s="15" t="s">
        <v>1685</v>
      </c>
      <c r="B1545" s="27">
        <v>1207</v>
      </c>
      <c r="C1545" s="27">
        <v>142194</v>
      </c>
      <c r="D1545" s="28">
        <v>44739</v>
      </c>
      <c r="E1545" s="29">
        <v>166</v>
      </c>
      <c r="F1545" s="15" t="str">
        <f t="shared" si="24"/>
        <v>1207-142194-44739</v>
      </c>
    </row>
    <row r="1546" spans="1:6" ht="14.25" customHeight="1" x14ac:dyDescent="0.25">
      <c r="A1546" s="15" t="s">
        <v>1686</v>
      </c>
      <c r="B1546" s="27">
        <v>1207</v>
      </c>
      <c r="C1546" s="27">
        <v>142194</v>
      </c>
      <c r="D1546" s="28">
        <v>44746</v>
      </c>
      <c r="E1546" s="29">
        <v>168</v>
      </c>
      <c r="F1546" s="15" t="str">
        <f t="shared" si="24"/>
        <v>1207-142194-44746</v>
      </c>
    </row>
    <row r="1547" spans="1:6" ht="14.25" customHeight="1" x14ac:dyDescent="0.25">
      <c r="A1547" s="15" t="s">
        <v>1687</v>
      </c>
      <c r="B1547" s="27">
        <v>1207</v>
      </c>
      <c r="C1547" s="27">
        <v>142194</v>
      </c>
      <c r="D1547" s="28">
        <v>44753</v>
      </c>
      <c r="E1547" s="29">
        <v>172</v>
      </c>
      <c r="F1547" s="15" t="str">
        <f t="shared" si="24"/>
        <v>1207-142194-44753</v>
      </c>
    </row>
    <row r="1548" spans="1:6" ht="14.25" customHeight="1" x14ac:dyDescent="0.25">
      <c r="A1548" s="15" t="s">
        <v>1688</v>
      </c>
      <c r="B1548" s="27">
        <v>1207</v>
      </c>
      <c r="C1548" s="27">
        <v>142194</v>
      </c>
      <c r="D1548" s="28">
        <v>44760</v>
      </c>
      <c r="E1548" s="29">
        <v>97</v>
      </c>
      <c r="F1548" s="15" t="str">
        <f t="shared" si="24"/>
        <v>1207-142194-44760</v>
      </c>
    </row>
    <row r="1549" spans="1:6" ht="14.25" customHeight="1" x14ac:dyDescent="0.25">
      <c r="A1549" s="15" t="s">
        <v>1689</v>
      </c>
      <c r="B1549" s="27">
        <v>1207</v>
      </c>
      <c r="C1549" s="27">
        <v>142194</v>
      </c>
      <c r="D1549" s="28">
        <v>44767</v>
      </c>
      <c r="E1549" s="29">
        <v>150</v>
      </c>
      <c r="F1549" s="15" t="str">
        <f t="shared" si="24"/>
        <v>1207-142194-44767</v>
      </c>
    </row>
    <row r="1550" spans="1:6" ht="14.25" customHeight="1" x14ac:dyDescent="0.25">
      <c r="A1550" s="15" t="s">
        <v>1690</v>
      </c>
      <c r="B1550" s="27">
        <v>1207</v>
      </c>
      <c r="C1550" s="27">
        <v>142194</v>
      </c>
      <c r="D1550" s="28">
        <v>44774</v>
      </c>
      <c r="E1550" s="29">
        <v>154</v>
      </c>
      <c r="F1550" s="15" t="str">
        <f t="shared" si="24"/>
        <v>1207-142194-44774</v>
      </c>
    </row>
    <row r="1551" spans="1:6" ht="14.25" customHeight="1" x14ac:dyDescent="0.25">
      <c r="A1551" s="15" t="s">
        <v>1691</v>
      </c>
      <c r="B1551" s="27">
        <v>1207</v>
      </c>
      <c r="C1551" s="27">
        <v>142194</v>
      </c>
      <c r="D1551" s="28">
        <v>44781</v>
      </c>
      <c r="E1551" s="29">
        <v>190</v>
      </c>
      <c r="F1551" s="15" t="str">
        <f t="shared" si="24"/>
        <v>1207-142194-44781</v>
      </c>
    </row>
    <row r="1552" spans="1:6" ht="14.25" customHeight="1" x14ac:dyDescent="0.25">
      <c r="A1552" s="15" t="s">
        <v>1692</v>
      </c>
      <c r="B1552" s="27">
        <v>1207</v>
      </c>
      <c r="C1552" s="27">
        <v>142194</v>
      </c>
      <c r="D1552" s="28">
        <v>44788</v>
      </c>
      <c r="E1552" s="29">
        <v>200</v>
      </c>
      <c r="F1552" s="15" t="str">
        <f t="shared" si="24"/>
        <v>1207-142194-44788</v>
      </c>
    </row>
    <row r="1553" spans="1:6" ht="14.25" customHeight="1" x14ac:dyDescent="0.25">
      <c r="A1553" s="15" t="s">
        <v>1693</v>
      </c>
      <c r="B1553" s="27">
        <v>1207</v>
      </c>
      <c r="C1553" s="27">
        <v>149729</v>
      </c>
      <c r="D1553" s="28">
        <v>44739</v>
      </c>
      <c r="E1553" s="29">
        <v>142</v>
      </c>
      <c r="F1553" s="15" t="str">
        <f t="shared" si="24"/>
        <v>1207-149729-44739</v>
      </c>
    </row>
    <row r="1554" spans="1:6" ht="14.25" customHeight="1" x14ac:dyDescent="0.25">
      <c r="A1554" s="15" t="s">
        <v>1694</v>
      </c>
      <c r="B1554" s="27">
        <v>1207</v>
      </c>
      <c r="C1554" s="27">
        <v>149729</v>
      </c>
      <c r="D1554" s="28">
        <v>44746</v>
      </c>
      <c r="E1554" s="29">
        <v>60</v>
      </c>
      <c r="F1554" s="15" t="str">
        <f t="shared" si="24"/>
        <v>1207-149729-44746</v>
      </c>
    </row>
    <row r="1555" spans="1:6" ht="14.25" customHeight="1" x14ac:dyDescent="0.25">
      <c r="A1555" s="15" t="s">
        <v>1695</v>
      </c>
      <c r="B1555" s="27">
        <v>1207</v>
      </c>
      <c r="C1555" s="27">
        <v>149729</v>
      </c>
      <c r="D1555" s="28">
        <v>44753</v>
      </c>
      <c r="E1555" s="29">
        <v>138</v>
      </c>
      <c r="F1555" s="15" t="str">
        <f t="shared" si="24"/>
        <v>1207-149729-44753</v>
      </c>
    </row>
    <row r="1556" spans="1:6" ht="14.25" customHeight="1" x14ac:dyDescent="0.25">
      <c r="A1556" s="15" t="s">
        <v>1696</v>
      </c>
      <c r="B1556" s="27">
        <v>1207</v>
      </c>
      <c r="C1556" s="27">
        <v>149729</v>
      </c>
      <c r="D1556" s="28">
        <v>44760</v>
      </c>
      <c r="E1556" s="29">
        <v>125</v>
      </c>
      <c r="F1556" s="15" t="str">
        <f t="shared" si="24"/>
        <v>1207-149729-44760</v>
      </c>
    </row>
    <row r="1557" spans="1:6" ht="14.25" customHeight="1" x14ac:dyDescent="0.25">
      <c r="A1557" s="15" t="s">
        <v>1697</v>
      </c>
      <c r="B1557" s="27">
        <v>1207</v>
      </c>
      <c r="C1557" s="27">
        <v>149729</v>
      </c>
      <c r="D1557" s="28">
        <v>44767</v>
      </c>
      <c r="E1557" s="29">
        <v>57</v>
      </c>
      <c r="F1557" s="15" t="str">
        <f t="shared" si="24"/>
        <v>1207-149729-44767</v>
      </c>
    </row>
    <row r="1558" spans="1:6" ht="14.25" customHeight="1" x14ac:dyDescent="0.25">
      <c r="A1558" s="15" t="s">
        <v>1698</v>
      </c>
      <c r="B1558" s="27">
        <v>1207</v>
      </c>
      <c r="C1558" s="27">
        <v>149729</v>
      </c>
      <c r="D1558" s="28">
        <v>44774</v>
      </c>
      <c r="E1558" s="29">
        <v>124</v>
      </c>
      <c r="F1558" s="15" t="str">
        <f t="shared" si="24"/>
        <v>1207-149729-44774</v>
      </c>
    </row>
    <row r="1559" spans="1:6" ht="14.25" customHeight="1" x14ac:dyDescent="0.25">
      <c r="A1559" s="15" t="s">
        <v>1699</v>
      </c>
      <c r="B1559" s="27">
        <v>1207</v>
      </c>
      <c r="C1559" s="27">
        <v>149729</v>
      </c>
      <c r="D1559" s="28">
        <v>44781</v>
      </c>
      <c r="E1559" s="29">
        <v>130</v>
      </c>
      <c r="F1559" s="15" t="str">
        <f t="shared" si="24"/>
        <v>1207-149729-44781</v>
      </c>
    </row>
    <row r="1560" spans="1:6" ht="14.25" customHeight="1" x14ac:dyDescent="0.25">
      <c r="A1560" s="15" t="s">
        <v>1700</v>
      </c>
      <c r="B1560" s="27">
        <v>1207</v>
      </c>
      <c r="C1560" s="27">
        <v>149729</v>
      </c>
      <c r="D1560" s="28">
        <v>44788</v>
      </c>
      <c r="E1560" s="29">
        <v>56</v>
      </c>
      <c r="F1560" s="15" t="str">
        <f t="shared" si="24"/>
        <v>1207-149729-44788</v>
      </c>
    </row>
    <row r="1561" spans="1:6" ht="14.25" customHeight="1" x14ac:dyDescent="0.25">
      <c r="A1561" s="15" t="s">
        <v>1701</v>
      </c>
      <c r="B1561" s="27">
        <v>1207</v>
      </c>
      <c r="C1561" s="27">
        <v>149779</v>
      </c>
      <c r="D1561" s="28">
        <v>44739</v>
      </c>
      <c r="E1561" s="29">
        <v>98</v>
      </c>
      <c r="F1561" s="15" t="str">
        <f t="shared" si="24"/>
        <v>1207-149779-44739</v>
      </c>
    </row>
    <row r="1562" spans="1:6" ht="14.25" customHeight="1" x14ac:dyDescent="0.25">
      <c r="A1562" s="15" t="s">
        <v>1702</v>
      </c>
      <c r="B1562" s="27">
        <v>1207</v>
      </c>
      <c r="C1562" s="27">
        <v>149779</v>
      </c>
      <c r="D1562" s="28">
        <v>44746</v>
      </c>
      <c r="E1562" s="29">
        <v>61</v>
      </c>
      <c r="F1562" s="15" t="str">
        <f t="shared" si="24"/>
        <v>1207-149779-44746</v>
      </c>
    </row>
    <row r="1563" spans="1:6" ht="14.25" customHeight="1" x14ac:dyDescent="0.25">
      <c r="A1563" s="15" t="s">
        <v>1703</v>
      </c>
      <c r="B1563" s="27">
        <v>1207</v>
      </c>
      <c r="C1563" s="27">
        <v>149779</v>
      </c>
      <c r="D1563" s="28">
        <v>44753</v>
      </c>
      <c r="E1563" s="29">
        <v>61</v>
      </c>
      <c r="F1563" s="15" t="str">
        <f t="shared" si="24"/>
        <v>1207-149779-44753</v>
      </c>
    </row>
    <row r="1564" spans="1:6" ht="14.25" customHeight="1" x14ac:dyDescent="0.25">
      <c r="A1564" s="15" t="s">
        <v>1704</v>
      </c>
      <c r="B1564" s="27">
        <v>1207</v>
      </c>
      <c r="C1564" s="27">
        <v>149779</v>
      </c>
      <c r="D1564" s="28">
        <v>44760</v>
      </c>
      <c r="E1564" s="29">
        <v>133</v>
      </c>
      <c r="F1564" s="15" t="str">
        <f t="shared" si="24"/>
        <v>1207-149779-44760</v>
      </c>
    </row>
    <row r="1565" spans="1:6" ht="14.25" customHeight="1" x14ac:dyDescent="0.25">
      <c r="A1565" s="15" t="s">
        <v>1705</v>
      </c>
      <c r="B1565" s="27">
        <v>1207</v>
      </c>
      <c r="C1565" s="27">
        <v>149779</v>
      </c>
      <c r="D1565" s="28">
        <v>44767</v>
      </c>
      <c r="E1565" s="29">
        <v>104</v>
      </c>
      <c r="F1565" s="15" t="str">
        <f t="shared" si="24"/>
        <v>1207-149779-44767</v>
      </c>
    </row>
    <row r="1566" spans="1:6" ht="14.25" customHeight="1" x14ac:dyDescent="0.25">
      <c r="A1566" s="15" t="s">
        <v>1706</v>
      </c>
      <c r="B1566" s="27">
        <v>1207</v>
      </c>
      <c r="C1566" s="27">
        <v>149779</v>
      </c>
      <c r="D1566" s="28">
        <v>44774</v>
      </c>
      <c r="E1566" s="29">
        <v>122</v>
      </c>
      <c r="F1566" s="15" t="str">
        <f t="shared" si="24"/>
        <v>1207-149779-44774</v>
      </c>
    </row>
    <row r="1567" spans="1:6" ht="14.25" customHeight="1" x14ac:dyDescent="0.25">
      <c r="A1567" s="15" t="s">
        <v>1707</v>
      </c>
      <c r="B1567" s="27">
        <v>1207</v>
      </c>
      <c r="C1567" s="27">
        <v>149779</v>
      </c>
      <c r="D1567" s="28">
        <v>44781</v>
      </c>
      <c r="E1567" s="29">
        <v>123</v>
      </c>
      <c r="F1567" s="15" t="str">
        <f t="shared" si="24"/>
        <v>1207-149779-44781</v>
      </c>
    </row>
    <row r="1568" spans="1:6" ht="14.25" customHeight="1" x14ac:dyDescent="0.25">
      <c r="A1568" s="15" t="s">
        <v>1708</v>
      </c>
      <c r="B1568" s="27">
        <v>1207</v>
      </c>
      <c r="C1568" s="27">
        <v>149779</v>
      </c>
      <c r="D1568" s="28">
        <v>44788</v>
      </c>
      <c r="E1568" s="29">
        <v>123</v>
      </c>
      <c r="F1568" s="15" t="str">
        <f t="shared" si="24"/>
        <v>1207-149779-44788</v>
      </c>
    </row>
    <row r="1569" spans="1:6" ht="14.25" customHeight="1" x14ac:dyDescent="0.25">
      <c r="A1569" s="15" t="s">
        <v>1709</v>
      </c>
      <c r="B1569" s="27">
        <v>1207</v>
      </c>
      <c r="C1569" s="27">
        <v>189933</v>
      </c>
      <c r="D1569" s="28">
        <v>44739</v>
      </c>
      <c r="E1569" s="29">
        <v>53</v>
      </c>
      <c r="F1569" s="15" t="str">
        <f t="shared" si="24"/>
        <v>1207-189933-44739</v>
      </c>
    </row>
    <row r="1570" spans="1:6" ht="14.25" customHeight="1" x14ac:dyDescent="0.25">
      <c r="A1570" s="15" t="s">
        <v>1710</v>
      </c>
      <c r="B1570" s="27">
        <v>1207</v>
      </c>
      <c r="C1570" s="27">
        <v>189933</v>
      </c>
      <c r="D1570" s="28">
        <v>44746</v>
      </c>
      <c r="E1570" s="29">
        <v>131</v>
      </c>
      <c r="F1570" s="15" t="str">
        <f t="shared" si="24"/>
        <v>1207-189933-44746</v>
      </c>
    </row>
    <row r="1571" spans="1:6" ht="14.25" customHeight="1" x14ac:dyDescent="0.25">
      <c r="A1571" s="15" t="s">
        <v>1711</v>
      </c>
      <c r="B1571" s="27">
        <v>1207</v>
      </c>
      <c r="C1571" s="27">
        <v>189933</v>
      </c>
      <c r="D1571" s="28">
        <v>44753</v>
      </c>
      <c r="E1571" s="29">
        <v>105</v>
      </c>
      <c r="F1571" s="15" t="str">
        <f t="shared" si="24"/>
        <v>1207-189933-44753</v>
      </c>
    </row>
    <row r="1572" spans="1:6" ht="14.25" customHeight="1" x14ac:dyDescent="0.25">
      <c r="A1572" s="15" t="s">
        <v>1712</v>
      </c>
      <c r="B1572" s="27">
        <v>1207</v>
      </c>
      <c r="C1572" s="27">
        <v>189933</v>
      </c>
      <c r="D1572" s="28">
        <v>44760</v>
      </c>
      <c r="E1572" s="29">
        <v>103</v>
      </c>
      <c r="F1572" s="15" t="str">
        <f t="shared" si="24"/>
        <v>1207-189933-44760</v>
      </c>
    </row>
    <row r="1573" spans="1:6" ht="14.25" customHeight="1" x14ac:dyDescent="0.25">
      <c r="A1573" s="15" t="s">
        <v>1713</v>
      </c>
      <c r="B1573" s="27">
        <v>1207</v>
      </c>
      <c r="C1573" s="27">
        <v>189933</v>
      </c>
      <c r="D1573" s="28">
        <v>44767</v>
      </c>
      <c r="E1573" s="29">
        <v>117</v>
      </c>
      <c r="F1573" s="15" t="str">
        <f t="shared" si="24"/>
        <v>1207-189933-44767</v>
      </c>
    </row>
    <row r="1574" spans="1:6" ht="14.25" customHeight="1" x14ac:dyDescent="0.25">
      <c r="A1574" s="15" t="s">
        <v>1714</v>
      </c>
      <c r="B1574" s="27">
        <v>1207</v>
      </c>
      <c r="C1574" s="27">
        <v>189933</v>
      </c>
      <c r="D1574" s="28">
        <v>44774</v>
      </c>
      <c r="E1574" s="29">
        <v>54</v>
      </c>
      <c r="F1574" s="15" t="str">
        <f t="shared" si="24"/>
        <v>1207-189933-44774</v>
      </c>
    </row>
    <row r="1575" spans="1:6" ht="14.25" customHeight="1" x14ac:dyDescent="0.25">
      <c r="A1575" s="15" t="s">
        <v>1715</v>
      </c>
      <c r="B1575" s="27">
        <v>1207</v>
      </c>
      <c r="C1575" s="27">
        <v>189933</v>
      </c>
      <c r="D1575" s="28">
        <v>44781</v>
      </c>
      <c r="E1575" s="29">
        <v>44</v>
      </c>
      <c r="F1575" s="15" t="str">
        <f t="shared" si="24"/>
        <v>1207-189933-44781</v>
      </c>
    </row>
    <row r="1576" spans="1:6" ht="14.25" customHeight="1" x14ac:dyDescent="0.25">
      <c r="A1576" s="15" t="s">
        <v>1716</v>
      </c>
      <c r="B1576" s="27">
        <v>1207</v>
      </c>
      <c r="C1576" s="27">
        <v>189933</v>
      </c>
      <c r="D1576" s="28">
        <v>44788</v>
      </c>
      <c r="E1576" s="29">
        <v>39</v>
      </c>
      <c r="F1576" s="15" t="str">
        <f t="shared" si="24"/>
        <v>1207-189933-44788</v>
      </c>
    </row>
    <row r="1577" spans="1:6" ht="14.25" customHeight="1" x14ac:dyDescent="0.25">
      <c r="A1577" s="15" t="s">
        <v>1717</v>
      </c>
      <c r="B1577" s="27">
        <v>1207</v>
      </c>
      <c r="C1577" s="27">
        <v>202577</v>
      </c>
      <c r="D1577" s="28">
        <v>44739</v>
      </c>
      <c r="E1577" s="29">
        <v>64</v>
      </c>
      <c r="F1577" s="15" t="str">
        <f t="shared" si="24"/>
        <v>1207-202577-44739</v>
      </c>
    </row>
    <row r="1578" spans="1:6" ht="14.25" customHeight="1" x14ac:dyDescent="0.25">
      <c r="A1578" s="15" t="s">
        <v>1718</v>
      </c>
      <c r="B1578" s="27">
        <v>1207</v>
      </c>
      <c r="C1578" s="27">
        <v>202577</v>
      </c>
      <c r="D1578" s="28">
        <v>44746</v>
      </c>
      <c r="E1578" s="29">
        <v>25</v>
      </c>
      <c r="F1578" s="15" t="str">
        <f t="shared" si="24"/>
        <v>1207-202577-44746</v>
      </c>
    </row>
    <row r="1579" spans="1:6" ht="14.25" customHeight="1" x14ac:dyDescent="0.25">
      <c r="A1579" s="15" t="s">
        <v>1719</v>
      </c>
      <c r="B1579" s="27">
        <v>1207</v>
      </c>
      <c r="C1579" s="27">
        <v>202577</v>
      </c>
      <c r="D1579" s="28">
        <v>44753</v>
      </c>
      <c r="E1579" s="29">
        <v>82</v>
      </c>
      <c r="F1579" s="15" t="str">
        <f t="shared" si="24"/>
        <v>1207-202577-44753</v>
      </c>
    </row>
    <row r="1580" spans="1:6" ht="14.25" customHeight="1" x14ac:dyDescent="0.25">
      <c r="A1580" s="15" t="s">
        <v>1720</v>
      </c>
      <c r="B1580" s="27">
        <v>1207</v>
      </c>
      <c r="C1580" s="27">
        <v>202577</v>
      </c>
      <c r="D1580" s="28">
        <v>44760</v>
      </c>
      <c r="E1580" s="29">
        <v>76</v>
      </c>
      <c r="F1580" s="15" t="str">
        <f t="shared" si="24"/>
        <v>1207-202577-44760</v>
      </c>
    </row>
    <row r="1581" spans="1:6" ht="14.25" customHeight="1" x14ac:dyDescent="0.25">
      <c r="A1581" s="15" t="s">
        <v>1721</v>
      </c>
      <c r="B1581" s="27">
        <v>1207</v>
      </c>
      <c r="C1581" s="27">
        <v>202577</v>
      </c>
      <c r="D1581" s="28">
        <v>44767</v>
      </c>
      <c r="E1581" s="29">
        <v>64</v>
      </c>
      <c r="F1581" s="15" t="str">
        <f t="shared" si="24"/>
        <v>1207-202577-44767</v>
      </c>
    </row>
    <row r="1582" spans="1:6" ht="14.25" customHeight="1" x14ac:dyDescent="0.25">
      <c r="A1582" s="15" t="s">
        <v>1722</v>
      </c>
      <c r="B1582" s="27">
        <v>1207</v>
      </c>
      <c r="C1582" s="27">
        <v>202577</v>
      </c>
      <c r="D1582" s="28">
        <v>44774</v>
      </c>
      <c r="E1582" s="29">
        <v>80</v>
      </c>
      <c r="F1582" s="15" t="str">
        <f t="shared" si="24"/>
        <v>1207-202577-44774</v>
      </c>
    </row>
    <row r="1583" spans="1:6" ht="14.25" customHeight="1" x14ac:dyDescent="0.25">
      <c r="A1583" s="15" t="s">
        <v>1723</v>
      </c>
      <c r="B1583" s="27">
        <v>1207</v>
      </c>
      <c r="C1583" s="27">
        <v>202577</v>
      </c>
      <c r="D1583" s="28">
        <v>44781</v>
      </c>
      <c r="E1583" s="29">
        <v>64</v>
      </c>
      <c r="F1583" s="15" t="str">
        <f t="shared" si="24"/>
        <v>1207-202577-44781</v>
      </c>
    </row>
    <row r="1584" spans="1:6" ht="14.25" customHeight="1" x14ac:dyDescent="0.25">
      <c r="A1584" s="15" t="s">
        <v>1724</v>
      </c>
      <c r="B1584" s="27">
        <v>1207</v>
      </c>
      <c r="C1584" s="27">
        <v>202577</v>
      </c>
      <c r="D1584" s="28">
        <v>44788</v>
      </c>
      <c r="E1584" s="29">
        <v>60</v>
      </c>
      <c r="F1584" s="15" t="str">
        <f t="shared" si="24"/>
        <v>1207-202577-44788</v>
      </c>
    </row>
    <row r="1585" spans="1:6" ht="14.25" customHeight="1" x14ac:dyDescent="0.25">
      <c r="A1585" s="15" t="s">
        <v>1725</v>
      </c>
      <c r="B1585" s="27">
        <v>1207</v>
      </c>
      <c r="C1585" s="27">
        <v>234334</v>
      </c>
      <c r="D1585" s="28">
        <v>44739</v>
      </c>
      <c r="E1585" s="29">
        <v>105</v>
      </c>
      <c r="F1585" s="15" t="str">
        <f t="shared" si="24"/>
        <v>1207-234334-44739</v>
      </c>
    </row>
    <row r="1586" spans="1:6" ht="14.25" customHeight="1" x14ac:dyDescent="0.25">
      <c r="A1586" s="15" t="s">
        <v>1726</v>
      </c>
      <c r="B1586" s="27">
        <v>1207</v>
      </c>
      <c r="C1586" s="27">
        <v>234334</v>
      </c>
      <c r="D1586" s="28">
        <v>44746</v>
      </c>
      <c r="E1586" s="29">
        <v>100</v>
      </c>
      <c r="F1586" s="15" t="str">
        <f t="shared" si="24"/>
        <v>1207-234334-44746</v>
      </c>
    </row>
    <row r="1587" spans="1:6" ht="14.25" customHeight="1" x14ac:dyDescent="0.25">
      <c r="A1587" s="15" t="s">
        <v>1727</v>
      </c>
      <c r="B1587" s="27">
        <v>1207</v>
      </c>
      <c r="C1587" s="27">
        <v>234334</v>
      </c>
      <c r="D1587" s="28">
        <v>44753</v>
      </c>
      <c r="E1587" s="29">
        <v>30</v>
      </c>
      <c r="F1587" s="15" t="str">
        <f t="shared" si="24"/>
        <v>1207-234334-44753</v>
      </c>
    </row>
    <row r="1588" spans="1:6" ht="14.25" customHeight="1" x14ac:dyDescent="0.25">
      <c r="A1588" s="15" t="s">
        <v>1728</v>
      </c>
      <c r="B1588" s="27">
        <v>1207</v>
      </c>
      <c r="C1588" s="27">
        <v>234334</v>
      </c>
      <c r="D1588" s="28">
        <v>44760</v>
      </c>
      <c r="E1588" s="29">
        <v>30</v>
      </c>
      <c r="F1588" s="15" t="str">
        <f t="shared" si="24"/>
        <v>1207-234334-44760</v>
      </c>
    </row>
    <row r="1589" spans="1:6" ht="14.25" customHeight="1" x14ac:dyDescent="0.25">
      <c r="A1589" s="15" t="s">
        <v>1729</v>
      </c>
      <c r="B1589" s="27">
        <v>1207</v>
      </c>
      <c r="C1589" s="27">
        <v>234334</v>
      </c>
      <c r="D1589" s="28">
        <v>44767</v>
      </c>
      <c r="E1589" s="29">
        <v>86</v>
      </c>
      <c r="F1589" s="15" t="str">
        <f t="shared" si="24"/>
        <v>1207-234334-44767</v>
      </c>
    </row>
    <row r="1590" spans="1:6" ht="14.25" customHeight="1" x14ac:dyDescent="0.25">
      <c r="A1590" s="15" t="s">
        <v>1730</v>
      </c>
      <c r="B1590" s="27">
        <v>1207</v>
      </c>
      <c r="C1590" s="27">
        <v>234334</v>
      </c>
      <c r="D1590" s="28">
        <v>44774</v>
      </c>
      <c r="E1590" s="29">
        <v>30</v>
      </c>
      <c r="F1590" s="15" t="str">
        <f t="shared" si="24"/>
        <v>1207-234334-44774</v>
      </c>
    </row>
    <row r="1591" spans="1:6" ht="14.25" customHeight="1" x14ac:dyDescent="0.25">
      <c r="A1591" s="15" t="s">
        <v>1731</v>
      </c>
      <c r="B1591" s="27">
        <v>1207</v>
      </c>
      <c r="C1591" s="27">
        <v>234334</v>
      </c>
      <c r="D1591" s="28">
        <v>44781</v>
      </c>
      <c r="E1591" s="29">
        <v>72</v>
      </c>
      <c r="F1591" s="15" t="str">
        <f t="shared" si="24"/>
        <v>1207-234334-44781</v>
      </c>
    </row>
    <row r="1592" spans="1:6" ht="14.25" customHeight="1" x14ac:dyDescent="0.25">
      <c r="A1592" s="15" t="s">
        <v>1732</v>
      </c>
      <c r="B1592" s="27">
        <v>1207</v>
      </c>
      <c r="C1592" s="27">
        <v>234334</v>
      </c>
      <c r="D1592" s="28">
        <v>44788</v>
      </c>
      <c r="E1592" s="29">
        <v>42</v>
      </c>
      <c r="F1592" s="15" t="str">
        <f t="shared" si="24"/>
        <v>1207-234334-44788</v>
      </c>
    </row>
    <row r="1593" spans="1:6" ht="14.25" customHeight="1" x14ac:dyDescent="0.25">
      <c r="A1593" s="15" t="s">
        <v>1733</v>
      </c>
      <c r="B1593" s="27">
        <v>1207</v>
      </c>
      <c r="C1593" s="27">
        <v>249444</v>
      </c>
      <c r="D1593" s="28">
        <v>44739</v>
      </c>
      <c r="E1593" s="29">
        <v>128</v>
      </c>
      <c r="F1593" s="15" t="str">
        <f t="shared" si="24"/>
        <v>1207-249444-44739</v>
      </c>
    </row>
    <row r="1594" spans="1:6" ht="14.25" customHeight="1" x14ac:dyDescent="0.25">
      <c r="A1594" s="15" t="s">
        <v>1734</v>
      </c>
      <c r="B1594" s="27">
        <v>1207</v>
      </c>
      <c r="C1594" s="27">
        <v>249444</v>
      </c>
      <c r="D1594" s="28">
        <v>44746</v>
      </c>
      <c r="E1594" s="29">
        <v>219</v>
      </c>
      <c r="F1594" s="15" t="str">
        <f t="shared" si="24"/>
        <v>1207-249444-44746</v>
      </c>
    </row>
    <row r="1595" spans="1:6" ht="14.25" customHeight="1" x14ac:dyDescent="0.25">
      <c r="A1595" s="15" t="s">
        <v>1735</v>
      </c>
      <c r="B1595" s="27">
        <v>1207</v>
      </c>
      <c r="C1595" s="27">
        <v>249444</v>
      </c>
      <c r="D1595" s="28">
        <v>44753</v>
      </c>
      <c r="E1595" s="29">
        <v>160</v>
      </c>
      <c r="F1595" s="15" t="str">
        <f t="shared" si="24"/>
        <v>1207-249444-44753</v>
      </c>
    </row>
    <row r="1596" spans="1:6" ht="14.25" customHeight="1" x14ac:dyDescent="0.25">
      <c r="A1596" s="15" t="s">
        <v>1736</v>
      </c>
      <c r="B1596" s="27">
        <v>1207</v>
      </c>
      <c r="C1596" s="27">
        <v>249444</v>
      </c>
      <c r="D1596" s="28">
        <v>44760</v>
      </c>
      <c r="E1596" s="29">
        <v>221</v>
      </c>
      <c r="F1596" s="15" t="str">
        <f t="shared" si="24"/>
        <v>1207-249444-44760</v>
      </c>
    </row>
    <row r="1597" spans="1:6" ht="14.25" customHeight="1" x14ac:dyDescent="0.25">
      <c r="A1597" s="15" t="s">
        <v>1737</v>
      </c>
      <c r="B1597" s="27">
        <v>1207</v>
      </c>
      <c r="C1597" s="27">
        <v>249444</v>
      </c>
      <c r="D1597" s="28">
        <v>44767</v>
      </c>
      <c r="E1597" s="29">
        <v>259</v>
      </c>
      <c r="F1597" s="15" t="str">
        <f t="shared" si="24"/>
        <v>1207-249444-44767</v>
      </c>
    </row>
    <row r="1598" spans="1:6" ht="14.25" customHeight="1" x14ac:dyDescent="0.25">
      <c r="A1598" s="15" t="s">
        <v>1738</v>
      </c>
      <c r="B1598" s="27">
        <v>1207</v>
      </c>
      <c r="C1598" s="27">
        <v>249444</v>
      </c>
      <c r="D1598" s="28">
        <v>44774</v>
      </c>
      <c r="E1598" s="29">
        <v>283</v>
      </c>
      <c r="F1598" s="15" t="str">
        <f t="shared" si="24"/>
        <v>1207-249444-44774</v>
      </c>
    </row>
    <row r="1599" spans="1:6" ht="14.25" customHeight="1" x14ac:dyDescent="0.25">
      <c r="A1599" s="15" t="s">
        <v>1739</v>
      </c>
      <c r="B1599" s="27">
        <v>1207</v>
      </c>
      <c r="C1599" s="27">
        <v>249444</v>
      </c>
      <c r="D1599" s="28">
        <v>44781</v>
      </c>
      <c r="E1599" s="29">
        <v>214</v>
      </c>
      <c r="F1599" s="15" t="str">
        <f t="shared" si="24"/>
        <v>1207-249444-44781</v>
      </c>
    </row>
    <row r="1600" spans="1:6" ht="14.25" customHeight="1" x14ac:dyDescent="0.25">
      <c r="A1600" s="15" t="s">
        <v>1740</v>
      </c>
      <c r="B1600" s="27">
        <v>1207</v>
      </c>
      <c r="C1600" s="27">
        <v>249444</v>
      </c>
      <c r="D1600" s="28">
        <v>44788</v>
      </c>
      <c r="E1600" s="29">
        <v>145</v>
      </c>
      <c r="F1600" s="15" t="str">
        <f t="shared" si="24"/>
        <v>1207-249444-44788</v>
      </c>
    </row>
    <row r="1601" spans="1:6" ht="14.25" customHeight="1" x14ac:dyDescent="0.25">
      <c r="A1601" s="15" t="s">
        <v>1741</v>
      </c>
      <c r="B1601" s="30">
        <v>1207</v>
      </c>
      <c r="C1601" s="27">
        <v>249795</v>
      </c>
      <c r="D1601" s="28">
        <v>44739</v>
      </c>
      <c r="E1601" s="29">
        <v>32</v>
      </c>
      <c r="F1601" s="15" t="str">
        <f t="shared" si="24"/>
        <v>1207-249795-44739</v>
      </c>
    </row>
    <row r="1602" spans="1:6" ht="14.25" customHeight="1" x14ac:dyDescent="0.25">
      <c r="A1602" s="15" t="s">
        <v>1742</v>
      </c>
      <c r="B1602" s="27">
        <v>1207</v>
      </c>
      <c r="C1602" s="27">
        <v>249795</v>
      </c>
      <c r="D1602" s="28">
        <v>44746</v>
      </c>
      <c r="E1602" s="29">
        <v>11</v>
      </c>
      <c r="F1602" s="15" t="str">
        <f t="shared" si="24"/>
        <v>1207-249795-44746</v>
      </c>
    </row>
    <row r="1603" spans="1:6" ht="14.25" customHeight="1" x14ac:dyDescent="0.25">
      <c r="A1603" s="15" t="s">
        <v>1743</v>
      </c>
      <c r="B1603" s="27">
        <v>1207</v>
      </c>
      <c r="C1603" s="27">
        <v>249795</v>
      </c>
      <c r="D1603" s="28">
        <v>44753</v>
      </c>
      <c r="E1603" s="29">
        <v>18</v>
      </c>
      <c r="F1603" s="15" t="str">
        <f t="shared" ref="F1603:F1666" si="25">B1603&amp;"-"&amp;C1603&amp;"-"&amp;INT(D1603)</f>
        <v>1207-249795-44753</v>
      </c>
    </row>
    <row r="1604" spans="1:6" ht="14.25" customHeight="1" x14ac:dyDescent="0.25">
      <c r="A1604" s="15" t="s">
        <v>1744</v>
      </c>
      <c r="B1604" s="27">
        <v>1207</v>
      </c>
      <c r="C1604" s="27">
        <v>249795</v>
      </c>
      <c r="D1604" s="28">
        <v>44760</v>
      </c>
      <c r="E1604" s="29">
        <v>37</v>
      </c>
      <c r="F1604" s="15" t="str">
        <f t="shared" si="25"/>
        <v>1207-249795-44760</v>
      </c>
    </row>
    <row r="1605" spans="1:6" ht="14.25" customHeight="1" x14ac:dyDescent="0.25">
      <c r="A1605" s="15" t="s">
        <v>1745</v>
      </c>
      <c r="B1605" s="27">
        <v>1207</v>
      </c>
      <c r="C1605" s="27">
        <v>249795</v>
      </c>
      <c r="D1605" s="28">
        <v>44767</v>
      </c>
      <c r="E1605" s="29">
        <v>24</v>
      </c>
      <c r="F1605" s="15" t="str">
        <f t="shared" si="25"/>
        <v>1207-249795-44767</v>
      </c>
    </row>
    <row r="1606" spans="1:6" ht="14.25" customHeight="1" x14ac:dyDescent="0.25">
      <c r="A1606" s="15" t="s">
        <v>1746</v>
      </c>
      <c r="B1606" s="27">
        <v>1207</v>
      </c>
      <c r="C1606" s="27">
        <v>249795</v>
      </c>
      <c r="D1606" s="28">
        <v>44774</v>
      </c>
      <c r="E1606" s="29">
        <v>13</v>
      </c>
      <c r="F1606" s="15" t="str">
        <f t="shared" si="25"/>
        <v>1207-249795-44774</v>
      </c>
    </row>
    <row r="1607" spans="1:6" ht="14.25" customHeight="1" x14ac:dyDescent="0.25">
      <c r="A1607" s="15" t="s">
        <v>1747</v>
      </c>
      <c r="B1607" s="27">
        <v>1207</v>
      </c>
      <c r="C1607" s="27">
        <v>249795</v>
      </c>
      <c r="D1607" s="28">
        <v>44781</v>
      </c>
      <c r="E1607" s="29">
        <v>29</v>
      </c>
      <c r="F1607" s="15" t="str">
        <f t="shared" si="25"/>
        <v>1207-249795-44781</v>
      </c>
    </row>
    <row r="1608" spans="1:6" ht="14.25" customHeight="1" x14ac:dyDescent="0.25">
      <c r="A1608" s="15" t="s">
        <v>1748</v>
      </c>
      <c r="B1608" s="27">
        <v>1207</v>
      </c>
      <c r="C1608" s="27">
        <v>249795</v>
      </c>
      <c r="D1608" s="28">
        <v>44788</v>
      </c>
      <c r="E1608" s="29">
        <v>36</v>
      </c>
      <c r="F1608" s="15" t="str">
        <f t="shared" si="25"/>
        <v>1207-249795-44788</v>
      </c>
    </row>
    <row r="1609" spans="1:6" ht="14.25" customHeight="1" x14ac:dyDescent="0.25">
      <c r="A1609" s="15" t="s">
        <v>1749</v>
      </c>
      <c r="B1609" s="27">
        <v>1207</v>
      </c>
      <c r="C1609" s="27">
        <v>250979</v>
      </c>
      <c r="D1609" s="28">
        <v>44739</v>
      </c>
      <c r="E1609" s="29">
        <v>34</v>
      </c>
      <c r="F1609" s="15" t="str">
        <f t="shared" si="25"/>
        <v>1207-250979-44739</v>
      </c>
    </row>
    <row r="1610" spans="1:6" ht="14.25" customHeight="1" x14ac:dyDescent="0.25">
      <c r="A1610" s="15" t="s">
        <v>1750</v>
      </c>
      <c r="B1610" s="27">
        <v>1207</v>
      </c>
      <c r="C1610" s="27">
        <v>250979</v>
      </c>
      <c r="D1610" s="28">
        <v>44746</v>
      </c>
      <c r="E1610" s="29">
        <v>39</v>
      </c>
      <c r="F1610" s="15" t="str">
        <f t="shared" si="25"/>
        <v>1207-250979-44746</v>
      </c>
    </row>
    <row r="1611" spans="1:6" ht="14.25" customHeight="1" x14ac:dyDescent="0.25">
      <c r="A1611" s="15" t="s">
        <v>1751</v>
      </c>
      <c r="B1611" s="27">
        <v>1207</v>
      </c>
      <c r="C1611" s="27">
        <v>250979</v>
      </c>
      <c r="D1611" s="28">
        <v>44753</v>
      </c>
      <c r="E1611" s="29">
        <v>25</v>
      </c>
      <c r="F1611" s="15" t="str">
        <f t="shared" si="25"/>
        <v>1207-250979-44753</v>
      </c>
    </row>
    <row r="1612" spans="1:6" ht="14.25" customHeight="1" x14ac:dyDescent="0.25">
      <c r="A1612" s="15" t="s">
        <v>1752</v>
      </c>
      <c r="B1612" s="27">
        <v>1207</v>
      </c>
      <c r="C1612" s="27">
        <v>250979</v>
      </c>
      <c r="D1612" s="28">
        <v>44760</v>
      </c>
      <c r="E1612" s="29">
        <v>36</v>
      </c>
      <c r="F1612" s="15" t="str">
        <f t="shared" si="25"/>
        <v>1207-250979-44760</v>
      </c>
    </row>
    <row r="1613" spans="1:6" ht="14.25" customHeight="1" x14ac:dyDescent="0.25">
      <c r="A1613" s="15" t="s">
        <v>1753</v>
      </c>
      <c r="B1613" s="27">
        <v>1207</v>
      </c>
      <c r="C1613" s="27">
        <v>250979</v>
      </c>
      <c r="D1613" s="28">
        <v>44767</v>
      </c>
      <c r="E1613" s="29">
        <v>41</v>
      </c>
      <c r="F1613" s="15" t="str">
        <f t="shared" si="25"/>
        <v>1207-250979-44767</v>
      </c>
    </row>
    <row r="1614" spans="1:6" ht="14.25" customHeight="1" x14ac:dyDescent="0.25">
      <c r="A1614" s="15" t="s">
        <v>1754</v>
      </c>
      <c r="B1614" s="27">
        <v>1207</v>
      </c>
      <c r="C1614" s="27">
        <v>250979</v>
      </c>
      <c r="D1614" s="28">
        <v>44774</v>
      </c>
      <c r="E1614" s="29">
        <v>33</v>
      </c>
      <c r="F1614" s="15" t="str">
        <f t="shared" si="25"/>
        <v>1207-250979-44774</v>
      </c>
    </row>
    <row r="1615" spans="1:6" ht="14.25" customHeight="1" x14ac:dyDescent="0.25">
      <c r="A1615" s="15" t="s">
        <v>1755</v>
      </c>
      <c r="B1615" s="27">
        <v>1207</v>
      </c>
      <c r="C1615" s="27">
        <v>250979</v>
      </c>
      <c r="D1615" s="28">
        <v>44781</v>
      </c>
      <c r="E1615" s="29">
        <v>38</v>
      </c>
      <c r="F1615" s="15" t="str">
        <f t="shared" si="25"/>
        <v>1207-250979-44781</v>
      </c>
    </row>
    <row r="1616" spans="1:6" ht="14.25" customHeight="1" x14ac:dyDescent="0.25">
      <c r="A1616" s="15" t="s">
        <v>1756</v>
      </c>
      <c r="B1616" s="27">
        <v>1207</v>
      </c>
      <c r="C1616" s="27">
        <v>250979</v>
      </c>
      <c r="D1616" s="28">
        <v>44788</v>
      </c>
      <c r="E1616" s="29">
        <v>41</v>
      </c>
      <c r="F1616" s="15" t="str">
        <f t="shared" si="25"/>
        <v>1207-250979-44788</v>
      </c>
    </row>
    <row r="1617" spans="1:6" ht="14.25" customHeight="1" x14ac:dyDescent="0.25">
      <c r="A1617" s="15" t="s">
        <v>1757</v>
      </c>
      <c r="B1617" s="27">
        <v>1207</v>
      </c>
      <c r="C1617" s="27">
        <v>250981</v>
      </c>
      <c r="D1617" s="28">
        <v>44739</v>
      </c>
      <c r="E1617" s="29">
        <v>21</v>
      </c>
      <c r="F1617" s="15" t="str">
        <f t="shared" si="25"/>
        <v>1207-250981-44739</v>
      </c>
    </row>
    <row r="1618" spans="1:6" ht="14.25" customHeight="1" x14ac:dyDescent="0.25">
      <c r="A1618" s="15" t="s">
        <v>1758</v>
      </c>
      <c r="B1618" s="27">
        <v>1207</v>
      </c>
      <c r="C1618" s="27">
        <v>250981</v>
      </c>
      <c r="D1618" s="28">
        <v>44746</v>
      </c>
      <c r="E1618" s="29">
        <v>40</v>
      </c>
      <c r="F1618" s="15" t="str">
        <f t="shared" si="25"/>
        <v>1207-250981-44746</v>
      </c>
    </row>
    <row r="1619" spans="1:6" ht="14.25" customHeight="1" x14ac:dyDescent="0.25">
      <c r="A1619" s="15" t="s">
        <v>1759</v>
      </c>
      <c r="B1619" s="27">
        <v>1207</v>
      </c>
      <c r="C1619" s="27">
        <v>250981</v>
      </c>
      <c r="D1619" s="28">
        <v>44753</v>
      </c>
      <c r="E1619" s="29">
        <v>14</v>
      </c>
      <c r="F1619" s="15" t="str">
        <f t="shared" si="25"/>
        <v>1207-250981-44753</v>
      </c>
    </row>
    <row r="1620" spans="1:6" ht="14.25" customHeight="1" x14ac:dyDescent="0.25">
      <c r="A1620" s="15" t="s">
        <v>1760</v>
      </c>
      <c r="B1620" s="27">
        <v>1207</v>
      </c>
      <c r="C1620" s="27">
        <v>250981</v>
      </c>
      <c r="D1620" s="28">
        <v>44760</v>
      </c>
      <c r="E1620" s="29">
        <v>10</v>
      </c>
      <c r="F1620" s="15" t="str">
        <f t="shared" si="25"/>
        <v>1207-250981-44760</v>
      </c>
    </row>
    <row r="1621" spans="1:6" ht="14.25" customHeight="1" x14ac:dyDescent="0.25">
      <c r="A1621" s="15" t="s">
        <v>1761</v>
      </c>
      <c r="B1621" s="27">
        <v>1207</v>
      </c>
      <c r="C1621" s="27">
        <v>250981</v>
      </c>
      <c r="D1621" s="28">
        <v>44767</v>
      </c>
      <c r="E1621" s="29">
        <v>21</v>
      </c>
      <c r="F1621" s="15" t="str">
        <f t="shared" si="25"/>
        <v>1207-250981-44767</v>
      </c>
    </row>
    <row r="1622" spans="1:6" ht="14.25" customHeight="1" x14ac:dyDescent="0.25">
      <c r="A1622" s="15" t="s">
        <v>1762</v>
      </c>
      <c r="B1622" s="27">
        <v>1207</v>
      </c>
      <c r="C1622" s="27">
        <v>250981</v>
      </c>
      <c r="D1622" s="28">
        <v>44774</v>
      </c>
      <c r="E1622" s="29">
        <v>45</v>
      </c>
      <c r="F1622" s="15" t="str">
        <f t="shared" si="25"/>
        <v>1207-250981-44774</v>
      </c>
    </row>
    <row r="1623" spans="1:6" ht="14.25" customHeight="1" x14ac:dyDescent="0.25">
      <c r="A1623" s="15" t="s">
        <v>1763</v>
      </c>
      <c r="B1623" s="27">
        <v>1207</v>
      </c>
      <c r="C1623" s="27">
        <v>250981</v>
      </c>
      <c r="D1623" s="28">
        <v>44781</v>
      </c>
      <c r="E1623" s="29">
        <v>48</v>
      </c>
      <c r="F1623" s="15" t="str">
        <f t="shared" si="25"/>
        <v>1207-250981-44781</v>
      </c>
    </row>
    <row r="1624" spans="1:6" ht="14.25" customHeight="1" x14ac:dyDescent="0.25">
      <c r="A1624" s="15" t="s">
        <v>1764</v>
      </c>
      <c r="B1624" s="27">
        <v>1207</v>
      </c>
      <c r="C1624" s="27">
        <v>250981</v>
      </c>
      <c r="D1624" s="28">
        <v>44788</v>
      </c>
      <c r="E1624" s="29">
        <v>8</v>
      </c>
      <c r="F1624" s="15" t="str">
        <f t="shared" si="25"/>
        <v>1207-250981-44788</v>
      </c>
    </row>
    <row r="1625" spans="1:6" ht="14.25" customHeight="1" x14ac:dyDescent="0.25">
      <c r="A1625" s="15" t="s">
        <v>1765</v>
      </c>
      <c r="B1625" s="27">
        <v>1207</v>
      </c>
      <c r="C1625" s="27">
        <v>262294</v>
      </c>
      <c r="D1625" s="28">
        <v>44739</v>
      </c>
      <c r="E1625" s="29">
        <v>6</v>
      </c>
      <c r="F1625" s="15" t="str">
        <f t="shared" si="25"/>
        <v>1207-262294-44739</v>
      </c>
    </row>
    <row r="1626" spans="1:6" ht="14.25" customHeight="1" x14ac:dyDescent="0.25">
      <c r="A1626" s="15" t="s">
        <v>1766</v>
      </c>
      <c r="B1626" s="27">
        <v>1207</v>
      </c>
      <c r="C1626" s="27">
        <v>262294</v>
      </c>
      <c r="D1626" s="28">
        <v>44746</v>
      </c>
      <c r="E1626" s="29">
        <v>7</v>
      </c>
      <c r="F1626" s="15" t="str">
        <f t="shared" si="25"/>
        <v>1207-262294-44746</v>
      </c>
    </row>
    <row r="1627" spans="1:6" ht="14.25" customHeight="1" x14ac:dyDescent="0.25">
      <c r="A1627" s="15" t="s">
        <v>1767</v>
      </c>
      <c r="B1627" s="27">
        <v>1207</v>
      </c>
      <c r="C1627" s="27">
        <v>262294</v>
      </c>
      <c r="D1627" s="28">
        <v>44753</v>
      </c>
      <c r="E1627" s="29">
        <v>19</v>
      </c>
      <c r="F1627" s="15" t="str">
        <f t="shared" si="25"/>
        <v>1207-262294-44753</v>
      </c>
    </row>
    <row r="1628" spans="1:6" ht="14.25" customHeight="1" x14ac:dyDescent="0.25">
      <c r="A1628" s="15" t="s">
        <v>1768</v>
      </c>
      <c r="B1628" s="27">
        <v>1207</v>
      </c>
      <c r="C1628" s="27">
        <v>262294</v>
      </c>
      <c r="D1628" s="28">
        <v>44760</v>
      </c>
      <c r="E1628" s="29">
        <v>15</v>
      </c>
      <c r="F1628" s="15" t="str">
        <f t="shared" si="25"/>
        <v>1207-262294-44760</v>
      </c>
    </row>
    <row r="1629" spans="1:6" ht="14.25" customHeight="1" x14ac:dyDescent="0.25">
      <c r="A1629" s="15" t="s">
        <v>1769</v>
      </c>
      <c r="B1629" s="27">
        <v>1207</v>
      </c>
      <c r="C1629" s="27">
        <v>262294</v>
      </c>
      <c r="D1629" s="28">
        <v>44767</v>
      </c>
      <c r="E1629" s="29">
        <v>16</v>
      </c>
      <c r="F1629" s="15" t="str">
        <f t="shared" si="25"/>
        <v>1207-262294-44767</v>
      </c>
    </row>
    <row r="1630" spans="1:6" ht="14.25" customHeight="1" x14ac:dyDescent="0.25">
      <c r="A1630" s="15" t="s">
        <v>1770</v>
      </c>
      <c r="B1630" s="27">
        <v>1207</v>
      </c>
      <c r="C1630" s="27">
        <v>262294</v>
      </c>
      <c r="D1630" s="28">
        <v>44774</v>
      </c>
      <c r="E1630" s="29">
        <v>6</v>
      </c>
      <c r="F1630" s="15" t="str">
        <f t="shared" si="25"/>
        <v>1207-262294-44774</v>
      </c>
    </row>
    <row r="1631" spans="1:6" ht="14.25" customHeight="1" x14ac:dyDescent="0.25">
      <c r="A1631" s="15" t="s">
        <v>1771</v>
      </c>
      <c r="B1631" s="27">
        <v>1207</v>
      </c>
      <c r="C1631" s="27">
        <v>262294</v>
      </c>
      <c r="D1631" s="28">
        <v>44781</v>
      </c>
      <c r="E1631" s="29">
        <v>9</v>
      </c>
      <c r="F1631" s="15" t="str">
        <f t="shared" si="25"/>
        <v>1207-262294-44781</v>
      </c>
    </row>
    <row r="1632" spans="1:6" ht="14.25" customHeight="1" x14ac:dyDescent="0.25">
      <c r="A1632" s="15" t="s">
        <v>1772</v>
      </c>
      <c r="B1632" s="27">
        <v>1207</v>
      </c>
      <c r="C1632" s="27">
        <v>262294</v>
      </c>
      <c r="D1632" s="28">
        <v>44788</v>
      </c>
      <c r="E1632" s="29">
        <v>15</v>
      </c>
      <c r="F1632" s="15" t="str">
        <f t="shared" si="25"/>
        <v>1207-262294-44788</v>
      </c>
    </row>
    <row r="1633" spans="1:6" ht="14.25" customHeight="1" x14ac:dyDescent="0.25">
      <c r="A1633" s="15" t="s">
        <v>1773</v>
      </c>
      <c r="B1633" s="27">
        <v>1207</v>
      </c>
      <c r="C1633" s="27">
        <v>268831</v>
      </c>
      <c r="D1633" s="28">
        <v>44739</v>
      </c>
      <c r="E1633" s="29">
        <v>814</v>
      </c>
      <c r="F1633" s="15" t="str">
        <f t="shared" si="25"/>
        <v>1207-268831-44739</v>
      </c>
    </row>
    <row r="1634" spans="1:6" ht="14.25" customHeight="1" x14ac:dyDescent="0.25">
      <c r="A1634" s="15" t="s">
        <v>1774</v>
      </c>
      <c r="B1634" s="27">
        <v>1207</v>
      </c>
      <c r="C1634" s="27">
        <v>268831</v>
      </c>
      <c r="D1634" s="28">
        <v>44746</v>
      </c>
      <c r="E1634" s="29">
        <v>317</v>
      </c>
      <c r="F1634" s="15" t="str">
        <f t="shared" si="25"/>
        <v>1207-268831-44746</v>
      </c>
    </row>
    <row r="1635" spans="1:6" ht="14.25" customHeight="1" x14ac:dyDescent="0.25">
      <c r="A1635" s="15" t="s">
        <v>1775</v>
      </c>
      <c r="B1635" s="27">
        <v>1207</v>
      </c>
      <c r="C1635" s="27">
        <v>268831</v>
      </c>
      <c r="D1635" s="28">
        <v>44753</v>
      </c>
      <c r="E1635" s="29">
        <v>854</v>
      </c>
      <c r="F1635" s="15" t="str">
        <f t="shared" si="25"/>
        <v>1207-268831-44753</v>
      </c>
    </row>
    <row r="1636" spans="1:6" ht="14.25" customHeight="1" x14ac:dyDescent="0.25">
      <c r="A1636" s="15" t="s">
        <v>1776</v>
      </c>
      <c r="B1636" s="27">
        <v>1207</v>
      </c>
      <c r="C1636" s="27">
        <v>268831</v>
      </c>
      <c r="D1636" s="28">
        <v>44760</v>
      </c>
      <c r="E1636" s="29">
        <v>772</v>
      </c>
      <c r="F1636" s="15" t="str">
        <f t="shared" si="25"/>
        <v>1207-268831-44760</v>
      </c>
    </row>
    <row r="1637" spans="1:6" ht="14.25" customHeight="1" x14ac:dyDescent="0.25">
      <c r="A1637" s="15" t="s">
        <v>1777</v>
      </c>
      <c r="B1637" s="27">
        <v>1207</v>
      </c>
      <c r="C1637" s="27">
        <v>268831</v>
      </c>
      <c r="D1637" s="28">
        <v>44767</v>
      </c>
      <c r="E1637" s="29">
        <v>425</v>
      </c>
      <c r="F1637" s="15" t="str">
        <f t="shared" si="25"/>
        <v>1207-268831-44767</v>
      </c>
    </row>
    <row r="1638" spans="1:6" ht="14.25" customHeight="1" x14ac:dyDescent="0.25">
      <c r="A1638" s="15" t="s">
        <v>1778</v>
      </c>
      <c r="B1638" s="27">
        <v>1207</v>
      </c>
      <c r="C1638" s="27">
        <v>268831</v>
      </c>
      <c r="D1638" s="28">
        <v>44774</v>
      </c>
      <c r="E1638" s="29">
        <v>972</v>
      </c>
      <c r="F1638" s="15" t="str">
        <f t="shared" si="25"/>
        <v>1207-268831-44774</v>
      </c>
    </row>
    <row r="1639" spans="1:6" ht="14.25" customHeight="1" x14ac:dyDescent="0.25">
      <c r="A1639" s="15" t="s">
        <v>1779</v>
      </c>
      <c r="B1639" s="27">
        <v>1207</v>
      </c>
      <c r="C1639" s="27">
        <v>268831</v>
      </c>
      <c r="D1639" s="28">
        <v>44781</v>
      </c>
      <c r="E1639" s="29">
        <v>802</v>
      </c>
      <c r="F1639" s="15" t="str">
        <f t="shared" si="25"/>
        <v>1207-268831-44781</v>
      </c>
    </row>
    <row r="1640" spans="1:6" ht="14.25" customHeight="1" x14ac:dyDescent="0.25">
      <c r="A1640" s="15" t="s">
        <v>1780</v>
      </c>
      <c r="B1640" s="27">
        <v>1207</v>
      </c>
      <c r="C1640" s="27">
        <v>268831</v>
      </c>
      <c r="D1640" s="28">
        <v>44788</v>
      </c>
      <c r="E1640" s="29">
        <v>756</v>
      </c>
      <c r="F1640" s="15" t="str">
        <f t="shared" si="25"/>
        <v>1207-268831-44788</v>
      </c>
    </row>
    <row r="1641" spans="1:6" ht="14.25" customHeight="1" x14ac:dyDescent="0.25">
      <c r="A1641" s="15" t="s">
        <v>1781</v>
      </c>
      <c r="B1641" s="27">
        <v>1207</v>
      </c>
      <c r="C1641" s="27">
        <v>273701</v>
      </c>
      <c r="D1641" s="28">
        <v>44739</v>
      </c>
      <c r="E1641" s="29">
        <v>6</v>
      </c>
      <c r="F1641" s="15" t="str">
        <f t="shared" si="25"/>
        <v>1207-273701-44739</v>
      </c>
    </row>
    <row r="1642" spans="1:6" ht="14.25" customHeight="1" x14ac:dyDescent="0.25">
      <c r="A1642" s="15" t="s">
        <v>1782</v>
      </c>
      <c r="B1642" s="27">
        <v>1207</v>
      </c>
      <c r="C1642" s="27">
        <v>273701</v>
      </c>
      <c r="D1642" s="28">
        <v>44746</v>
      </c>
      <c r="E1642" s="29">
        <v>6</v>
      </c>
      <c r="F1642" s="15" t="str">
        <f t="shared" si="25"/>
        <v>1207-273701-44746</v>
      </c>
    </row>
    <row r="1643" spans="1:6" ht="14.25" customHeight="1" x14ac:dyDescent="0.25">
      <c r="A1643" s="15" t="s">
        <v>1783</v>
      </c>
      <c r="B1643" s="27">
        <v>1207</v>
      </c>
      <c r="C1643" s="27">
        <v>273701</v>
      </c>
      <c r="D1643" s="28">
        <v>44753</v>
      </c>
      <c r="E1643" s="29">
        <v>6</v>
      </c>
      <c r="F1643" s="15" t="str">
        <f t="shared" si="25"/>
        <v>1207-273701-44753</v>
      </c>
    </row>
    <row r="1644" spans="1:6" ht="14.25" customHeight="1" x14ac:dyDescent="0.25">
      <c r="A1644" s="15" t="s">
        <v>1784</v>
      </c>
      <c r="B1644" s="27">
        <v>1207</v>
      </c>
      <c r="C1644" s="27">
        <v>273701</v>
      </c>
      <c r="D1644" s="28">
        <v>44760</v>
      </c>
      <c r="E1644" s="29">
        <v>6</v>
      </c>
      <c r="F1644" s="15" t="str">
        <f t="shared" si="25"/>
        <v>1207-273701-44760</v>
      </c>
    </row>
    <row r="1645" spans="1:6" ht="14.25" customHeight="1" x14ac:dyDescent="0.25">
      <c r="A1645" s="15" t="s">
        <v>1785</v>
      </c>
      <c r="B1645" s="27">
        <v>1207</v>
      </c>
      <c r="C1645" s="27">
        <v>273701</v>
      </c>
      <c r="D1645" s="28">
        <v>44767</v>
      </c>
      <c r="E1645" s="29">
        <v>6</v>
      </c>
      <c r="F1645" s="15" t="str">
        <f t="shared" si="25"/>
        <v>1207-273701-44767</v>
      </c>
    </row>
    <row r="1646" spans="1:6" ht="14.25" customHeight="1" x14ac:dyDescent="0.25">
      <c r="A1646" s="15" t="s">
        <v>1786</v>
      </c>
      <c r="B1646" s="27">
        <v>1207</v>
      </c>
      <c r="C1646" s="27">
        <v>273701</v>
      </c>
      <c r="D1646" s="28">
        <v>44774</v>
      </c>
      <c r="E1646" s="29">
        <v>6</v>
      </c>
      <c r="F1646" s="15" t="str">
        <f t="shared" si="25"/>
        <v>1207-273701-44774</v>
      </c>
    </row>
    <row r="1647" spans="1:6" ht="14.25" customHeight="1" x14ac:dyDescent="0.25">
      <c r="A1647" s="15" t="s">
        <v>1787</v>
      </c>
      <c r="B1647" s="27">
        <v>1207</v>
      </c>
      <c r="C1647" s="27">
        <v>273701</v>
      </c>
      <c r="D1647" s="28">
        <v>44781</v>
      </c>
      <c r="E1647" s="29">
        <v>6</v>
      </c>
      <c r="F1647" s="15" t="str">
        <f t="shared" si="25"/>
        <v>1207-273701-44781</v>
      </c>
    </row>
    <row r="1648" spans="1:6" ht="14.25" customHeight="1" x14ac:dyDescent="0.25">
      <c r="A1648" s="15" t="s">
        <v>1788</v>
      </c>
      <c r="B1648" s="27">
        <v>1207</v>
      </c>
      <c r="C1648" s="27">
        <v>273701</v>
      </c>
      <c r="D1648" s="28">
        <v>44788</v>
      </c>
      <c r="E1648" s="29">
        <v>6</v>
      </c>
      <c r="F1648" s="15" t="str">
        <f t="shared" si="25"/>
        <v>1207-273701-44788</v>
      </c>
    </row>
    <row r="1649" spans="1:6" ht="14.25" customHeight="1" x14ac:dyDescent="0.25">
      <c r="A1649" s="15" t="s">
        <v>1789</v>
      </c>
      <c r="B1649" s="27">
        <v>1207</v>
      </c>
      <c r="C1649" s="27">
        <v>291726</v>
      </c>
      <c r="D1649" s="28">
        <v>44739</v>
      </c>
      <c r="E1649" s="29">
        <v>69</v>
      </c>
      <c r="F1649" s="15" t="str">
        <f t="shared" si="25"/>
        <v>1207-291726-44739</v>
      </c>
    </row>
    <row r="1650" spans="1:6" ht="14.25" customHeight="1" x14ac:dyDescent="0.25">
      <c r="A1650" s="15" t="s">
        <v>1790</v>
      </c>
      <c r="B1650" s="27">
        <v>1207</v>
      </c>
      <c r="C1650" s="27">
        <v>291726</v>
      </c>
      <c r="D1650" s="28">
        <v>44746</v>
      </c>
      <c r="E1650" s="29">
        <v>69</v>
      </c>
      <c r="F1650" s="15" t="str">
        <f t="shared" si="25"/>
        <v>1207-291726-44746</v>
      </c>
    </row>
    <row r="1651" spans="1:6" ht="14.25" customHeight="1" x14ac:dyDescent="0.25">
      <c r="A1651" s="15" t="s">
        <v>1791</v>
      </c>
      <c r="B1651" s="27">
        <v>1207</v>
      </c>
      <c r="C1651" s="27">
        <v>291726</v>
      </c>
      <c r="D1651" s="28">
        <v>44753</v>
      </c>
      <c r="E1651" s="29">
        <v>30</v>
      </c>
      <c r="F1651" s="15" t="str">
        <f t="shared" si="25"/>
        <v>1207-291726-44753</v>
      </c>
    </row>
    <row r="1652" spans="1:6" ht="14.25" customHeight="1" x14ac:dyDescent="0.25">
      <c r="A1652" s="15" t="s">
        <v>1792</v>
      </c>
      <c r="B1652" s="27">
        <v>1207</v>
      </c>
      <c r="C1652" s="27">
        <v>291726</v>
      </c>
      <c r="D1652" s="28">
        <v>44760</v>
      </c>
      <c r="E1652" s="29">
        <v>69</v>
      </c>
      <c r="F1652" s="15" t="str">
        <f t="shared" si="25"/>
        <v>1207-291726-44760</v>
      </c>
    </row>
    <row r="1653" spans="1:6" ht="14.25" customHeight="1" x14ac:dyDescent="0.25">
      <c r="A1653" s="15" t="s">
        <v>1793</v>
      </c>
      <c r="B1653" s="27">
        <v>1207</v>
      </c>
      <c r="C1653" s="27">
        <v>291726</v>
      </c>
      <c r="D1653" s="28">
        <v>44767</v>
      </c>
      <c r="E1653" s="29">
        <v>24</v>
      </c>
      <c r="F1653" s="15" t="str">
        <f t="shared" si="25"/>
        <v>1207-291726-44767</v>
      </c>
    </row>
    <row r="1654" spans="1:6" ht="14.25" customHeight="1" x14ac:dyDescent="0.25">
      <c r="A1654" s="15" t="s">
        <v>1794</v>
      </c>
      <c r="B1654" s="27">
        <v>1207</v>
      </c>
      <c r="C1654" s="27">
        <v>291726</v>
      </c>
      <c r="D1654" s="28">
        <v>44774</v>
      </c>
      <c r="E1654" s="29">
        <v>54</v>
      </c>
      <c r="F1654" s="15" t="str">
        <f t="shared" si="25"/>
        <v>1207-291726-44774</v>
      </c>
    </row>
    <row r="1655" spans="1:6" ht="14.25" customHeight="1" x14ac:dyDescent="0.25">
      <c r="A1655" s="15" t="s">
        <v>1795</v>
      </c>
      <c r="B1655" s="27">
        <v>1207</v>
      </c>
      <c r="C1655" s="27">
        <v>291726</v>
      </c>
      <c r="D1655" s="28">
        <v>44781</v>
      </c>
      <c r="E1655" s="29">
        <v>72</v>
      </c>
      <c r="F1655" s="15" t="str">
        <f t="shared" si="25"/>
        <v>1207-291726-44781</v>
      </c>
    </row>
    <row r="1656" spans="1:6" ht="14.25" customHeight="1" x14ac:dyDescent="0.25">
      <c r="A1656" s="15" t="s">
        <v>1796</v>
      </c>
      <c r="B1656" s="27">
        <v>1207</v>
      </c>
      <c r="C1656" s="27">
        <v>291726</v>
      </c>
      <c r="D1656" s="28">
        <v>44788</v>
      </c>
      <c r="E1656" s="29">
        <v>19</v>
      </c>
      <c r="F1656" s="15" t="str">
        <f t="shared" si="25"/>
        <v>1207-291726-44788</v>
      </c>
    </row>
    <row r="1657" spans="1:6" ht="14.25" customHeight="1" x14ac:dyDescent="0.25">
      <c r="A1657" s="15" t="s">
        <v>1797</v>
      </c>
      <c r="B1657" s="27">
        <v>1207</v>
      </c>
      <c r="C1657" s="27">
        <v>291728</v>
      </c>
      <c r="D1657" s="28">
        <v>44739</v>
      </c>
      <c r="E1657" s="29">
        <v>35</v>
      </c>
      <c r="F1657" s="15" t="str">
        <f t="shared" si="25"/>
        <v>1207-291728-44739</v>
      </c>
    </row>
    <row r="1658" spans="1:6" ht="14.25" customHeight="1" x14ac:dyDescent="0.25">
      <c r="A1658" s="15" t="s">
        <v>1798</v>
      </c>
      <c r="B1658" s="27">
        <v>1207</v>
      </c>
      <c r="C1658" s="27">
        <v>291728</v>
      </c>
      <c r="D1658" s="28">
        <v>44746</v>
      </c>
      <c r="E1658" s="29">
        <v>156</v>
      </c>
      <c r="F1658" s="15" t="str">
        <f t="shared" si="25"/>
        <v>1207-291728-44746</v>
      </c>
    </row>
    <row r="1659" spans="1:6" ht="14.25" customHeight="1" x14ac:dyDescent="0.25">
      <c r="A1659" s="15" t="s">
        <v>1799</v>
      </c>
      <c r="B1659" s="27">
        <v>1207</v>
      </c>
      <c r="C1659" s="27">
        <v>291728</v>
      </c>
      <c r="D1659" s="28">
        <v>44753</v>
      </c>
      <c r="E1659" s="29">
        <v>150</v>
      </c>
      <c r="F1659" s="15" t="str">
        <f t="shared" si="25"/>
        <v>1207-291728-44753</v>
      </c>
    </row>
    <row r="1660" spans="1:6" ht="14.25" customHeight="1" x14ac:dyDescent="0.25">
      <c r="A1660" s="15" t="s">
        <v>1800</v>
      </c>
      <c r="B1660" s="27">
        <v>1207</v>
      </c>
      <c r="C1660" s="27">
        <v>291728</v>
      </c>
      <c r="D1660" s="28">
        <v>44760</v>
      </c>
      <c r="E1660" s="29">
        <v>171</v>
      </c>
      <c r="F1660" s="15" t="str">
        <f t="shared" si="25"/>
        <v>1207-291728-44760</v>
      </c>
    </row>
    <row r="1661" spans="1:6" ht="14.25" customHeight="1" x14ac:dyDescent="0.25">
      <c r="A1661" s="15" t="s">
        <v>1801</v>
      </c>
      <c r="B1661" s="27">
        <v>1207</v>
      </c>
      <c r="C1661" s="27">
        <v>291728</v>
      </c>
      <c r="D1661" s="28">
        <v>44767</v>
      </c>
      <c r="E1661" s="29">
        <v>37</v>
      </c>
      <c r="F1661" s="15" t="str">
        <f t="shared" si="25"/>
        <v>1207-291728-44767</v>
      </c>
    </row>
    <row r="1662" spans="1:6" ht="14.25" customHeight="1" x14ac:dyDescent="0.25">
      <c r="A1662" s="15" t="s">
        <v>1802</v>
      </c>
      <c r="B1662" s="27">
        <v>1207</v>
      </c>
      <c r="C1662" s="27">
        <v>291728</v>
      </c>
      <c r="D1662" s="28">
        <v>44774</v>
      </c>
      <c r="E1662" s="29">
        <v>130</v>
      </c>
      <c r="F1662" s="15" t="str">
        <f t="shared" si="25"/>
        <v>1207-291728-44774</v>
      </c>
    </row>
    <row r="1663" spans="1:6" ht="14.25" customHeight="1" x14ac:dyDescent="0.25">
      <c r="A1663" s="15" t="s">
        <v>1803</v>
      </c>
      <c r="B1663" s="27">
        <v>1207</v>
      </c>
      <c r="C1663" s="27">
        <v>291728</v>
      </c>
      <c r="D1663" s="28">
        <v>44781</v>
      </c>
      <c r="E1663" s="29">
        <v>133</v>
      </c>
      <c r="F1663" s="15" t="str">
        <f t="shared" si="25"/>
        <v>1207-291728-44781</v>
      </c>
    </row>
    <row r="1664" spans="1:6" ht="14.25" customHeight="1" x14ac:dyDescent="0.25">
      <c r="A1664" s="15" t="s">
        <v>1804</v>
      </c>
      <c r="B1664" s="27">
        <v>1207</v>
      </c>
      <c r="C1664" s="27">
        <v>291728</v>
      </c>
      <c r="D1664" s="28">
        <v>44788</v>
      </c>
      <c r="E1664" s="29">
        <v>126</v>
      </c>
      <c r="F1664" s="15" t="str">
        <f t="shared" si="25"/>
        <v>1207-291728-44788</v>
      </c>
    </row>
    <row r="1665" spans="1:6" ht="14.25" customHeight="1" x14ac:dyDescent="0.25">
      <c r="A1665" s="15" t="s">
        <v>1805</v>
      </c>
      <c r="B1665" s="27">
        <v>1207</v>
      </c>
      <c r="C1665" s="27">
        <v>300380</v>
      </c>
      <c r="D1665" s="28">
        <v>44739</v>
      </c>
      <c r="E1665" s="29">
        <v>17</v>
      </c>
      <c r="F1665" s="15" t="str">
        <f t="shared" si="25"/>
        <v>1207-300380-44739</v>
      </c>
    </row>
    <row r="1666" spans="1:6" ht="14.25" customHeight="1" x14ac:dyDescent="0.25">
      <c r="A1666" s="15" t="s">
        <v>1806</v>
      </c>
      <c r="B1666" s="27">
        <v>1207</v>
      </c>
      <c r="C1666" s="27">
        <v>300380</v>
      </c>
      <c r="D1666" s="28">
        <v>44746</v>
      </c>
      <c r="E1666" s="29">
        <v>18</v>
      </c>
      <c r="F1666" s="15" t="str">
        <f t="shared" si="25"/>
        <v>1207-300380-44746</v>
      </c>
    </row>
    <row r="1667" spans="1:6" ht="14.25" customHeight="1" x14ac:dyDescent="0.25">
      <c r="A1667" s="15" t="s">
        <v>1807</v>
      </c>
      <c r="B1667" s="27">
        <v>1207</v>
      </c>
      <c r="C1667" s="27">
        <v>300380</v>
      </c>
      <c r="D1667" s="28">
        <v>44753</v>
      </c>
      <c r="E1667" s="29">
        <v>53</v>
      </c>
      <c r="F1667" s="15" t="str">
        <f t="shared" ref="F1667:F1730" si="26">B1667&amp;"-"&amp;C1667&amp;"-"&amp;INT(D1667)</f>
        <v>1207-300380-44753</v>
      </c>
    </row>
    <row r="1668" spans="1:6" ht="14.25" customHeight="1" x14ac:dyDescent="0.25">
      <c r="A1668" s="15" t="s">
        <v>1808</v>
      </c>
      <c r="B1668" s="27">
        <v>1207</v>
      </c>
      <c r="C1668" s="27">
        <v>300380</v>
      </c>
      <c r="D1668" s="28">
        <v>44760</v>
      </c>
      <c r="E1668" s="29">
        <v>67</v>
      </c>
      <c r="F1668" s="15" t="str">
        <f t="shared" si="26"/>
        <v>1207-300380-44760</v>
      </c>
    </row>
    <row r="1669" spans="1:6" ht="14.25" customHeight="1" x14ac:dyDescent="0.25">
      <c r="A1669" s="15" t="s">
        <v>1809</v>
      </c>
      <c r="B1669" s="27">
        <v>1207</v>
      </c>
      <c r="C1669" s="27">
        <v>300380</v>
      </c>
      <c r="D1669" s="28">
        <v>44767</v>
      </c>
      <c r="E1669" s="29">
        <v>19</v>
      </c>
      <c r="F1669" s="15" t="str">
        <f t="shared" si="26"/>
        <v>1207-300380-44767</v>
      </c>
    </row>
    <row r="1670" spans="1:6" ht="14.25" customHeight="1" x14ac:dyDescent="0.25">
      <c r="A1670" s="15" t="s">
        <v>1810</v>
      </c>
      <c r="B1670" s="27">
        <v>1207</v>
      </c>
      <c r="C1670" s="27">
        <v>300380</v>
      </c>
      <c r="D1670" s="28">
        <v>44774</v>
      </c>
      <c r="E1670" s="29">
        <v>60</v>
      </c>
      <c r="F1670" s="15" t="str">
        <f t="shared" si="26"/>
        <v>1207-300380-44774</v>
      </c>
    </row>
    <row r="1671" spans="1:6" ht="14.25" customHeight="1" x14ac:dyDescent="0.25">
      <c r="A1671" s="15" t="s">
        <v>1811</v>
      </c>
      <c r="B1671" s="27">
        <v>1207</v>
      </c>
      <c r="C1671" s="27">
        <v>300380</v>
      </c>
      <c r="D1671" s="28">
        <v>44781</v>
      </c>
      <c r="E1671" s="29">
        <v>24</v>
      </c>
      <c r="F1671" s="15" t="str">
        <f t="shared" si="26"/>
        <v>1207-300380-44781</v>
      </c>
    </row>
    <row r="1672" spans="1:6" ht="14.25" customHeight="1" x14ac:dyDescent="0.25">
      <c r="A1672" s="15" t="s">
        <v>1812</v>
      </c>
      <c r="B1672" s="27">
        <v>1207</v>
      </c>
      <c r="C1672" s="27">
        <v>300380</v>
      </c>
      <c r="D1672" s="28">
        <v>44788</v>
      </c>
      <c r="E1672" s="29">
        <v>20</v>
      </c>
      <c r="F1672" s="15" t="str">
        <f t="shared" si="26"/>
        <v>1207-300380-44788</v>
      </c>
    </row>
    <row r="1673" spans="1:6" ht="14.25" customHeight="1" x14ac:dyDescent="0.25">
      <c r="A1673" s="15" t="s">
        <v>1813</v>
      </c>
      <c r="B1673" s="27">
        <v>1207</v>
      </c>
      <c r="C1673" s="27">
        <v>571521</v>
      </c>
      <c r="D1673" s="28">
        <v>44739</v>
      </c>
      <c r="E1673" s="29">
        <v>1608</v>
      </c>
      <c r="F1673" s="15" t="str">
        <f t="shared" si="26"/>
        <v>1207-571521-44739</v>
      </c>
    </row>
    <row r="1674" spans="1:6" ht="14.25" customHeight="1" x14ac:dyDescent="0.25">
      <c r="A1674" s="15" t="s">
        <v>1814</v>
      </c>
      <c r="B1674" s="27">
        <v>1207</v>
      </c>
      <c r="C1674" s="27">
        <v>571521</v>
      </c>
      <c r="D1674" s="28">
        <v>44746</v>
      </c>
      <c r="E1674" s="29">
        <v>500</v>
      </c>
      <c r="F1674" s="15" t="str">
        <f t="shared" si="26"/>
        <v>1207-571521-44746</v>
      </c>
    </row>
    <row r="1675" spans="1:6" ht="14.25" customHeight="1" x14ac:dyDescent="0.25">
      <c r="A1675" s="15" t="s">
        <v>1815</v>
      </c>
      <c r="B1675" s="27">
        <v>1207</v>
      </c>
      <c r="C1675" s="27">
        <v>571521</v>
      </c>
      <c r="D1675" s="28">
        <v>44753</v>
      </c>
      <c r="E1675" s="29">
        <v>1979</v>
      </c>
      <c r="F1675" s="15" t="str">
        <f t="shared" si="26"/>
        <v>1207-571521-44753</v>
      </c>
    </row>
    <row r="1676" spans="1:6" ht="14.25" customHeight="1" x14ac:dyDescent="0.25">
      <c r="A1676" s="15" t="s">
        <v>1816</v>
      </c>
      <c r="B1676" s="27">
        <v>1207</v>
      </c>
      <c r="C1676" s="27">
        <v>571521</v>
      </c>
      <c r="D1676" s="28">
        <v>44760</v>
      </c>
      <c r="E1676" s="29">
        <v>1646</v>
      </c>
      <c r="F1676" s="15" t="str">
        <f t="shared" si="26"/>
        <v>1207-571521-44760</v>
      </c>
    </row>
    <row r="1677" spans="1:6" ht="14.25" customHeight="1" x14ac:dyDescent="0.25">
      <c r="A1677" s="15" t="s">
        <v>1817</v>
      </c>
      <c r="B1677" s="27">
        <v>1207</v>
      </c>
      <c r="C1677" s="27">
        <v>571521</v>
      </c>
      <c r="D1677" s="28">
        <v>44767</v>
      </c>
      <c r="E1677" s="29">
        <v>1993</v>
      </c>
      <c r="F1677" s="15" t="str">
        <f t="shared" si="26"/>
        <v>1207-571521-44767</v>
      </c>
    </row>
    <row r="1678" spans="1:6" ht="14.25" customHeight="1" x14ac:dyDescent="0.25">
      <c r="A1678" s="15" t="s">
        <v>1818</v>
      </c>
      <c r="B1678" s="27">
        <v>1207</v>
      </c>
      <c r="C1678" s="27">
        <v>571521</v>
      </c>
      <c r="D1678" s="28">
        <v>44774</v>
      </c>
      <c r="E1678" s="29">
        <v>501</v>
      </c>
      <c r="F1678" s="15" t="str">
        <f t="shared" si="26"/>
        <v>1207-571521-44774</v>
      </c>
    </row>
    <row r="1679" spans="1:6" ht="14.25" customHeight="1" x14ac:dyDescent="0.25">
      <c r="A1679" s="15" t="s">
        <v>1819</v>
      </c>
      <c r="B1679" s="27">
        <v>1207</v>
      </c>
      <c r="C1679" s="27">
        <v>571521</v>
      </c>
      <c r="D1679" s="28">
        <v>44781</v>
      </c>
      <c r="E1679" s="29">
        <v>1534</v>
      </c>
      <c r="F1679" s="15" t="str">
        <f t="shared" si="26"/>
        <v>1207-571521-44781</v>
      </c>
    </row>
    <row r="1680" spans="1:6" ht="14.25" customHeight="1" x14ac:dyDescent="0.25">
      <c r="A1680" s="15" t="s">
        <v>1820</v>
      </c>
      <c r="B1680" s="27">
        <v>1207</v>
      </c>
      <c r="C1680" s="27">
        <v>571521</v>
      </c>
      <c r="D1680" s="28">
        <v>44788</v>
      </c>
      <c r="E1680" s="29">
        <v>1121</v>
      </c>
      <c r="F1680" s="15" t="str">
        <f t="shared" si="26"/>
        <v>1207-571521-44788</v>
      </c>
    </row>
    <row r="1681" spans="1:6" ht="14.25" customHeight="1" x14ac:dyDescent="0.25">
      <c r="A1681" s="15" t="s">
        <v>1821</v>
      </c>
      <c r="B1681" s="27">
        <v>1207</v>
      </c>
      <c r="C1681" s="27">
        <v>614993</v>
      </c>
      <c r="D1681" s="28">
        <v>44739</v>
      </c>
      <c r="E1681" s="29">
        <v>188</v>
      </c>
      <c r="F1681" s="15" t="str">
        <f t="shared" si="26"/>
        <v>1207-614993-44739</v>
      </c>
    </row>
    <row r="1682" spans="1:6" ht="14.25" customHeight="1" x14ac:dyDescent="0.25">
      <c r="A1682" s="15" t="s">
        <v>1822</v>
      </c>
      <c r="B1682" s="27">
        <v>1207</v>
      </c>
      <c r="C1682" s="27">
        <v>614993</v>
      </c>
      <c r="D1682" s="28">
        <v>44746</v>
      </c>
      <c r="E1682" s="29">
        <v>192</v>
      </c>
      <c r="F1682" s="15" t="str">
        <f t="shared" si="26"/>
        <v>1207-614993-44746</v>
      </c>
    </row>
    <row r="1683" spans="1:6" ht="14.25" customHeight="1" x14ac:dyDescent="0.25">
      <c r="A1683" s="15" t="s">
        <v>1823</v>
      </c>
      <c r="B1683" s="27">
        <v>1207</v>
      </c>
      <c r="C1683" s="27">
        <v>614993</v>
      </c>
      <c r="D1683" s="28">
        <v>44753</v>
      </c>
      <c r="E1683" s="29">
        <v>81</v>
      </c>
      <c r="F1683" s="15" t="str">
        <f t="shared" si="26"/>
        <v>1207-614993-44753</v>
      </c>
    </row>
    <row r="1684" spans="1:6" ht="14.25" customHeight="1" x14ac:dyDescent="0.25">
      <c r="A1684" s="15" t="s">
        <v>1824</v>
      </c>
      <c r="B1684" s="27">
        <v>1207</v>
      </c>
      <c r="C1684" s="27">
        <v>614993</v>
      </c>
      <c r="D1684" s="28">
        <v>44760</v>
      </c>
      <c r="E1684" s="29">
        <v>185</v>
      </c>
      <c r="F1684" s="15" t="str">
        <f t="shared" si="26"/>
        <v>1207-614993-44760</v>
      </c>
    </row>
    <row r="1685" spans="1:6" ht="14.25" customHeight="1" x14ac:dyDescent="0.25">
      <c r="A1685" s="15" t="s">
        <v>1825</v>
      </c>
      <c r="B1685" s="27">
        <v>1207</v>
      </c>
      <c r="C1685" s="27">
        <v>614993</v>
      </c>
      <c r="D1685" s="28">
        <v>44767</v>
      </c>
      <c r="E1685" s="29">
        <v>80</v>
      </c>
      <c r="F1685" s="15" t="str">
        <f t="shared" si="26"/>
        <v>1207-614993-44767</v>
      </c>
    </row>
    <row r="1686" spans="1:6" ht="14.25" customHeight="1" x14ac:dyDescent="0.25">
      <c r="A1686" s="15" t="s">
        <v>1826</v>
      </c>
      <c r="B1686" s="27">
        <v>1207</v>
      </c>
      <c r="C1686" s="27">
        <v>614993</v>
      </c>
      <c r="D1686" s="28">
        <v>44774</v>
      </c>
      <c r="E1686" s="29">
        <v>187</v>
      </c>
      <c r="F1686" s="15" t="str">
        <f t="shared" si="26"/>
        <v>1207-614993-44774</v>
      </c>
    </row>
    <row r="1687" spans="1:6" ht="14.25" customHeight="1" x14ac:dyDescent="0.25">
      <c r="A1687" s="15" t="s">
        <v>1827</v>
      </c>
      <c r="B1687" s="27">
        <v>1207</v>
      </c>
      <c r="C1687" s="27">
        <v>614993</v>
      </c>
      <c r="D1687" s="28">
        <v>44781</v>
      </c>
      <c r="E1687" s="29">
        <v>150</v>
      </c>
      <c r="F1687" s="15" t="str">
        <f t="shared" si="26"/>
        <v>1207-614993-44781</v>
      </c>
    </row>
    <row r="1688" spans="1:6" ht="14.25" customHeight="1" x14ac:dyDescent="0.25">
      <c r="A1688" s="15" t="s">
        <v>1828</v>
      </c>
      <c r="B1688" s="27">
        <v>1207</v>
      </c>
      <c r="C1688" s="27">
        <v>614993</v>
      </c>
      <c r="D1688" s="28">
        <v>44788</v>
      </c>
      <c r="E1688" s="29">
        <v>222</v>
      </c>
      <c r="F1688" s="15" t="str">
        <f t="shared" si="26"/>
        <v>1207-614993-44788</v>
      </c>
    </row>
    <row r="1689" spans="1:6" ht="14.25" customHeight="1" x14ac:dyDescent="0.25">
      <c r="A1689" s="15" t="s">
        <v>1829</v>
      </c>
      <c r="B1689" s="27">
        <v>1208</v>
      </c>
      <c r="C1689" s="27">
        <v>23393</v>
      </c>
      <c r="D1689" s="28">
        <v>44739</v>
      </c>
      <c r="E1689" s="29">
        <v>14</v>
      </c>
      <c r="F1689" s="15" t="str">
        <f t="shared" si="26"/>
        <v>1208-23393-44739</v>
      </c>
    </row>
    <row r="1690" spans="1:6" ht="14.25" customHeight="1" x14ac:dyDescent="0.25">
      <c r="A1690" s="15" t="s">
        <v>1830</v>
      </c>
      <c r="B1690" s="30">
        <v>1208</v>
      </c>
      <c r="C1690" s="27">
        <v>23393</v>
      </c>
      <c r="D1690" s="28">
        <v>44746</v>
      </c>
      <c r="E1690" s="29">
        <v>16</v>
      </c>
      <c r="F1690" s="15" t="str">
        <f t="shared" si="26"/>
        <v>1208-23393-44746</v>
      </c>
    </row>
    <row r="1691" spans="1:6" ht="14.25" customHeight="1" x14ac:dyDescent="0.25">
      <c r="A1691" s="15" t="s">
        <v>1831</v>
      </c>
      <c r="B1691" s="27">
        <v>1208</v>
      </c>
      <c r="C1691" s="27">
        <v>23393</v>
      </c>
      <c r="D1691" s="28">
        <v>44753</v>
      </c>
      <c r="E1691" s="29">
        <v>16</v>
      </c>
      <c r="F1691" s="15" t="str">
        <f t="shared" si="26"/>
        <v>1208-23393-44753</v>
      </c>
    </row>
    <row r="1692" spans="1:6" ht="14.25" customHeight="1" x14ac:dyDescent="0.25">
      <c r="A1692" s="15" t="s">
        <v>1832</v>
      </c>
      <c r="B1692" s="27">
        <v>1208</v>
      </c>
      <c r="C1692" s="27">
        <v>23393</v>
      </c>
      <c r="D1692" s="28">
        <v>44760</v>
      </c>
      <c r="E1692" s="29">
        <v>16</v>
      </c>
      <c r="F1692" s="15" t="str">
        <f t="shared" si="26"/>
        <v>1208-23393-44760</v>
      </c>
    </row>
    <row r="1693" spans="1:6" ht="14.25" customHeight="1" x14ac:dyDescent="0.25">
      <c r="A1693" s="15" t="s">
        <v>1833</v>
      </c>
      <c r="B1693" s="27">
        <v>1208</v>
      </c>
      <c r="C1693" s="27">
        <v>23393</v>
      </c>
      <c r="D1693" s="28">
        <v>44767</v>
      </c>
      <c r="E1693" s="29">
        <v>7</v>
      </c>
      <c r="F1693" s="15" t="str">
        <f t="shared" si="26"/>
        <v>1208-23393-44767</v>
      </c>
    </row>
    <row r="1694" spans="1:6" ht="14.25" customHeight="1" x14ac:dyDescent="0.25">
      <c r="A1694" s="15" t="s">
        <v>1834</v>
      </c>
      <c r="B1694" s="27">
        <v>1208</v>
      </c>
      <c r="C1694" s="27">
        <v>23393</v>
      </c>
      <c r="D1694" s="28">
        <v>44774</v>
      </c>
      <c r="E1694" s="29">
        <v>12</v>
      </c>
      <c r="F1694" s="15" t="str">
        <f t="shared" si="26"/>
        <v>1208-23393-44774</v>
      </c>
    </row>
    <row r="1695" spans="1:6" ht="14.25" customHeight="1" x14ac:dyDescent="0.25">
      <c r="A1695" s="15" t="s">
        <v>1835</v>
      </c>
      <c r="B1695" s="27">
        <v>1208</v>
      </c>
      <c r="C1695" s="27">
        <v>23393</v>
      </c>
      <c r="D1695" s="28">
        <v>44781</v>
      </c>
      <c r="E1695" s="29">
        <v>14</v>
      </c>
      <c r="F1695" s="15" t="str">
        <f t="shared" si="26"/>
        <v>1208-23393-44781</v>
      </c>
    </row>
    <row r="1696" spans="1:6" ht="14.25" customHeight="1" x14ac:dyDescent="0.25">
      <c r="A1696" s="15" t="s">
        <v>1836</v>
      </c>
      <c r="B1696" s="27">
        <v>1208</v>
      </c>
      <c r="C1696" s="27">
        <v>23393</v>
      </c>
      <c r="D1696" s="28">
        <v>44788</v>
      </c>
      <c r="E1696" s="29">
        <v>12</v>
      </c>
      <c r="F1696" s="15" t="str">
        <f t="shared" si="26"/>
        <v>1208-23393-44788</v>
      </c>
    </row>
    <row r="1697" spans="1:6" ht="14.25" customHeight="1" x14ac:dyDescent="0.25">
      <c r="A1697" s="15" t="s">
        <v>1837</v>
      </c>
      <c r="B1697" s="27">
        <v>1208</v>
      </c>
      <c r="C1697" s="27">
        <v>26764</v>
      </c>
      <c r="D1697" s="28">
        <v>44739</v>
      </c>
      <c r="E1697" s="29">
        <v>3</v>
      </c>
      <c r="F1697" s="15" t="str">
        <f t="shared" si="26"/>
        <v>1208-26764-44739</v>
      </c>
    </row>
    <row r="1698" spans="1:6" ht="14.25" customHeight="1" x14ac:dyDescent="0.25">
      <c r="A1698" s="15" t="s">
        <v>1838</v>
      </c>
      <c r="B1698" s="27">
        <v>1208</v>
      </c>
      <c r="C1698" s="27">
        <v>26764</v>
      </c>
      <c r="D1698" s="28">
        <v>44746</v>
      </c>
      <c r="E1698" s="29">
        <v>3</v>
      </c>
      <c r="F1698" s="15" t="str">
        <f t="shared" si="26"/>
        <v>1208-26764-44746</v>
      </c>
    </row>
    <row r="1699" spans="1:6" ht="14.25" customHeight="1" x14ac:dyDescent="0.25">
      <c r="A1699" s="15" t="s">
        <v>1839</v>
      </c>
      <c r="B1699" s="27">
        <v>1208</v>
      </c>
      <c r="C1699" s="27">
        <v>26764</v>
      </c>
      <c r="D1699" s="28">
        <v>44753</v>
      </c>
      <c r="E1699" s="29">
        <v>3</v>
      </c>
      <c r="F1699" s="15" t="str">
        <f t="shared" si="26"/>
        <v>1208-26764-44753</v>
      </c>
    </row>
    <row r="1700" spans="1:6" ht="14.25" customHeight="1" x14ac:dyDescent="0.25">
      <c r="A1700" s="15" t="s">
        <v>1840</v>
      </c>
      <c r="B1700" s="27">
        <v>1208</v>
      </c>
      <c r="C1700" s="27">
        <v>26764</v>
      </c>
      <c r="D1700" s="28">
        <v>44760</v>
      </c>
      <c r="E1700" s="29">
        <v>3</v>
      </c>
      <c r="F1700" s="15" t="str">
        <f t="shared" si="26"/>
        <v>1208-26764-44760</v>
      </c>
    </row>
    <row r="1701" spans="1:6" ht="14.25" customHeight="1" x14ac:dyDescent="0.25">
      <c r="A1701" s="15" t="s">
        <v>1841</v>
      </c>
      <c r="B1701" s="27">
        <v>1208</v>
      </c>
      <c r="C1701" s="27">
        <v>26764</v>
      </c>
      <c r="D1701" s="28">
        <v>44767</v>
      </c>
      <c r="E1701" s="29">
        <v>3</v>
      </c>
      <c r="F1701" s="15" t="str">
        <f t="shared" si="26"/>
        <v>1208-26764-44767</v>
      </c>
    </row>
    <row r="1702" spans="1:6" ht="14.25" customHeight="1" x14ac:dyDescent="0.25">
      <c r="A1702" s="15" t="s">
        <v>1842</v>
      </c>
      <c r="B1702" s="27">
        <v>1208</v>
      </c>
      <c r="C1702" s="27">
        <v>26764</v>
      </c>
      <c r="D1702" s="28">
        <v>44774</v>
      </c>
      <c r="E1702" s="29">
        <v>3</v>
      </c>
      <c r="F1702" s="15" t="str">
        <f t="shared" si="26"/>
        <v>1208-26764-44774</v>
      </c>
    </row>
    <row r="1703" spans="1:6" ht="14.25" customHeight="1" x14ac:dyDescent="0.25">
      <c r="A1703" s="15" t="s">
        <v>1843</v>
      </c>
      <c r="B1703" s="27">
        <v>1208</v>
      </c>
      <c r="C1703" s="27">
        <v>26764</v>
      </c>
      <c r="D1703" s="28">
        <v>44781</v>
      </c>
      <c r="E1703" s="29">
        <v>3</v>
      </c>
      <c r="F1703" s="15" t="str">
        <f t="shared" si="26"/>
        <v>1208-26764-44781</v>
      </c>
    </row>
    <row r="1704" spans="1:6" ht="14.25" customHeight="1" x14ac:dyDescent="0.25">
      <c r="A1704" s="15" t="s">
        <v>1844</v>
      </c>
      <c r="B1704" s="27">
        <v>1208</v>
      </c>
      <c r="C1704" s="27">
        <v>26764</v>
      </c>
      <c r="D1704" s="28">
        <v>44788</v>
      </c>
      <c r="E1704" s="29">
        <v>3</v>
      </c>
      <c r="F1704" s="15" t="str">
        <f t="shared" si="26"/>
        <v>1208-26764-44788</v>
      </c>
    </row>
    <row r="1705" spans="1:6" ht="14.25" customHeight="1" x14ac:dyDescent="0.25">
      <c r="A1705" s="15" t="s">
        <v>1845</v>
      </c>
      <c r="B1705" s="27">
        <v>1208</v>
      </c>
      <c r="C1705" s="27">
        <v>78869</v>
      </c>
      <c r="D1705" s="28">
        <v>44739</v>
      </c>
      <c r="E1705" s="29">
        <v>6</v>
      </c>
      <c r="F1705" s="15" t="str">
        <f t="shared" si="26"/>
        <v>1208-78869-44739</v>
      </c>
    </row>
    <row r="1706" spans="1:6" ht="14.25" customHeight="1" x14ac:dyDescent="0.25">
      <c r="A1706" s="15" t="s">
        <v>1846</v>
      </c>
      <c r="B1706" s="27">
        <v>1208</v>
      </c>
      <c r="C1706" s="27">
        <v>78869</v>
      </c>
      <c r="D1706" s="28">
        <v>44746</v>
      </c>
      <c r="E1706" s="29">
        <v>6</v>
      </c>
      <c r="F1706" s="15" t="str">
        <f t="shared" si="26"/>
        <v>1208-78869-44746</v>
      </c>
    </row>
    <row r="1707" spans="1:6" ht="14.25" customHeight="1" x14ac:dyDescent="0.25">
      <c r="A1707" s="15" t="s">
        <v>1847</v>
      </c>
      <c r="B1707" s="27">
        <v>1208</v>
      </c>
      <c r="C1707" s="27">
        <v>78869</v>
      </c>
      <c r="D1707" s="28">
        <v>44753</v>
      </c>
      <c r="E1707" s="29">
        <v>6</v>
      </c>
      <c r="F1707" s="15" t="str">
        <f t="shared" si="26"/>
        <v>1208-78869-44753</v>
      </c>
    </row>
    <row r="1708" spans="1:6" ht="14.25" customHeight="1" x14ac:dyDescent="0.25">
      <c r="A1708" s="15" t="s">
        <v>1848</v>
      </c>
      <c r="B1708" s="27">
        <v>1208</v>
      </c>
      <c r="C1708" s="27">
        <v>78869</v>
      </c>
      <c r="D1708" s="28">
        <v>44760</v>
      </c>
      <c r="E1708" s="29">
        <v>6</v>
      </c>
      <c r="F1708" s="15" t="str">
        <f t="shared" si="26"/>
        <v>1208-78869-44760</v>
      </c>
    </row>
    <row r="1709" spans="1:6" ht="14.25" customHeight="1" x14ac:dyDescent="0.25">
      <c r="A1709" s="15" t="s">
        <v>1849</v>
      </c>
      <c r="B1709" s="27">
        <v>1208</v>
      </c>
      <c r="C1709" s="27">
        <v>78869</v>
      </c>
      <c r="D1709" s="28">
        <v>44767</v>
      </c>
      <c r="E1709" s="29">
        <v>6</v>
      </c>
      <c r="F1709" s="15" t="str">
        <f t="shared" si="26"/>
        <v>1208-78869-44767</v>
      </c>
    </row>
    <row r="1710" spans="1:6" ht="14.25" customHeight="1" x14ac:dyDescent="0.25">
      <c r="A1710" s="15" t="s">
        <v>1850</v>
      </c>
      <c r="B1710" s="27">
        <v>1208</v>
      </c>
      <c r="C1710" s="27">
        <v>78869</v>
      </c>
      <c r="D1710" s="28">
        <v>44774</v>
      </c>
      <c r="E1710" s="29">
        <v>6</v>
      </c>
      <c r="F1710" s="15" t="str">
        <f t="shared" si="26"/>
        <v>1208-78869-44774</v>
      </c>
    </row>
    <row r="1711" spans="1:6" ht="14.25" customHeight="1" x14ac:dyDescent="0.25">
      <c r="A1711" s="15" t="s">
        <v>1851</v>
      </c>
      <c r="B1711" s="27">
        <v>1208</v>
      </c>
      <c r="C1711" s="27">
        <v>78869</v>
      </c>
      <c r="D1711" s="28">
        <v>44781</v>
      </c>
      <c r="E1711" s="29">
        <v>6</v>
      </c>
      <c r="F1711" s="15" t="str">
        <f t="shared" si="26"/>
        <v>1208-78869-44781</v>
      </c>
    </row>
    <row r="1712" spans="1:6" ht="14.25" customHeight="1" x14ac:dyDescent="0.25">
      <c r="A1712" s="15" t="s">
        <v>1852</v>
      </c>
      <c r="B1712" s="27">
        <v>1208</v>
      </c>
      <c r="C1712" s="27">
        <v>78869</v>
      </c>
      <c r="D1712" s="28">
        <v>44788</v>
      </c>
      <c r="E1712" s="29">
        <v>6</v>
      </c>
      <c r="F1712" s="15" t="str">
        <f t="shared" si="26"/>
        <v>1208-78869-44788</v>
      </c>
    </row>
    <row r="1713" spans="1:6" ht="14.25" customHeight="1" x14ac:dyDescent="0.25">
      <c r="A1713" s="15" t="s">
        <v>1853</v>
      </c>
      <c r="B1713" s="27">
        <v>1208</v>
      </c>
      <c r="C1713" s="27">
        <v>141622</v>
      </c>
      <c r="D1713" s="28">
        <v>44739</v>
      </c>
      <c r="E1713" s="29">
        <v>6</v>
      </c>
      <c r="F1713" s="15" t="str">
        <f t="shared" si="26"/>
        <v>1208-141622-44739</v>
      </c>
    </row>
    <row r="1714" spans="1:6" ht="14.25" customHeight="1" x14ac:dyDescent="0.25">
      <c r="A1714" s="15" t="s">
        <v>1854</v>
      </c>
      <c r="B1714" s="27">
        <v>1208</v>
      </c>
      <c r="C1714" s="27">
        <v>141622</v>
      </c>
      <c r="D1714" s="28">
        <v>44746</v>
      </c>
      <c r="E1714" s="29">
        <v>11</v>
      </c>
      <c r="F1714" s="15" t="str">
        <f t="shared" si="26"/>
        <v>1208-141622-44746</v>
      </c>
    </row>
    <row r="1715" spans="1:6" ht="14.25" customHeight="1" x14ac:dyDescent="0.25">
      <c r="A1715" s="15" t="s">
        <v>1855</v>
      </c>
      <c r="B1715" s="27">
        <v>1208</v>
      </c>
      <c r="C1715" s="27">
        <v>141622</v>
      </c>
      <c r="D1715" s="28">
        <v>44753</v>
      </c>
      <c r="E1715" s="29">
        <v>12</v>
      </c>
      <c r="F1715" s="15" t="str">
        <f t="shared" si="26"/>
        <v>1208-141622-44753</v>
      </c>
    </row>
    <row r="1716" spans="1:6" ht="14.25" customHeight="1" x14ac:dyDescent="0.25">
      <c r="A1716" s="15" t="s">
        <v>1856</v>
      </c>
      <c r="B1716" s="27">
        <v>1208</v>
      </c>
      <c r="C1716" s="27">
        <v>141622</v>
      </c>
      <c r="D1716" s="28">
        <v>44760</v>
      </c>
      <c r="E1716" s="29">
        <v>3</v>
      </c>
      <c r="F1716" s="15" t="str">
        <f t="shared" si="26"/>
        <v>1208-141622-44760</v>
      </c>
    </row>
    <row r="1717" spans="1:6" ht="14.25" customHeight="1" x14ac:dyDescent="0.25">
      <c r="A1717" s="15" t="s">
        <v>1857</v>
      </c>
      <c r="B1717" s="27">
        <v>1208</v>
      </c>
      <c r="C1717" s="27">
        <v>141622</v>
      </c>
      <c r="D1717" s="28">
        <v>44767</v>
      </c>
      <c r="E1717" s="29">
        <v>11</v>
      </c>
      <c r="F1717" s="15" t="str">
        <f t="shared" si="26"/>
        <v>1208-141622-44767</v>
      </c>
    </row>
    <row r="1718" spans="1:6" ht="14.25" customHeight="1" x14ac:dyDescent="0.25">
      <c r="A1718" s="15" t="s">
        <v>1858</v>
      </c>
      <c r="B1718" s="27">
        <v>1208</v>
      </c>
      <c r="C1718" s="27">
        <v>141622</v>
      </c>
      <c r="D1718" s="28">
        <v>44774</v>
      </c>
      <c r="E1718" s="29">
        <v>9</v>
      </c>
      <c r="F1718" s="15" t="str">
        <f t="shared" si="26"/>
        <v>1208-141622-44774</v>
      </c>
    </row>
    <row r="1719" spans="1:6" ht="14.25" customHeight="1" x14ac:dyDescent="0.25">
      <c r="A1719" s="15" t="s">
        <v>1859</v>
      </c>
      <c r="B1719" s="27">
        <v>1208</v>
      </c>
      <c r="C1719" s="27">
        <v>141622</v>
      </c>
      <c r="D1719" s="28">
        <v>44781</v>
      </c>
      <c r="E1719" s="29">
        <v>12</v>
      </c>
      <c r="F1719" s="15" t="str">
        <f t="shared" si="26"/>
        <v>1208-141622-44781</v>
      </c>
    </row>
    <row r="1720" spans="1:6" ht="14.25" customHeight="1" x14ac:dyDescent="0.25">
      <c r="A1720" s="15" t="s">
        <v>1860</v>
      </c>
      <c r="B1720" s="27">
        <v>1208</v>
      </c>
      <c r="C1720" s="27">
        <v>141622</v>
      </c>
      <c r="D1720" s="28">
        <v>44788</v>
      </c>
      <c r="E1720" s="29">
        <v>13</v>
      </c>
      <c r="F1720" s="15" t="str">
        <f t="shared" si="26"/>
        <v>1208-141622-44788</v>
      </c>
    </row>
    <row r="1721" spans="1:6" ht="14.25" customHeight="1" x14ac:dyDescent="0.25">
      <c r="A1721" s="15" t="s">
        <v>1861</v>
      </c>
      <c r="B1721" s="27">
        <v>1208</v>
      </c>
      <c r="C1721" s="27">
        <v>141626</v>
      </c>
      <c r="D1721" s="28">
        <v>44739</v>
      </c>
      <c r="E1721" s="29">
        <v>24</v>
      </c>
      <c r="F1721" s="15" t="str">
        <f t="shared" si="26"/>
        <v>1208-141626-44739</v>
      </c>
    </row>
    <row r="1722" spans="1:6" ht="14.25" customHeight="1" x14ac:dyDescent="0.25">
      <c r="A1722" s="15" t="s">
        <v>1862</v>
      </c>
      <c r="B1722" s="27">
        <v>1208</v>
      </c>
      <c r="C1722" s="27">
        <v>141626</v>
      </c>
      <c r="D1722" s="28">
        <v>44746</v>
      </c>
      <c r="E1722" s="29">
        <v>8</v>
      </c>
      <c r="F1722" s="15" t="str">
        <f t="shared" si="26"/>
        <v>1208-141626-44746</v>
      </c>
    </row>
    <row r="1723" spans="1:6" ht="14.25" customHeight="1" x14ac:dyDescent="0.25">
      <c r="A1723" s="15" t="s">
        <v>1863</v>
      </c>
      <c r="B1723" s="27">
        <v>1208</v>
      </c>
      <c r="C1723" s="27">
        <v>141626</v>
      </c>
      <c r="D1723" s="28">
        <v>44753</v>
      </c>
      <c r="E1723" s="29">
        <v>32</v>
      </c>
      <c r="F1723" s="15" t="str">
        <f t="shared" si="26"/>
        <v>1208-141626-44753</v>
      </c>
    </row>
    <row r="1724" spans="1:6" ht="14.25" customHeight="1" x14ac:dyDescent="0.25">
      <c r="A1724" s="15" t="s">
        <v>1864</v>
      </c>
      <c r="B1724" s="27">
        <v>1208</v>
      </c>
      <c r="C1724" s="27">
        <v>141626</v>
      </c>
      <c r="D1724" s="28">
        <v>44760</v>
      </c>
      <c r="E1724" s="29">
        <v>26</v>
      </c>
      <c r="F1724" s="15" t="str">
        <f t="shared" si="26"/>
        <v>1208-141626-44760</v>
      </c>
    </row>
    <row r="1725" spans="1:6" ht="14.25" customHeight="1" x14ac:dyDescent="0.25">
      <c r="A1725" s="15" t="s">
        <v>1865</v>
      </c>
      <c r="B1725" s="27">
        <v>1208</v>
      </c>
      <c r="C1725" s="27">
        <v>141626</v>
      </c>
      <c r="D1725" s="28">
        <v>44767</v>
      </c>
      <c r="E1725" s="29">
        <v>28</v>
      </c>
      <c r="F1725" s="15" t="str">
        <f t="shared" si="26"/>
        <v>1208-141626-44767</v>
      </c>
    </row>
    <row r="1726" spans="1:6" ht="14.25" customHeight="1" x14ac:dyDescent="0.25">
      <c r="A1726" s="15" t="s">
        <v>1866</v>
      </c>
      <c r="B1726" s="27">
        <v>1208</v>
      </c>
      <c r="C1726" s="27">
        <v>141626</v>
      </c>
      <c r="D1726" s="28">
        <v>44774</v>
      </c>
      <c r="E1726" s="29">
        <v>33</v>
      </c>
      <c r="F1726" s="15" t="str">
        <f t="shared" si="26"/>
        <v>1208-141626-44774</v>
      </c>
    </row>
    <row r="1727" spans="1:6" ht="14.25" customHeight="1" x14ac:dyDescent="0.25">
      <c r="A1727" s="15" t="s">
        <v>1867</v>
      </c>
      <c r="B1727" s="27">
        <v>1208</v>
      </c>
      <c r="C1727" s="27">
        <v>141626</v>
      </c>
      <c r="D1727" s="28">
        <v>44781</v>
      </c>
      <c r="E1727" s="29">
        <v>18</v>
      </c>
      <c r="F1727" s="15" t="str">
        <f t="shared" si="26"/>
        <v>1208-141626-44781</v>
      </c>
    </row>
    <row r="1728" spans="1:6" ht="14.25" customHeight="1" x14ac:dyDescent="0.25">
      <c r="A1728" s="15" t="s">
        <v>1868</v>
      </c>
      <c r="B1728" s="27">
        <v>1208</v>
      </c>
      <c r="C1728" s="27">
        <v>141626</v>
      </c>
      <c r="D1728" s="28">
        <v>44788</v>
      </c>
      <c r="E1728" s="29">
        <v>25</v>
      </c>
      <c r="F1728" s="15" t="str">
        <f t="shared" si="26"/>
        <v>1208-141626-44788</v>
      </c>
    </row>
    <row r="1729" spans="1:6" ht="14.25" customHeight="1" x14ac:dyDescent="0.25">
      <c r="A1729" s="15" t="s">
        <v>1869</v>
      </c>
      <c r="B1729" s="27">
        <v>1208</v>
      </c>
      <c r="C1729" s="27">
        <v>141967</v>
      </c>
      <c r="D1729" s="28">
        <v>44739</v>
      </c>
      <c r="E1729" s="29">
        <v>6</v>
      </c>
      <c r="F1729" s="15" t="str">
        <f t="shared" si="26"/>
        <v>1208-141967-44739</v>
      </c>
    </row>
    <row r="1730" spans="1:6" ht="14.25" customHeight="1" x14ac:dyDescent="0.25">
      <c r="A1730" s="15" t="s">
        <v>1870</v>
      </c>
      <c r="B1730" s="27">
        <v>1208</v>
      </c>
      <c r="C1730" s="27">
        <v>141967</v>
      </c>
      <c r="D1730" s="28">
        <v>44746</v>
      </c>
      <c r="E1730" s="29">
        <v>6</v>
      </c>
      <c r="F1730" s="15" t="str">
        <f t="shared" si="26"/>
        <v>1208-141967-44746</v>
      </c>
    </row>
    <row r="1731" spans="1:6" ht="14.25" customHeight="1" x14ac:dyDescent="0.25">
      <c r="A1731" s="15" t="s">
        <v>1871</v>
      </c>
      <c r="B1731" s="27">
        <v>1208</v>
      </c>
      <c r="C1731" s="27">
        <v>141967</v>
      </c>
      <c r="D1731" s="28">
        <v>44753</v>
      </c>
      <c r="E1731" s="29">
        <v>6</v>
      </c>
      <c r="F1731" s="15" t="str">
        <f t="shared" ref="F1731:F1794" si="27">B1731&amp;"-"&amp;C1731&amp;"-"&amp;INT(D1731)</f>
        <v>1208-141967-44753</v>
      </c>
    </row>
    <row r="1732" spans="1:6" ht="14.25" customHeight="1" x14ac:dyDescent="0.25">
      <c r="A1732" s="15" t="s">
        <v>1872</v>
      </c>
      <c r="B1732" s="27">
        <v>1208</v>
      </c>
      <c r="C1732" s="27">
        <v>141967</v>
      </c>
      <c r="D1732" s="28">
        <v>44760</v>
      </c>
      <c r="E1732" s="29">
        <v>6</v>
      </c>
      <c r="F1732" s="15" t="str">
        <f t="shared" si="27"/>
        <v>1208-141967-44760</v>
      </c>
    </row>
    <row r="1733" spans="1:6" ht="14.25" customHeight="1" x14ac:dyDescent="0.25">
      <c r="A1733" s="15" t="s">
        <v>1873</v>
      </c>
      <c r="B1733" s="27">
        <v>1208</v>
      </c>
      <c r="C1733" s="27">
        <v>141967</v>
      </c>
      <c r="D1733" s="28">
        <v>44767</v>
      </c>
      <c r="E1733" s="29">
        <v>6</v>
      </c>
      <c r="F1733" s="15" t="str">
        <f t="shared" si="27"/>
        <v>1208-141967-44767</v>
      </c>
    </row>
    <row r="1734" spans="1:6" ht="14.25" customHeight="1" x14ac:dyDescent="0.25">
      <c r="A1734" s="15" t="s">
        <v>1874</v>
      </c>
      <c r="B1734" s="27">
        <v>1208</v>
      </c>
      <c r="C1734" s="27">
        <v>141967</v>
      </c>
      <c r="D1734" s="28">
        <v>44774</v>
      </c>
      <c r="E1734" s="29">
        <v>6</v>
      </c>
      <c r="F1734" s="15" t="str">
        <f t="shared" si="27"/>
        <v>1208-141967-44774</v>
      </c>
    </row>
    <row r="1735" spans="1:6" ht="14.25" customHeight="1" x14ac:dyDescent="0.25">
      <c r="A1735" s="15" t="s">
        <v>1875</v>
      </c>
      <c r="B1735" s="27">
        <v>1208</v>
      </c>
      <c r="C1735" s="27">
        <v>141967</v>
      </c>
      <c r="D1735" s="28">
        <v>44781</v>
      </c>
      <c r="E1735" s="29">
        <v>6</v>
      </c>
      <c r="F1735" s="15" t="str">
        <f t="shared" si="27"/>
        <v>1208-141967-44781</v>
      </c>
    </row>
    <row r="1736" spans="1:6" ht="14.25" customHeight="1" x14ac:dyDescent="0.25">
      <c r="A1736" s="15" t="s">
        <v>1876</v>
      </c>
      <c r="B1736" s="27">
        <v>1208</v>
      </c>
      <c r="C1736" s="27">
        <v>141967</v>
      </c>
      <c r="D1736" s="28">
        <v>44788</v>
      </c>
      <c r="E1736" s="29">
        <v>6</v>
      </c>
      <c r="F1736" s="15" t="str">
        <f t="shared" si="27"/>
        <v>1208-141967-44788</v>
      </c>
    </row>
    <row r="1737" spans="1:6" ht="14.25" customHeight="1" x14ac:dyDescent="0.25">
      <c r="A1737" s="15" t="s">
        <v>1877</v>
      </c>
      <c r="B1737" s="27">
        <v>1208</v>
      </c>
      <c r="C1737" s="27">
        <v>142194</v>
      </c>
      <c r="D1737" s="28">
        <v>44739</v>
      </c>
      <c r="E1737" s="29">
        <v>6</v>
      </c>
      <c r="F1737" s="15" t="str">
        <f t="shared" si="27"/>
        <v>1208-142194-44739</v>
      </c>
    </row>
    <row r="1738" spans="1:6" ht="14.25" customHeight="1" x14ac:dyDescent="0.25">
      <c r="A1738" s="15" t="s">
        <v>1878</v>
      </c>
      <c r="B1738" s="27">
        <v>1208</v>
      </c>
      <c r="C1738" s="27">
        <v>142194</v>
      </c>
      <c r="D1738" s="28">
        <v>44746</v>
      </c>
      <c r="E1738" s="29">
        <v>6</v>
      </c>
      <c r="F1738" s="15" t="str">
        <f t="shared" si="27"/>
        <v>1208-142194-44746</v>
      </c>
    </row>
    <row r="1739" spans="1:6" ht="14.25" customHeight="1" x14ac:dyDescent="0.25">
      <c r="A1739" s="15" t="s">
        <v>1879</v>
      </c>
      <c r="B1739" s="27">
        <v>1208</v>
      </c>
      <c r="C1739" s="27">
        <v>142194</v>
      </c>
      <c r="D1739" s="28">
        <v>44753</v>
      </c>
      <c r="E1739" s="29">
        <v>6</v>
      </c>
      <c r="F1739" s="15" t="str">
        <f t="shared" si="27"/>
        <v>1208-142194-44753</v>
      </c>
    </row>
    <row r="1740" spans="1:6" ht="14.25" customHeight="1" x14ac:dyDescent="0.25">
      <c r="A1740" s="15" t="s">
        <v>1880</v>
      </c>
      <c r="B1740" s="27">
        <v>1208</v>
      </c>
      <c r="C1740" s="27">
        <v>142194</v>
      </c>
      <c r="D1740" s="28">
        <v>44760</v>
      </c>
      <c r="E1740" s="29">
        <v>6</v>
      </c>
      <c r="F1740" s="15" t="str">
        <f t="shared" si="27"/>
        <v>1208-142194-44760</v>
      </c>
    </row>
    <row r="1741" spans="1:6" ht="14.25" customHeight="1" x14ac:dyDescent="0.25">
      <c r="A1741" s="15" t="s">
        <v>1881</v>
      </c>
      <c r="B1741" s="27">
        <v>1208</v>
      </c>
      <c r="C1741" s="27">
        <v>142194</v>
      </c>
      <c r="D1741" s="28">
        <v>44767</v>
      </c>
      <c r="E1741" s="29">
        <v>6</v>
      </c>
      <c r="F1741" s="15" t="str">
        <f t="shared" si="27"/>
        <v>1208-142194-44767</v>
      </c>
    </row>
    <row r="1742" spans="1:6" ht="14.25" customHeight="1" x14ac:dyDescent="0.25">
      <c r="A1742" s="15" t="s">
        <v>1882</v>
      </c>
      <c r="B1742" s="27">
        <v>1208</v>
      </c>
      <c r="C1742" s="27">
        <v>142194</v>
      </c>
      <c r="D1742" s="28">
        <v>44774</v>
      </c>
      <c r="E1742" s="29">
        <v>6</v>
      </c>
      <c r="F1742" s="15" t="str">
        <f t="shared" si="27"/>
        <v>1208-142194-44774</v>
      </c>
    </row>
    <row r="1743" spans="1:6" ht="14.25" customHeight="1" x14ac:dyDescent="0.25">
      <c r="A1743" s="15" t="s">
        <v>1883</v>
      </c>
      <c r="B1743" s="27">
        <v>1208</v>
      </c>
      <c r="C1743" s="27">
        <v>142194</v>
      </c>
      <c r="D1743" s="28">
        <v>44781</v>
      </c>
      <c r="E1743" s="29">
        <v>6</v>
      </c>
      <c r="F1743" s="15" t="str">
        <f t="shared" si="27"/>
        <v>1208-142194-44781</v>
      </c>
    </row>
    <row r="1744" spans="1:6" ht="14.25" customHeight="1" x14ac:dyDescent="0.25">
      <c r="A1744" s="15" t="s">
        <v>1884</v>
      </c>
      <c r="B1744" s="27">
        <v>1208</v>
      </c>
      <c r="C1744" s="27">
        <v>142194</v>
      </c>
      <c r="D1744" s="28">
        <v>44788</v>
      </c>
      <c r="E1744" s="29">
        <v>6</v>
      </c>
      <c r="F1744" s="15" t="str">
        <f t="shared" si="27"/>
        <v>1208-142194-44788</v>
      </c>
    </row>
    <row r="1745" spans="1:6" ht="14.25" customHeight="1" x14ac:dyDescent="0.25">
      <c r="A1745" s="15" t="s">
        <v>1885</v>
      </c>
      <c r="B1745" s="27">
        <v>1208</v>
      </c>
      <c r="C1745" s="27">
        <v>149779</v>
      </c>
      <c r="D1745" s="28">
        <v>44739</v>
      </c>
      <c r="E1745" s="29">
        <v>6</v>
      </c>
      <c r="F1745" s="15" t="str">
        <f t="shared" si="27"/>
        <v>1208-149779-44739</v>
      </c>
    </row>
    <row r="1746" spans="1:6" ht="14.25" customHeight="1" x14ac:dyDescent="0.25">
      <c r="A1746" s="15" t="s">
        <v>1886</v>
      </c>
      <c r="B1746" s="27">
        <v>1208</v>
      </c>
      <c r="C1746" s="27">
        <v>149779</v>
      </c>
      <c r="D1746" s="28">
        <v>44746</v>
      </c>
      <c r="E1746" s="29">
        <v>6</v>
      </c>
      <c r="F1746" s="15" t="str">
        <f t="shared" si="27"/>
        <v>1208-149779-44746</v>
      </c>
    </row>
    <row r="1747" spans="1:6" ht="14.25" customHeight="1" x14ac:dyDescent="0.25">
      <c r="A1747" s="15" t="s">
        <v>1887</v>
      </c>
      <c r="B1747" s="27">
        <v>1208</v>
      </c>
      <c r="C1747" s="27">
        <v>149779</v>
      </c>
      <c r="D1747" s="28">
        <v>44753</v>
      </c>
      <c r="E1747" s="29">
        <v>6</v>
      </c>
      <c r="F1747" s="15" t="str">
        <f t="shared" si="27"/>
        <v>1208-149779-44753</v>
      </c>
    </row>
    <row r="1748" spans="1:6" ht="14.25" customHeight="1" x14ac:dyDescent="0.25">
      <c r="A1748" s="15" t="s">
        <v>1888</v>
      </c>
      <c r="B1748" s="27">
        <v>1208</v>
      </c>
      <c r="C1748" s="27">
        <v>149779</v>
      </c>
      <c r="D1748" s="28">
        <v>44760</v>
      </c>
      <c r="E1748" s="29">
        <v>6</v>
      </c>
      <c r="F1748" s="15" t="str">
        <f t="shared" si="27"/>
        <v>1208-149779-44760</v>
      </c>
    </row>
    <row r="1749" spans="1:6" ht="14.25" customHeight="1" x14ac:dyDescent="0.25">
      <c r="A1749" s="15" t="s">
        <v>1889</v>
      </c>
      <c r="B1749" s="27">
        <v>1208</v>
      </c>
      <c r="C1749" s="27">
        <v>149779</v>
      </c>
      <c r="D1749" s="28">
        <v>44767</v>
      </c>
      <c r="E1749" s="29">
        <v>6</v>
      </c>
      <c r="F1749" s="15" t="str">
        <f t="shared" si="27"/>
        <v>1208-149779-44767</v>
      </c>
    </row>
    <row r="1750" spans="1:6" ht="14.25" customHeight="1" x14ac:dyDescent="0.25">
      <c r="A1750" s="15" t="s">
        <v>1890</v>
      </c>
      <c r="B1750" s="27">
        <v>1208</v>
      </c>
      <c r="C1750" s="27">
        <v>149779</v>
      </c>
      <c r="D1750" s="28">
        <v>44774</v>
      </c>
      <c r="E1750" s="29">
        <v>6</v>
      </c>
      <c r="F1750" s="15" t="str">
        <f t="shared" si="27"/>
        <v>1208-149779-44774</v>
      </c>
    </row>
    <row r="1751" spans="1:6" ht="14.25" customHeight="1" x14ac:dyDescent="0.25">
      <c r="A1751" s="15" t="s">
        <v>1891</v>
      </c>
      <c r="B1751" s="27">
        <v>1208</v>
      </c>
      <c r="C1751" s="27">
        <v>149779</v>
      </c>
      <c r="D1751" s="28">
        <v>44781</v>
      </c>
      <c r="E1751" s="29">
        <v>6</v>
      </c>
      <c r="F1751" s="15" t="str">
        <f t="shared" si="27"/>
        <v>1208-149779-44781</v>
      </c>
    </row>
    <row r="1752" spans="1:6" ht="14.25" customHeight="1" x14ac:dyDescent="0.25">
      <c r="A1752" s="15" t="s">
        <v>1892</v>
      </c>
      <c r="B1752" s="27">
        <v>1208</v>
      </c>
      <c r="C1752" s="27">
        <v>149779</v>
      </c>
      <c r="D1752" s="28">
        <v>44788</v>
      </c>
      <c r="E1752" s="29">
        <v>6</v>
      </c>
      <c r="F1752" s="15" t="str">
        <f t="shared" si="27"/>
        <v>1208-149779-44788</v>
      </c>
    </row>
    <row r="1753" spans="1:6" ht="14.25" customHeight="1" x14ac:dyDescent="0.25">
      <c r="A1753" s="15" t="s">
        <v>1893</v>
      </c>
      <c r="B1753" s="27">
        <v>1208</v>
      </c>
      <c r="C1753" s="27">
        <v>189933</v>
      </c>
      <c r="D1753" s="28">
        <v>44739</v>
      </c>
      <c r="E1753" s="29">
        <v>20</v>
      </c>
      <c r="F1753" s="15" t="str">
        <f t="shared" si="27"/>
        <v>1208-189933-44739</v>
      </c>
    </row>
    <row r="1754" spans="1:6" ht="14.25" customHeight="1" x14ac:dyDescent="0.25">
      <c r="A1754" s="15" t="s">
        <v>1894</v>
      </c>
      <c r="B1754" s="27">
        <v>1208</v>
      </c>
      <c r="C1754" s="27">
        <v>189933</v>
      </c>
      <c r="D1754" s="28">
        <v>44746</v>
      </c>
      <c r="E1754" s="29">
        <v>24</v>
      </c>
      <c r="F1754" s="15" t="str">
        <f t="shared" si="27"/>
        <v>1208-189933-44746</v>
      </c>
    </row>
    <row r="1755" spans="1:6" ht="14.25" customHeight="1" x14ac:dyDescent="0.25">
      <c r="A1755" s="15" t="s">
        <v>1895</v>
      </c>
      <c r="B1755" s="27">
        <v>1208</v>
      </c>
      <c r="C1755" s="27">
        <v>189933</v>
      </c>
      <c r="D1755" s="28">
        <v>44753</v>
      </c>
      <c r="E1755" s="29">
        <v>6</v>
      </c>
      <c r="F1755" s="15" t="str">
        <f t="shared" si="27"/>
        <v>1208-189933-44753</v>
      </c>
    </row>
    <row r="1756" spans="1:6" ht="14.25" customHeight="1" x14ac:dyDescent="0.25">
      <c r="A1756" s="15" t="s">
        <v>1896</v>
      </c>
      <c r="B1756" s="27">
        <v>1208</v>
      </c>
      <c r="C1756" s="27">
        <v>189933</v>
      </c>
      <c r="D1756" s="28">
        <v>44760</v>
      </c>
      <c r="E1756" s="29">
        <v>16</v>
      </c>
      <c r="F1756" s="15" t="str">
        <f t="shared" si="27"/>
        <v>1208-189933-44760</v>
      </c>
    </row>
    <row r="1757" spans="1:6" ht="14.25" customHeight="1" x14ac:dyDescent="0.25">
      <c r="A1757" s="15" t="s">
        <v>1897</v>
      </c>
      <c r="B1757" s="27">
        <v>1208</v>
      </c>
      <c r="C1757" s="27">
        <v>189933</v>
      </c>
      <c r="D1757" s="28">
        <v>44767</v>
      </c>
      <c r="E1757" s="29">
        <v>20</v>
      </c>
      <c r="F1757" s="15" t="str">
        <f t="shared" si="27"/>
        <v>1208-189933-44767</v>
      </c>
    </row>
    <row r="1758" spans="1:6" ht="14.25" customHeight="1" x14ac:dyDescent="0.25">
      <c r="A1758" s="15" t="s">
        <v>1898</v>
      </c>
      <c r="B1758" s="27">
        <v>1208</v>
      </c>
      <c r="C1758" s="27">
        <v>189933</v>
      </c>
      <c r="D1758" s="28">
        <v>44774</v>
      </c>
      <c r="E1758" s="29">
        <v>16</v>
      </c>
      <c r="F1758" s="15" t="str">
        <f t="shared" si="27"/>
        <v>1208-189933-44774</v>
      </c>
    </row>
    <row r="1759" spans="1:6" ht="14.25" customHeight="1" x14ac:dyDescent="0.25">
      <c r="A1759" s="15" t="s">
        <v>1899</v>
      </c>
      <c r="B1759" s="27">
        <v>1208</v>
      </c>
      <c r="C1759" s="27">
        <v>189933</v>
      </c>
      <c r="D1759" s="28">
        <v>44781</v>
      </c>
      <c r="E1759" s="29">
        <v>24</v>
      </c>
      <c r="F1759" s="15" t="str">
        <f t="shared" si="27"/>
        <v>1208-189933-44781</v>
      </c>
    </row>
    <row r="1760" spans="1:6" ht="14.25" customHeight="1" x14ac:dyDescent="0.25">
      <c r="A1760" s="15" t="s">
        <v>1900</v>
      </c>
      <c r="B1760" s="27">
        <v>1208</v>
      </c>
      <c r="C1760" s="27">
        <v>189933</v>
      </c>
      <c r="D1760" s="28">
        <v>44788</v>
      </c>
      <c r="E1760" s="29">
        <v>15</v>
      </c>
      <c r="F1760" s="15" t="str">
        <f t="shared" si="27"/>
        <v>1208-189933-44788</v>
      </c>
    </row>
    <row r="1761" spans="1:6" ht="14.25" customHeight="1" x14ac:dyDescent="0.25">
      <c r="A1761" s="15" t="s">
        <v>1901</v>
      </c>
      <c r="B1761" s="27">
        <v>1208</v>
      </c>
      <c r="C1761" s="27">
        <v>202577</v>
      </c>
      <c r="D1761" s="28">
        <v>44739</v>
      </c>
      <c r="E1761" s="29">
        <v>6</v>
      </c>
      <c r="F1761" s="15" t="str">
        <f t="shared" si="27"/>
        <v>1208-202577-44739</v>
      </c>
    </row>
    <row r="1762" spans="1:6" ht="14.25" customHeight="1" x14ac:dyDescent="0.25">
      <c r="A1762" s="15" t="s">
        <v>1902</v>
      </c>
      <c r="B1762" s="27">
        <v>1208</v>
      </c>
      <c r="C1762" s="27">
        <v>202577</v>
      </c>
      <c r="D1762" s="28">
        <v>44746</v>
      </c>
      <c r="E1762" s="29">
        <v>6</v>
      </c>
      <c r="F1762" s="15" t="str">
        <f t="shared" si="27"/>
        <v>1208-202577-44746</v>
      </c>
    </row>
    <row r="1763" spans="1:6" ht="14.25" customHeight="1" x14ac:dyDescent="0.25">
      <c r="A1763" s="15" t="s">
        <v>1903</v>
      </c>
      <c r="B1763" s="27">
        <v>1208</v>
      </c>
      <c r="C1763" s="27">
        <v>202577</v>
      </c>
      <c r="D1763" s="28">
        <v>44753</v>
      </c>
      <c r="E1763" s="29">
        <v>6</v>
      </c>
      <c r="F1763" s="15" t="str">
        <f t="shared" si="27"/>
        <v>1208-202577-44753</v>
      </c>
    </row>
    <row r="1764" spans="1:6" ht="14.25" customHeight="1" x14ac:dyDescent="0.25">
      <c r="A1764" s="15" t="s">
        <v>1904</v>
      </c>
      <c r="B1764" s="27">
        <v>1208</v>
      </c>
      <c r="C1764" s="27">
        <v>202577</v>
      </c>
      <c r="D1764" s="28">
        <v>44760</v>
      </c>
      <c r="E1764" s="29">
        <v>6</v>
      </c>
      <c r="F1764" s="15" t="str">
        <f t="shared" si="27"/>
        <v>1208-202577-44760</v>
      </c>
    </row>
    <row r="1765" spans="1:6" ht="14.25" customHeight="1" x14ac:dyDescent="0.25">
      <c r="A1765" s="15" t="s">
        <v>1905</v>
      </c>
      <c r="B1765" s="27">
        <v>1208</v>
      </c>
      <c r="C1765" s="27">
        <v>202577</v>
      </c>
      <c r="D1765" s="28">
        <v>44767</v>
      </c>
      <c r="E1765" s="29">
        <v>6</v>
      </c>
      <c r="F1765" s="15" t="str">
        <f t="shared" si="27"/>
        <v>1208-202577-44767</v>
      </c>
    </row>
    <row r="1766" spans="1:6" ht="14.25" customHeight="1" x14ac:dyDescent="0.25">
      <c r="A1766" s="15" t="s">
        <v>1906</v>
      </c>
      <c r="B1766" s="27">
        <v>1208</v>
      </c>
      <c r="C1766" s="27">
        <v>202577</v>
      </c>
      <c r="D1766" s="28">
        <v>44774</v>
      </c>
      <c r="E1766" s="29">
        <v>6</v>
      </c>
      <c r="F1766" s="15" t="str">
        <f t="shared" si="27"/>
        <v>1208-202577-44774</v>
      </c>
    </row>
    <row r="1767" spans="1:6" ht="14.25" customHeight="1" x14ac:dyDescent="0.25">
      <c r="A1767" s="15" t="s">
        <v>1907</v>
      </c>
      <c r="B1767" s="27">
        <v>1208</v>
      </c>
      <c r="C1767" s="27">
        <v>202577</v>
      </c>
      <c r="D1767" s="28">
        <v>44781</v>
      </c>
      <c r="E1767" s="29">
        <v>6</v>
      </c>
      <c r="F1767" s="15" t="str">
        <f t="shared" si="27"/>
        <v>1208-202577-44781</v>
      </c>
    </row>
    <row r="1768" spans="1:6" ht="14.25" customHeight="1" x14ac:dyDescent="0.25">
      <c r="A1768" s="15" t="s">
        <v>1908</v>
      </c>
      <c r="B1768" s="27">
        <v>1208</v>
      </c>
      <c r="C1768" s="27">
        <v>202577</v>
      </c>
      <c r="D1768" s="28">
        <v>44788</v>
      </c>
      <c r="E1768" s="29">
        <v>6</v>
      </c>
      <c r="F1768" s="15" t="str">
        <f t="shared" si="27"/>
        <v>1208-202577-44788</v>
      </c>
    </row>
    <row r="1769" spans="1:6" ht="14.25" customHeight="1" x14ac:dyDescent="0.25">
      <c r="A1769" s="15" t="s">
        <v>1909</v>
      </c>
      <c r="B1769" s="27">
        <v>1208</v>
      </c>
      <c r="C1769" s="27">
        <v>234334</v>
      </c>
      <c r="D1769" s="28">
        <v>44739</v>
      </c>
      <c r="E1769" s="29">
        <v>16</v>
      </c>
      <c r="F1769" s="15" t="str">
        <f t="shared" si="27"/>
        <v>1208-234334-44739</v>
      </c>
    </row>
    <row r="1770" spans="1:6" ht="14.25" customHeight="1" x14ac:dyDescent="0.25">
      <c r="A1770" s="15" t="s">
        <v>1910</v>
      </c>
      <c r="B1770" s="27">
        <v>1208</v>
      </c>
      <c r="C1770" s="27">
        <v>234334</v>
      </c>
      <c r="D1770" s="28">
        <v>44746</v>
      </c>
      <c r="E1770" s="29">
        <v>19</v>
      </c>
      <c r="F1770" s="15" t="str">
        <f t="shared" si="27"/>
        <v>1208-234334-44746</v>
      </c>
    </row>
    <row r="1771" spans="1:6" ht="14.25" customHeight="1" x14ac:dyDescent="0.25">
      <c r="A1771" s="15" t="s">
        <v>1911</v>
      </c>
      <c r="B1771" s="27">
        <v>1208</v>
      </c>
      <c r="C1771" s="27">
        <v>234334</v>
      </c>
      <c r="D1771" s="28">
        <v>44753</v>
      </c>
      <c r="E1771" s="29">
        <v>10</v>
      </c>
      <c r="F1771" s="15" t="str">
        <f t="shared" si="27"/>
        <v>1208-234334-44753</v>
      </c>
    </row>
    <row r="1772" spans="1:6" ht="14.25" customHeight="1" x14ac:dyDescent="0.25">
      <c r="A1772" s="15" t="s">
        <v>1912</v>
      </c>
      <c r="B1772" s="27">
        <v>1208</v>
      </c>
      <c r="C1772" s="27">
        <v>234334</v>
      </c>
      <c r="D1772" s="28">
        <v>44760</v>
      </c>
      <c r="E1772" s="29">
        <v>12</v>
      </c>
      <c r="F1772" s="15" t="str">
        <f t="shared" si="27"/>
        <v>1208-234334-44760</v>
      </c>
    </row>
    <row r="1773" spans="1:6" ht="14.25" customHeight="1" x14ac:dyDescent="0.25">
      <c r="A1773" s="15" t="s">
        <v>1913</v>
      </c>
      <c r="B1773" s="27">
        <v>1208</v>
      </c>
      <c r="C1773" s="27">
        <v>234334</v>
      </c>
      <c r="D1773" s="28">
        <v>44767</v>
      </c>
      <c r="E1773" s="29">
        <v>14</v>
      </c>
      <c r="F1773" s="15" t="str">
        <f t="shared" si="27"/>
        <v>1208-234334-44767</v>
      </c>
    </row>
    <row r="1774" spans="1:6" ht="14.25" customHeight="1" x14ac:dyDescent="0.25">
      <c r="A1774" s="15" t="s">
        <v>1914</v>
      </c>
      <c r="B1774" s="27">
        <v>1208</v>
      </c>
      <c r="C1774" s="27">
        <v>234334</v>
      </c>
      <c r="D1774" s="28">
        <v>44774</v>
      </c>
      <c r="E1774" s="29">
        <v>21</v>
      </c>
      <c r="F1774" s="15" t="str">
        <f t="shared" si="27"/>
        <v>1208-234334-44774</v>
      </c>
    </row>
    <row r="1775" spans="1:6" ht="14.25" customHeight="1" x14ac:dyDescent="0.25">
      <c r="A1775" s="15" t="s">
        <v>1915</v>
      </c>
      <c r="B1775" s="27">
        <v>1208</v>
      </c>
      <c r="C1775" s="27">
        <v>234334</v>
      </c>
      <c r="D1775" s="28">
        <v>44781</v>
      </c>
      <c r="E1775" s="29">
        <v>-1</v>
      </c>
      <c r="F1775" s="15" t="str">
        <f t="shared" si="27"/>
        <v>1208-234334-44781</v>
      </c>
    </row>
    <row r="1776" spans="1:6" ht="14.25" customHeight="1" x14ac:dyDescent="0.25">
      <c r="A1776" s="15" t="s">
        <v>1916</v>
      </c>
      <c r="B1776" s="27">
        <v>1208</v>
      </c>
      <c r="C1776" s="27">
        <v>234334</v>
      </c>
      <c r="D1776" s="28">
        <v>44788</v>
      </c>
      <c r="E1776" s="29">
        <v>0</v>
      </c>
      <c r="F1776" s="15" t="str">
        <f t="shared" si="27"/>
        <v>1208-234334-44788</v>
      </c>
    </row>
    <row r="1777" spans="1:6" ht="14.25" customHeight="1" x14ac:dyDescent="0.25">
      <c r="A1777" s="15" t="s">
        <v>1917</v>
      </c>
      <c r="B1777" s="27">
        <v>1208</v>
      </c>
      <c r="C1777" s="27">
        <v>249444</v>
      </c>
      <c r="D1777" s="28">
        <v>44739</v>
      </c>
      <c r="E1777" s="29">
        <v>25</v>
      </c>
      <c r="F1777" s="15" t="str">
        <f t="shared" si="27"/>
        <v>1208-249444-44739</v>
      </c>
    </row>
    <row r="1778" spans="1:6" ht="14.25" customHeight="1" x14ac:dyDescent="0.25">
      <c r="A1778" s="15" t="s">
        <v>1918</v>
      </c>
      <c r="B1778" s="27">
        <v>1208</v>
      </c>
      <c r="C1778" s="27">
        <v>249444</v>
      </c>
      <c r="D1778" s="28">
        <v>44746</v>
      </c>
      <c r="E1778" s="29">
        <v>6</v>
      </c>
      <c r="F1778" s="15" t="str">
        <f t="shared" si="27"/>
        <v>1208-249444-44746</v>
      </c>
    </row>
    <row r="1779" spans="1:6" ht="14.25" customHeight="1" x14ac:dyDescent="0.25">
      <c r="A1779" s="15" t="s">
        <v>1919</v>
      </c>
      <c r="B1779" s="27">
        <v>1208</v>
      </c>
      <c r="C1779" s="27">
        <v>249444</v>
      </c>
      <c r="D1779" s="28">
        <v>44753</v>
      </c>
      <c r="E1779" s="29">
        <v>24</v>
      </c>
      <c r="F1779" s="15" t="str">
        <f t="shared" si="27"/>
        <v>1208-249444-44753</v>
      </c>
    </row>
    <row r="1780" spans="1:6" ht="14.25" customHeight="1" x14ac:dyDescent="0.25">
      <c r="A1780" s="15" t="s">
        <v>1920</v>
      </c>
      <c r="B1780" s="27">
        <v>1208</v>
      </c>
      <c r="C1780" s="27">
        <v>249444</v>
      </c>
      <c r="D1780" s="28">
        <v>44760</v>
      </c>
      <c r="E1780" s="29">
        <v>21</v>
      </c>
      <c r="F1780" s="15" t="str">
        <f t="shared" si="27"/>
        <v>1208-249444-44760</v>
      </c>
    </row>
    <row r="1781" spans="1:6" ht="14.25" customHeight="1" x14ac:dyDescent="0.25">
      <c r="A1781" s="15" t="s">
        <v>1921</v>
      </c>
      <c r="B1781" s="30">
        <v>1208</v>
      </c>
      <c r="C1781" s="27">
        <v>249444</v>
      </c>
      <c r="D1781" s="28">
        <v>44767</v>
      </c>
      <c r="E1781" s="29">
        <v>30</v>
      </c>
      <c r="F1781" s="15" t="str">
        <f t="shared" si="27"/>
        <v>1208-249444-44767</v>
      </c>
    </row>
    <row r="1782" spans="1:6" ht="14.25" customHeight="1" x14ac:dyDescent="0.25">
      <c r="A1782" s="15" t="s">
        <v>1922</v>
      </c>
      <c r="B1782" s="17">
        <v>1208</v>
      </c>
      <c r="C1782" s="17">
        <v>249444</v>
      </c>
      <c r="D1782" s="28">
        <v>44774</v>
      </c>
      <c r="E1782" s="17">
        <v>27</v>
      </c>
      <c r="F1782" s="15" t="str">
        <f t="shared" si="27"/>
        <v>1208-249444-44774</v>
      </c>
    </row>
    <row r="1783" spans="1:6" ht="14.25" customHeight="1" x14ac:dyDescent="0.25">
      <c r="A1783" s="15" t="s">
        <v>1923</v>
      </c>
      <c r="B1783" s="17">
        <v>1208</v>
      </c>
      <c r="C1783" s="17">
        <v>249444</v>
      </c>
      <c r="D1783" s="28">
        <v>44781</v>
      </c>
      <c r="E1783" s="17">
        <v>15</v>
      </c>
      <c r="F1783" s="15" t="str">
        <f t="shared" si="27"/>
        <v>1208-249444-44781</v>
      </c>
    </row>
    <row r="1784" spans="1:6" ht="14.25" customHeight="1" x14ac:dyDescent="0.25">
      <c r="A1784" s="15" t="s">
        <v>1924</v>
      </c>
      <c r="B1784" s="17">
        <v>1208</v>
      </c>
      <c r="C1784" s="17">
        <v>249444</v>
      </c>
      <c r="D1784" s="28">
        <v>44788</v>
      </c>
      <c r="E1784" s="17">
        <v>24</v>
      </c>
      <c r="F1784" s="15" t="str">
        <f t="shared" si="27"/>
        <v>1208-249444-44788</v>
      </c>
    </row>
    <row r="1785" spans="1:6" ht="14.25" customHeight="1" x14ac:dyDescent="0.25">
      <c r="A1785" s="15" t="s">
        <v>1925</v>
      </c>
      <c r="B1785" s="17">
        <v>1208</v>
      </c>
      <c r="C1785" s="17">
        <v>249795</v>
      </c>
      <c r="D1785" s="28">
        <v>44739</v>
      </c>
      <c r="E1785" s="17">
        <v>9</v>
      </c>
      <c r="F1785" s="15" t="str">
        <f t="shared" si="27"/>
        <v>1208-249795-44739</v>
      </c>
    </row>
    <row r="1786" spans="1:6" ht="14.25" customHeight="1" x14ac:dyDescent="0.25">
      <c r="A1786" s="15" t="s">
        <v>1926</v>
      </c>
      <c r="B1786" s="17">
        <v>1208</v>
      </c>
      <c r="C1786" s="17">
        <v>249795</v>
      </c>
      <c r="D1786" s="28">
        <v>44746</v>
      </c>
      <c r="E1786" s="17">
        <v>9</v>
      </c>
      <c r="F1786" s="15" t="str">
        <f t="shared" si="27"/>
        <v>1208-249795-44746</v>
      </c>
    </row>
    <row r="1787" spans="1:6" ht="14.25" customHeight="1" x14ac:dyDescent="0.25">
      <c r="A1787" s="15" t="s">
        <v>1927</v>
      </c>
      <c r="B1787" s="17">
        <v>1208</v>
      </c>
      <c r="C1787" s="17">
        <v>249795</v>
      </c>
      <c r="D1787" s="28">
        <v>44753</v>
      </c>
      <c r="E1787" s="17">
        <v>9</v>
      </c>
      <c r="F1787" s="15" t="str">
        <f t="shared" si="27"/>
        <v>1208-249795-44753</v>
      </c>
    </row>
    <row r="1788" spans="1:6" ht="14.25" customHeight="1" x14ac:dyDescent="0.25">
      <c r="A1788" s="15" t="s">
        <v>1928</v>
      </c>
      <c r="B1788" s="17">
        <v>1208</v>
      </c>
      <c r="C1788" s="17">
        <v>249795</v>
      </c>
      <c r="D1788" s="28">
        <v>44760</v>
      </c>
      <c r="E1788" s="17">
        <v>9</v>
      </c>
      <c r="F1788" s="15" t="str">
        <f t="shared" si="27"/>
        <v>1208-249795-44760</v>
      </c>
    </row>
    <row r="1789" spans="1:6" ht="14.25" customHeight="1" x14ac:dyDescent="0.25">
      <c r="A1789" s="15" t="s">
        <v>1929</v>
      </c>
      <c r="B1789" s="17">
        <v>1208</v>
      </c>
      <c r="C1789" s="17">
        <v>249795</v>
      </c>
      <c r="D1789" s="28">
        <v>44767</v>
      </c>
      <c r="E1789" s="17">
        <v>9</v>
      </c>
      <c r="F1789" s="15" t="str">
        <f t="shared" si="27"/>
        <v>1208-249795-44767</v>
      </c>
    </row>
    <row r="1790" spans="1:6" ht="14.25" customHeight="1" x14ac:dyDescent="0.25">
      <c r="A1790" s="15" t="s">
        <v>1930</v>
      </c>
      <c r="B1790" s="17">
        <v>1208</v>
      </c>
      <c r="C1790" s="17">
        <v>249795</v>
      </c>
      <c r="D1790" s="28">
        <v>44774</v>
      </c>
      <c r="E1790" s="17">
        <v>9</v>
      </c>
      <c r="F1790" s="15" t="str">
        <f t="shared" si="27"/>
        <v>1208-249795-44774</v>
      </c>
    </row>
    <row r="1791" spans="1:6" ht="14.25" customHeight="1" x14ac:dyDescent="0.25">
      <c r="A1791" s="15" t="s">
        <v>1931</v>
      </c>
      <c r="B1791" s="17">
        <v>1208</v>
      </c>
      <c r="C1791" s="17">
        <v>249795</v>
      </c>
      <c r="D1791" s="28">
        <v>44781</v>
      </c>
      <c r="E1791" s="17">
        <v>9</v>
      </c>
      <c r="F1791" s="15" t="str">
        <f t="shared" si="27"/>
        <v>1208-249795-44781</v>
      </c>
    </row>
    <row r="1792" spans="1:6" ht="14.25" customHeight="1" x14ac:dyDescent="0.25">
      <c r="A1792" s="15" t="s">
        <v>1932</v>
      </c>
      <c r="B1792" s="17">
        <v>1208</v>
      </c>
      <c r="C1792" s="17">
        <v>249795</v>
      </c>
      <c r="D1792" s="28">
        <v>44788</v>
      </c>
      <c r="E1792" s="17">
        <v>9</v>
      </c>
      <c r="F1792" s="15" t="str">
        <f t="shared" si="27"/>
        <v>1208-249795-44788</v>
      </c>
    </row>
    <row r="1793" spans="1:6" ht="14.25" customHeight="1" x14ac:dyDescent="0.25">
      <c r="A1793" s="15" t="s">
        <v>1933</v>
      </c>
      <c r="B1793" s="17">
        <v>1208</v>
      </c>
      <c r="C1793" s="17">
        <v>250979</v>
      </c>
      <c r="D1793" s="28">
        <v>44739</v>
      </c>
      <c r="E1793" s="17">
        <v>3</v>
      </c>
      <c r="F1793" s="15" t="str">
        <f t="shared" si="27"/>
        <v>1208-250979-44739</v>
      </c>
    </row>
    <row r="1794" spans="1:6" ht="14.25" customHeight="1" x14ac:dyDescent="0.25">
      <c r="A1794" s="15" t="s">
        <v>1934</v>
      </c>
      <c r="B1794" s="17">
        <v>1208</v>
      </c>
      <c r="C1794" s="17">
        <v>250979</v>
      </c>
      <c r="D1794" s="28">
        <v>44746</v>
      </c>
      <c r="E1794" s="17">
        <v>3</v>
      </c>
      <c r="F1794" s="15" t="str">
        <f t="shared" si="27"/>
        <v>1208-250979-44746</v>
      </c>
    </row>
    <row r="1795" spans="1:6" ht="14.25" customHeight="1" x14ac:dyDescent="0.25">
      <c r="A1795" s="15" t="s">
        <v>1935</v>
      </c>
      <c r="B1795" s="17">
        <v>1208</v>
      </c>
      <c r="C1795" s="17">
        <v>250979</v>
      </c>
      <c r="D1795" s="28">
        <v>44753</v>
      </c>
      <c r="E1795" s="17">
        <v>3</v>
      </c>
      <c r="F1795" s="15" t="str">
        <f t="shared" ref="F1795:F1858" si="28">B1795&amp;"-"&amp;C1795&amp;"-"&amp;INT(D1795)</f>
        <v>1208-250979-44753</v>
      </c>
    </row>
    <row r="1796" spans="1:6" ht="14.25" customHeight="1" x14ac:dyDescent="0.25">
      <c r="A1796" s="15" t="s">
        <v>1936</v>
      </c>
      <c r="B1796" s="17">
        <v>1208</v>
      </c>
      <c r="C1796" s="17">
        <v>250979</v>
      </c>
      <c r="D1796" s="28">
        <v>44760</v>
      </c>
      <c r="E1796" s="17">
        <v>3</v>
      </c>
      <c r="F1796" s="15" t="str">
        <f t="shared" si="28"/>
        <v>1208-250979-44760</v>
      </c>
    </row>
    <row r="1797" spans="1:6" ht="14.25" customHeight="1" x14ac:dyDescent="0.25">
      <c r="A1797" s="15" t="s">
        <v>1937</v>
      </c>
      <c r="B1797" s="17">
        <v>1208</v>
      </c>
      <c r="C1797" s="17">
        <v>250979</v>
      </c>
      <c r="D1797" s="28">
        <v>44767</v>
      </c>
      <c r="E1797" s="17">
        <v>3</v>
      </c>
      <c r="F1797" s="15" t="str">
        <f t="shared" si="28"/>
        <v>1208-250979-44767</v>
      </c>
    </row>
    <row r="1798" spans="1:6" ht="14.25" customHeight="1" x14ac:dyDescent="0.25">
      <c r="A1798" s="15" t="s">
        <v>1938</v>
      </c>
      <c r="B1798" s="17">
        <v>1208</v>
      </c>
      <c r="C1798" s="17">
        <v>250979</v>
      </c>
      <c r="D1798" s="28">
        <v>44774</v>
      </c>
      <c r="E1798" s="17">
        <v>3</v>
      </c>
      <c r="F1798" s="15" t="str">
        <f t="shared" si="28"/>
        <v>1208-250979-44774</v>
      </c>
    </row>
    <row r="1799" spans="1:6" ht="14.25" customHeight="1" x14ac:dyDescent="0.25">
      <c r="A1799" s="15" t="s">
        <v>1939</v>
      </c>
      <c r="B1799" s="17">
        <v>1208</v>
      </c>
      <c r="C1799" s="17">
        <v>250979</v>
      </c>
      <c r="D1799" s="28">
        <v>44781</v>
      </c>
      <c r="E1799" s="17">
        <v>3</v>
      </c>
      <c r="F1799" s="15" t="str">
        <f t="shared" si="28"/>
        <v>1208-250979-44781</v>
      </c>
    </row>
    <row r="1800" spans="1:6" ht="14.25" customHeight="1" x14ac:dyDescent="0.25">
      <c r="A1800" s="15" t="s">
        <v>1940</v>
      </c>
      <c r="B1800" s="17">
        <v>1208</v>
      </c>
      <c r="C1800" s="17">
        <v>250979</v>
      </c>
      <c r="D1800" s="28">
        <v>44788</v>
      </c>
      <c r="E1800" s="17">
        <v>3</v>
      </c>
      <c r="F1800" s="15" t="str">
        <f t="shared" si="28"/>
        <v>1208-250979-44788</v>
      </c>
    </row>
    <row r="1801" spans="1:6" ht="14.25" customHeight="1" x14ac:dyDescent="0.25">
      <c r="A1801" s="15" t="s">
        <v>1941</v>
      </c>
      <c r="B1801" s="17">
        <v>1208</v>
      </c>
      <c r="C1801" s="17">
        <v>250981</v>
      </c>
      <c r="D1801" s="28">
        <v>44739</v>
      </c>
      <c r="E1801" s="17">
        <v>15</v>
      </c>
      <c r="F1801" s="15" t="str">
        <f t="shared" si="28"/>
        <v>1208-250981-44739</v>
      </c>
    </row>
    <row r="1802" spans="1:6" ht="14.25" customHeight="1" x14ac:dyDescent="0.25">
      <c r="A1802" s="15" t="s">
        <v>1942</v>
      </c>
      <c r="B1802" s="17">
        <v>1208</v>
      </c>
      <c r="C1802" s="17">
        <v>250981</v>
      </c>
      <c r="D1802" s="28">
        <v>44746</v>
      </c>
      <c r="E1802" s="17">
        <v>9</v>
      </c>
      <c r="F1802" s="15" t="str">
        <f t="shared" si="28"/>
        <v>1208-250981-44746</v>
      </c>
    </row>
    <row r="1803" spans="1:6" ht="14.25" customHeight="1" x14ac:dyDescent="0.25">
      <c r="A1803" s="15" t="s">
        <v>1943</v>
      </c>
      <c r="B1803" s="17">
        <v>1208</v>
      </c>
      <c r="C1803" s="17">
        <v>250981</v>
      </c>
      <c r="D1803" s="28">
        <v>44753</v>
      </c>
      <c r="E1803" s="17">
        <v>16</v>
      </c>
      <c r="F1803" s="15" t="str">
        <f t="shared" si="28"/>
        <v>1208-250981-44753</v>
      </c>
    </row>
    <row r="1804" spans="1:6" ht="14.25" customHeight="1" x14ac:dyDescent="0.25">
      <c r="A1804" s="15" t="s">
        <v>1944</v>
      </c>
      <c r="B1804" s="17">
        <v>1208</v>
      </c>
      <c r="C1804" s="17">
        <v>250981</v>
      </c>
      <c r="D1804" s="28">
        <v>44760</v>
      </c>
      <c r="E1804" s="17">
        <v>15</v>
      </c>
      <c r="F1804" s="15" t="str">
        <f t="shared" si="28"/>
        <v>1208-250981-44760</v>
      </c>
    </row>
    <row r="1805" spans="1:6" ht="14.25" customHeight="1" x14ac:dyDescent="0.25">
      <c r="A1805" s="15" t="s">
        <v>1945</v>
      </c>
      <c r="B1805" s="17">
        <v>1208</v>
      </c>
      <c r="C1805" s="17">
        <v>250981</v>
      </c>
      <c r="D1805" s="28">
        <v>44767</v>
      </c>
      <c r="E1805" s="17">
        <v>16</v>
      </c>
      <c r="F1805" s="15" t="str">
        <f t="shared" si="28"/>
        <v>1208-250981-44767</v>
      </c>
    </row>
    <row r="1806" spans="1:6" ht="14.25" customHeight="1" x14ac:dyDescent="0.25">
      <c r="A1806" s="15" t="s">
        <v>1946</v>
      </c>
      <c r="B1806" s="17">
        <v>1208</v>
      </c>
      <c r="C1806" s="17">
        <v>250981</v>
      </c>
      <c r="D1806" s="28">
        <v>44774</v>
      </c>
      <c r="E1806" s="17">
        <v>9</v>
      </c>
      <c r="F1806" s="15" t="str">
        <f t="shared" si="28"/>
        <v>1208-250981-44774</v>
      </c>
    </row>
    <row r="1807" spans="1:6" ht="14.25" customHeight="1" x14ac:dyDescent="0.25">
      <c r="A1807" s="15" t="s">
        <v>1947</v>
      </c>
      <c r="B1807" s="17">
        <v>1208</v>
      </c>
      <c r="C1807" s="17">
        <v>250981</v>
      </c>
      <c r="D1807" s="28">
        <v>44781</v>
      </c>
      <c r="E1807" s="17">
        <v>2</v>
      </c>
      <c r="F1807" s="15" t="str">
        <f t="shared" si="28"/>
        <v>1208-250981-44781</v>
      </c>
    </row>
    <row r="1808" spans="1:6" ht="14.25" customHeight="1" x14ac:dyDescent="0.25">
      <c r="A1808" s="15" t="s">
        <v>1948</v>
      </c>
      <c r="B1808" s="17">
        <v>1208</v>
      </c>
      <c r="C1808" s="17">
        <v>250981</v>
      </c>
      <c r="D1808" s="28">
        <v>44788</v>
      </c>
      <c r="E1808" s="17">
        <v>14</v>
      </c>
      <c r="F1808" s="15" t="str">
        <f t="shared" si="28"/>
        <v>1208-250981-44788</v>
      </c>
    </row>
    <row r="1809" spans="1:6" ht="14.25" customHeight="1" x14ac:dyDescent="0.25">
      <c r="A1809" s="15" t="s">
        <v>1949</v>
      </c>
      <c r="B1809" s="17">
        <v>1208</v>
      </c>
      <c r="C1809" s="17">
        <v>262294</v>
      </c>
      <c r="D1809" s="28">
        <v>44739</v>
      </c>
      <c r="E1809" s="17">
        <v>9</v>
      </c>
      <c r="F1809" s="15" t="str">
        <f t="shared" si="28"/>
        <v>1208-262294-44739</v>
      </c>
    </row>
    <row r="1810" spans="1:6" ht="14.25" customHeight="1" x14ac:dyDescent="0.25">
      <c r="A1810" s="15" t="s">
        <v>1950</v>
      </c>
      <c r="B1810" s="17">
        <v>1208</v>
      </c>
      <c r="C1810" s="17">
        <v>262294</v>
      </c>
      <c r="D1810" s="28">
        <v>44746</v>
      </c>
      <c r="E1810" s="17">
        <v>9</v>
      </c>
      <c r="F1810" s="15" t="str">
        <f t="shared" si="28"/>
        <v>1208-262294-44746</v>
      </c>
    </row>
    <row r="1811" spans="1:6" ht="14.25" customHeight="1" x14ac:dyDescent="0.25">
      <c r="A1811" s="15" t="s">
        <v>1951</v>
      </c>
      <c r="B1811" s="17">
        <v>1208</v>
      </c>
      <c r="C1811" s="17">
        <v>262294</v>
      </c>
      <c r="D1811" s="28">
        <v>44753</v>
      </c>
      <c r="E1811" s="17">
        <v>9</v>
      </c>
      <c r="F1811" s="15" t="str">
        <f t="shared" si="28"/>
        <v>1208-262294-44753</v>
      </c>
    </row>
    <row r="1812" spans="1:6" ht="14.25" customHeight="1" x14ac:dyDescent="0.25">
      <c r="A1812" s="15" t="s">
        <v>1952</v>
      </c>
      <c r="B1812" s="17">
        <v>1208</v>
      </c>
      <c r="C1812" s="17">
        <v>262294</v>
      </c>
      <c r="D1812" s="28">
        <v>44760</v>
      </c>
      <c r="E1812" s="17">
        <v>9</v>
      </c>
      <c r="F1812" s="15" t="str">
        <f t="shared" si="28"/>
        <v>1208-262294-44760</v>
      </c>
    </row>
    <row r="1813" spans="1:6" ht="14.25" customHeight="1" x14ac:dyDescent="0.25">
      <c r="A1813" s="15" t="s">
        <v>1953</v>
      </c>
      <c r="B1813" s="17">
        <v>1208</v>
      </c>
      <c r="C1813" s="17">
        <v>262294</v>
      </c>
      <c r="D1813" s="28">
        <v>44767</v>
      </c>
      <c r="E1813" s="17">
        <v>9</v>
      </c>
      <c r="F1813" s="15" t="str">
        <f t="shared" si="28"/>
        <v>1208-262294-44767</v>
      </c>
    </row>
    <row r="1814" spans="1:6" ht="14.25" customHeight="1" x14ac:dyDescent="0.25">
      <c r="A1814" s="15" t="s">
        <v>1954</v>
      </c>
      <c r="B1814" s="17">
        <v>1208</v>
      </c>
      <c r="C1814" s="17">
        <v>262294</v>
      </c>
      <c r="D1814" s="28">
        <v>44774</v>
      </c>
      <c r="E1814" s="17">
        <v>9</v>
      </c>
      <c r="F1814" s="15" t="str">
        <f t="shared" si="28"/>
        <v>1208-262294-44774</v>
      </c>
    </row>
    <row r="1815" spans="1:6" ht="14.25" customHeight="1" x14ac:dyDescent="0.25">
      <c r="A1815" s="15" t="s">
        <v>1955</v>
      </c>
      <c r="B1815" s="17">
        <v>1208</v>
      </c>
      <c r="C1815" s="17">
        <v>262294</v>
      </c>
      <c r="D1815" s="28">
        <v>44781</v>
      </c>
      <c r="E1815" s="17">
        <v>9</v>
      </c>
      <c r="F1815" s="15" t="str">
        <f t="shared" si="28"/>
        <v>1208-262294-44781</v>
      </c>
    </row>
    <row r="1816" spans="1:6" ht="14.25" customHeight="1" x14ac:dyDescent="0.25">
      <c r="A1816" s="15" t="s">
        <v>1956</v>
      </c>
      <c r="B1816" s="17">
        <v>1208</v>
      </c>
      <c r="C1816" s="17">
        <v>262294</v>
      </c>
      <c r="D1816" s="28">
        <v>44788</v>
      </c>
      <c r="E1816" s="17">
        <v>9</v>
      </c>
      <c r="F1816" s="15" t="str">
        <f t="shared" si="28"/>
        <v>1208-262294-44788</v>
      </c>
    </row>
    <row r="1817" spans="1:6" ht="14.25" customHeight="1" x14ac:dyDescent="0.25">
      <c r="A1817" s="15" t="s">
        <v>1957</v>
      </c>
      <c r="B1817" s="17">
        <v>1208</v>
      </c>
      <c r="C1817" s="17">
        <v>291726</v>
      </c>
      <c r="D1817" s="28">
        <v>44739</v>
      </c>
      <c r="E1817" s="17">
        <v>9</v>
      </c>
      <c r="F1817" s="15" t="str">
        <f t="shared" si="28"/>
        <v>1208-291726-44739</v>
      </c>
    </row>
    <row r="1818" spans="1:6" ht="14.25" customHeight="1" x14ac:dyDescent="0.25">
      <c r="A1818" s="15" t="s">
        <v>1958</v>
      </c>
      <c r="B1818" s="17">
        <v>1208</v>
      </c>
      <c r="C1818" s="17">
        <v>291726</v>
      </c>
      <c r="D1818" s="28">
        <v>44746</v>
      </c>
      <c r="E1818" s="17">
        <v>9</v>
      </c>
      <c r="F1818" s="15" t="str">
        <f t="shared" si="28"/>
        <v>1208-291726-44746</v>
      </c>
    </row>
    <row r="1819" spans="1:6" ht="14.25" customHeight="1" x14ac:dyDescent="0.25">
      <c r="A1819" s="15" t="s">
        <v>1959</v>
      </c>
      <c r="B1819" s="17">
        <v>1208</v>
      </c>
      <c r="C1819" s="17">
        <v>291726</v>
      </c>
      <c r="D1819" s="28">
        <v>44753</v>
      </c>
      <c r="E1819" s="17">
        <v>9</v>
      </c>
      <c r="F1819" s="15" t="str">
        <f t="shared" si="28"/>
        <v>1208-291726-44753</v>
      </c>
    </row>
    <row r="1820" spans="1:6" ht="14.25" customHeight="1" x14ac:dyDescent="0.25">
      <c r="A1820" s="15" t="s">
        <v>1960</v>
      </c>
      <c r="B1820" s="17">
        <v>1208</v>
      </c>
      <c r="C1820" s="17">
        <v>291726</v>
      </c>
      <c r="D1820" s="28">
        <v>44760</v>
      </c>
      <c r="E1820" s="17">
        <v>9</v>
      </c>
      <c r="F1820" s="15" t="str">
        <f t="shared" si="28"/>
        <v>1208-291726-44760</v>
      </c>
    </row>
    <row r="1821" spans="1:6" ht="14.25" customHeight="1" x14ac:dyDescent="0.25">
      <c r="A1821" s="15" t="s">
        <v>1961</v>
      </c>
      <c r="B1821" s="17">
        <v>1208</v>
      </c>
      <c r="C1821" s="17">
        <v>291726</v>
      </c>
      <c r="D1821" s="28">
        <v>44767</v>
      </c>
      <c r="E1821" s="17">
        <v>9</v>
      </c>
      <c r="F1821" s="15" t="str">
        <f t="shared" si="28"/>
        <v>1208-291726-44767</v>
      </c>
    </row>
    <row r="1822" spans="1:6" ht="14.25" customHeight="1" x14ac:dyDescent="0.25">
      <c r="A1822" s="15" t="s">
        <v>1962</v>
      </c>
      <c r="B1822" s="17">
        <v>1208</v>
      </c>
      <c r="C1822" s="17">
        <v>291726</v>
      </c>
      <c r="D1822" s="28">
        <v>44774</v>
      </c>
      <c r="E1822" s="17">
        <v>9</v>
      </c>
      <c r="F1822" s="15" t="str">
        <f t="shared" si="28"/>
        <v>1208-291726-44774</v>
      </c>
    </row>
    <row r="1823" spans="1:6" ht="14.25" customHeight="1" x14ac:dyDescent="0.25">
      <c r="A1823" s="15" t="s">
        <v>1963</v>
      </c>
      <c r="B1823" s="17">
        <v>1208</v>
      </c>
      <c r="C1823" s="17">
        <v>291726</v>
      </c>
      <c r="D1823" s="28">
        <v>44781</v>
      </c>
      <c r="E1823" s="17">
        <v>9</v>
      </c>
      <c r="F1823" s="15" t="str">
        <f t="shared" si="28"/>
        <v>1208-291726-44781</v>
      </c>
    </row>
    <row r="1824" spans="1:6" ht="14.25" customHeight="1" x14ac:dyDescent="0.25">
      <c r="A1824" s="15" t="s">
        <v>1964</v>
      </c>
      <c r="B1824" s="17">
        <v>1208</v>
      </c>
      <c r="C1824" s="17">
        <v>291726</v>
      </c>
      <c r="D1824" s="28">
        <v>44788</v>
      </c>
      <c r="E1824" s="17">
        <v>9</v>
      </c>
      <c r="F1824" s="15" t="str">
        <f t="shared" si="28"/>
        <v>1208-291726-44788</v>
      </c>
    </row>
    <row r="1825" spans="1:6" ht="14.25" customHeight="1" x14ac:dyDescent="0.25">
      <c r="A1825" s="15" t="s">
        <v>1965</v>
      </c>
      <c r="B1825" s="17">
        <v>1208</v>
      </c>
      <c r="C1825" s="17">
        <v>291728</v>
      </c>
      <c r="D1825" s="28">
        <v>44739</v>
      </c>
      <c r="E1825" s="17">
        <v>6</v>
      </c>
      <c r="F1825" s="15" t="str">
        <f t="shared" si="28"/>
        <v>1208-291728-44739</v>
      </c>
    </row>
    <row r="1826" spans="1:6" ht="14.25" customHeight="1" x14ac:dyDescent="0.25">
      <c r="A1826" s="15" t="s">
        <v>1966</v>
      </c>
      <c r="B1826" s="17">
        <v>1208</v>
      </c>
      <c r="C1826" s="17">
        <v>291728</v>
      </c>
      <c r="D1826" s="28">
        <v>44746</v>
      </c>
      <c r="E1826" s="17">
        <v>6</v>
      </c>
      <c r="F1826" s="15" t="str">
        <f t="shared" si="28"/>
        <v>1208-291728-44746</v>
      </c>
    </row>
    <row r="1827" spans="1:6" ht="14.25" customHeight="1" x14ac:dyDescent="0.25">
      <c r="A1827" s="15" t="s">
        <v>1967</v>
      </c>
      <c r="B1827" s="17">
        <v>1208</v>
      </c>
      <c r="C1827" s="17">
        <v>291728</v>
      </c>
      <c r="D1827" s="28">
        <v>44753</v>
      </c>
      <c r="E1827" s="17">
        <v>6</v>
      </c>
      <c r="F1827" s="15" t="str">
        <f t="shared" si="28"/>
        <v>1208-291728-44753</v>
      </c>
    </row>
    <row r="1828" spans="1:6" ht="14.25" customHeight="1" x14ac:dyDescent="0.25">
      <c r="A1828" s="15" t="s">
        <v>1968</v>
      </c>
      <c r="B1828" s="17">
        <v>1208</v>
      </c>
      <c r="C1828" s="17">
        <v>291728</v>
      </c>
      <c r="D1828" s="28">
        <v>44760</v>
      </c>
      <c r="E1828" s="17">
        <v>6</v>
      </c>
      <c r="F1828" s="15" t="str">
        <f t="shared" si="28"/>
        <v>1208-291728-44760</v>
      </c>
    </row>
    <row r="1829" spans="1:6" ht="14.25" customHeight="1" x14ac:dyDescent="0.25">
      <c r="A1829" s="15" t="s">
        <v>1969</v>
      </c>
      <c r="B1829" s="17">
        <v>1208</v>
      </c>
      <c r="C1829" s="17">
        <v>291728</v>
      </c>
      <c r="D1829" s="28">
        <v>44767</v>
      </c>
      <c r="E1829" s="17">
        <v>6</v>
      </c>
      <c r="F1829" s="15" t="str">
        <f t="shared" si="28"/>
        <v>1208-291728-44767</v>
      </c>
    </row>
    <row r="1830" spans="1:6" ht="14.25" customHeight="1" x14ac:dyDescent="0.25">
      <c r="A1830" s="15" t="s">
        <v>1970</v>
      </c>
      <c r="B1830" s="17">
        <v>1208</v>
      </c>
      <c r="C1830" s="17">
        <v>291728</v>
      </c>
      <c r="D1830" s="28">
        <v>44774</v>
      </c>
      <c r="E1830" s="17">
        <v>6</v>
      </c>
      <c r="F1830" s="15" t="str">
        <f t="shared" si="28"/>
        <v>1208-291728-44774</v>
      </c>
    </row>
    <row r="1831" spans="1:6" ht="14.25" customHeight="1" x14ac:dyDescent="0.25">
      <c r="A1831" s="15" t="s">
        <v>1971</v>
      </c>
      <c r="B1831" s="17">
        <v>1208</v>
      </c>
      <c r="C1831" s="17">
        <v>291728</v>
      </c>
      <c r="D1831" s="28">
        <v>44781</v>
      </c>
      <c r="E1831" s="17">
        <v>6</v>
      </c>
      <c r="F1831" s="15" t="str">
        <f t="shared" si="28"/>
        <v>1208-291728-44781</v>
      </c>
    </row>
    <row r="1832" spans="1:6" ht="14.25" customHeight="1" x14ac:dyDescent="0.25">
      <c r="A1832" s="15" t="s">
        <v>1972</v>
      </c>
      <c r="B1832" s="17">
        <v>1208</v>
      </c>
      <c r="C1832" s="17">
        <v>291728</v>
      </c>
      <c r="D1832" s="28">
        <v>44788</v>
      </c>
      <c r="E1832" s="17">
        <v>6</v>
      </c>
      <c r="F1832" s="15" t="str">
        <f t="shared" si="28"/>
        <v>1208-291728-44788</v>
      </c>
    </row>
    <row r="1833" spans="1:6" ht="14.25" customHeight="1" x14ac:dyDescent="0.25">
      <c r="A1833" s="15" t="s">
        <v>1973</v>
      </c>
      <c r="B1833" s="17">
        <v>1209</v>
      </c>
      <c r="C1833" s="17">
        <v>23393</v>
      </c>
      <c r="D1833" s="28">
        <v>32874</v>
      </c>
      <c r="E1833" s="17">
        <v>112</v>
      </c>
      <c r="F1833" s="15" t="str">
        <f t="shared" si="28"/>
        <v>1209-23393-32874</v>
      </c>
    </row>
    <row r="1834" spans="1:6" ht="14.25" customHeight="1" x14ac:dyDescent="0.25">
      <c r="A1834" s="15" t="s">
        <v>1974</v>
      </c>
      <c r="B1834" s="17">
        <v>1209</v>
      </c>
      <c r="C1834" s="17">
        <v>23393</v>
      </c>
      <c r="D1834" s="28">
        <v>44739</v>
      </c>
      <c r="E1834" s="17">
        <v>103</v>
      </c>
      <c r="F1834" s="15" t="str">
        <f t="shared" si="28"/>
        <v>1209-23393-44739</v>
      </c>
    </row>
    <row r="1835" spans="1:6" ht="14.25" customHeight="1" x14ac:dyDescent="0.25">
      <c r="A1835" s="15" t="s">
        <v>1975</v>
      </c>
      <c r="B1835" s="17">
        <v>1209</v>
      </c>
      <c r="C1835" s="17">
        <v>23393</v>
      </c>
      <c r="D1835" s="28">
        <v>44746</v>
      </c>
      <c r="E1835" s="17">
        <v>109</v>
      </c>
      <c r="F1835" s="15" t="str">
        <f t="shared" si="28"/>
        <v>1209-23393-44746</v>
      </c>
    </row>
    <row r="1836" spans="1:6" ht="14.25" customHeight="1" x14ac:dyDescent="0.25">
      <c r="A1836" s="15" t="s">
        <v>1976</v>
      </c>
      <c r="B1836" s="17">
        <v>1209</v>
      </c>
      <c r="C1836" s="17">
        <v>23393</v>
      </c>
      <c r="D1836" s="28">
        <v>44753</v>
      </c>
      <c r="E1836" s="17">
        <v>110</v>
      </c>
      <c r="F1836" s="15" t="str">
        <f t="shared" si="28"/>
        <v>1209-23393-44753</v>
      </c>
    </row>
    <row r="1837" spans="1:6" ht="14.25" customHeight="1" x14ac:dyDescent="0.25">
      <c r="A1837" s="15" t="s">
        <v>1977</v>
      </c>
      <c r="B1837" s="17">
        <v>1209</v>
      </c>
      <c r="C1837" s="17">
        <v>23393</v>
      </c>
      <c r="D1837" s="28">
        <v>44760</v>
      </c>
      <c r="E1837" s="17">
        <v>90</v>
      </c>
      <c r="F1837" s="15" t="str">
        <f t="shared" si="28"/>
        <v>1209-23393-44760</v>
      </c>
    </row>
    <row r="1838" spans="1:6" ht="14.25" customHeight="1" x14ac:dyDescent="0.25">
      <c r="A1838" s="15" t="s">
        <v>1978</v>
      </c>
      <c r="B1838" s="17">
        <v>1209</v>
      </c>
      <c r="C1838" s="17">
        <v>23393</v>
      </c>
      <c r="D1838" s="28">
        <v>44767</v>
      </c>
      <c r="E1838" s="17">
        <v>72</v>
      </c>
      <c r="F1838" s="15" t="str">
        <f t="shared" si="28"/>
        <v>1209-23393-44767</v>
      </c>
    </row>
    <row r="1839" spans="1:6" ht="14.25" customHeight="1" x14ac:dyDescent="0.25">
      <c r="A1839" s="15" t="s">
        <v>1979</v>
      </c>
      <c r="B1839" s="17">
        <v>1209</v>
      </c>
      <c r="C1839" s="17">
        <v>23393</v>
      </c>
      <c r="D1839" s="28">
        <v>44774</v>
      </c>
      <c r="E1839" s="17">
        <v>106</v>
      </c>
      <c r="F1839" s="15" t="str">
        <f t="shared" si="28"/>
        <v>1209-23393-44774</v>
      </c>
    </row>
    <row r="1840" spans="1:6" ht="14.25" customHeight="1" x14ac:dyDescent="0.25">
      <c r="A1840" s="15" t="s">
        <v>1980</v>
      </c>
      <c r="B1840" s="17">
        <v>1209</v>
      </c>
      <c r="C1840" s="17">
        <v>23393</v>
      </c>
      <c r="D1840" s="28">
        <v>44781</v>
      </c>
      <c r="E1840" s="17">
        <v>98</v>
      </c>
      <c r="F1840" s="15" t="str">
        <f t="shared" si="28"/>
        <v>1209-23393-44781</v>
      </c>
    </row>
    <row r="1841" spans="1:6" ht="14.25" customHeight="1" x14ac:dyDescent="0.25">
      <c r="A1841" s="15" t="s">
        <v>1981</v>
      </c>
      <c r="B1841" s="17">
        <v>1209</v>
      </c>
      <c r="C1841" s="17">
        <v>23393</v>
      </c>
      <c r="D1841" s="28">
        <v>44788</v>
      </c>
      <c r="E1841" s="17">
        <v>79</v>
      </c>
      <c r="F1841" s="15" t="str">
        <f t="shared" si="28"/>
        <v>1209-23393-44788</v>
      </c>
    </row>
    <row r="1842" spans="1:6" ht="14.25" customHeight="1" x14ac:dyDescent="0.25">
      <c r="A1842" s="15" t="s">
        <v>1982</v>
      </c>
      <c r="B1842" s="17">
        <v>1209</v>
      </c>
      <c r="C1842" s="17">
        <v>26764</v>
      </c>
      <c r="D1842" s="28">
        <v>44739</v>
      </c>
      <c r="E1842" s="17">
        <v>12</v>
      </c>
      <c r="F1842" s="15" t="str">
        <f t="shared" si="28"/>
        <v>1209-26764-44739</v>
      </c>
    </row>
    <row r="1843" spans="1:6" ht="14.25" customHeight="1" x14ac:dyDescent="0.25">
      <c r="A1843" s="15" t="s">
        <v>1983</v>
      </c>
      <c r="B1843" s="17">
        <v>1209</v>
      </c>
      <c r="C1843" s="17">
        <v>26764</v>
      </c>
      <c r="D1843" s="28">
        <v>44746</v>
      </c>
      <c r="E1843" s="17">
        <v>6</v>
      </c>
      <c r="F1843" s="15" t="str">
        <f t="shared" si="28"/>
        <v>1209-26764-44746</v>
      </c>
    </row>
    <row r="1844" spans="1:6" ht="14.25" customHeight="1" x14ac:dyDescent="0.25">
      <c r="A1844" s="15" t="s">
        <v>1984</v>
      </c>
      <c r="B1844" s="17">
        <v>1209</v>
      </c>
      <c r="C1844" s="17">
        <v>26764</v>
      </c>
      <c r="D1844" s="28">
        <v>44753</v>
      </c>
      <c r="E1844" s="17">
        <v>7</v>
      </c>
      <c r="F1844" s="15" t="str">
        <f t="shared" si="28"/>
        <v>1209-26764-44753</v>
      </c>
    </row>
    <row r="1845" spans="1:6" ht="14.25" customHeight="1" x14ac:dyDescent="0.25">
      <c r="A1845" s="15" t="s">
        <v>1985</v>
      </c>
      <c r="B1845" s="17">
        <v>1209</v>
      </c>
      <c r="C1845" s="17">
        <v>26764</v>
      </c>
      <c r="D1845" s="28">
        <v>44760</v>
      </c>
      <c r="E1845" s="17">
        <v>22</v>
      </c>
      <c r="F1845" s="15" t="str">
        <f t="shared" si="28"/>
        <v>1209-26764-44760</v>
      </c>
    </row>
    <row r="1846" spans="1:6" ht="14.25" customHeight="1" x14ac:dyDescent="0.25">
      <c r="A1846" s="15" t="s">
        <v>1986</v>
      </c>
      <c r="B1846" s="17">
        <v>1209</v>
      </c>
      <c r="C1846" s="17">
        <v>26764</v>
      </c>
      <c r="D1846" s="28">
        <v>44767</v>
      </c>
      <c r="E1846" s="17">
        <v>36</v>
      </c>
      <c r="F1846" s="15" t="str">
        <f t="shared" si="28"/>
        <v>1209-26764-44767</v>
      </c>
    </row>
    <row r="1847" spans="1:6" ht="14.25" customHeight="1" x14ac:dyDescent="0.25">
      <c r="A1847" s="15" t="s">
        <v>1987</v>
      </c>
      <c r="B1847" s="17">
        <v>1209</v>
      </c>
      <c r="C1847" s="17">
        <v>26764</v>
      </c>
      <c r="D1847" s="28">
        <v>44774</v>
      </c>
      <c r="E1847" s="17">
        <v>30</v>
      </c>
      <c r="F1847" s="15" t="str">
        <f t="shared" si="28"/>
        <v>1209-26764-44774</v>
      </c>
    </row>
    <row r="1848" spans="1:6" ht="14.25" customHeight="1" x14ac:dyDescent="0.25">
      <c r="A1848" s="15" t="s">
        <v>1988</v>
      </c>
      <c r="B1848" s="17">
        <v>1209</v>
      </c>
      <c r="C1848" s="17">
        <v>26764</v>
      </c>
      <c r="D1848" s="28">
        <v>44781</v>
      </c>
      <c r="E1848" s="17">
        <v>26</v>
      </c>
      <c r="F1848" s="15" t="str">
        <f t="shared" si="28"/>
        <v>1209-26764-44781</v>
      </c>
    </row>
    <row r="1849" spans="1:6" ht="14.25" customHeight="1" x14ac:dyDescent="0.25">
      <c r="A1849" s="15" t="s">
        <v>1989</v>
      </c>
      <c r="B1849" s="17">
        <v>1209</v>
      </c>
      <c r="C1849" s="17">
        <v>26764</v>
      </c>
      <c r="D1849" s="28">
        <v>44788</v>
      </c>
      <c r="E1849" s="17">
        <v>22</v>
      </c>
      <c r="F1849" s="15" t="str">
        <f t="shared" si="28"/>
        <v>1209-26764-44788</v>
      </c>
    </row>
    <row r="1850" spans="1:6" ht="14.25" customHeight="1" x14ac:dyDescent="0.25">
      <c r="A1850" s="15" t="s">
        <v>1990</v>
      </c>
      <c r="B1850" s="17">
        <v>1209</v>
      </c>
      <c r="C1850" s="17">
        <v>53934</v>
      </c>
      <c r="D1850" s="28">
        <v>44739</v>
      </c>
      <c r="E1850" s="17">
        <v>12</v>
      </c>
      <c r="F1850" s="15" t="str">
        <f t="shared" si="28"/>
        <v>1209-53934-44739</v>
      </c>
    </row>
    <row r="1851" spans="1:6" ht="14.25" customHeight="1" x14ac:dyDescent="0.25">
      <c r="A1851" s="15" t="s">
        <v>1991</v>
      </c>
      <c r="B1851" s="17">
        <v>1209</v>
      </c>
      <c r="C1851" s="17">
        <v>53934</v>
      </c>
      <c r="D1851" s="28">
        <v>44746</v>
      </c>
      <c r="E1851" s="17">
        <v>12</v>
      </c>
      <c r="F1851" s="15" t="str">
        <f t="shared" si="28"/>
        <v>1209-53934-44746</v>
      </c>
    </row>
    <row r="1852" spans="1:6" ht="14.25" customHeight="1" x14ac:dyDescent="0.25">
      <c r="A1852" s="15" t="s">
        <v>1992</v>
      </c>
      <c r="B1852" s="17">
        <v>1209</v>
      </c>
      <c r="C1852" s="17">
        <v>53934</v>
      </c>
      <c r="D1852" s="28">
        <v>44753</v>
      </c>
      <c r="E1852" s="17">
        <v>12</v>
      </c>
      <c r="F1852" s="15" t="str">
        <f t="shared" si="28"/>
        <v>1209-53934-44753</v>
      </c>
    </row>
    <row r="1853" spans="1:6" ht="14.25" customHeight="1" x14ac:dyDescent="0.25">
      <c r="A1853" s="15" t="s">
        <v>1993</v>
      </c>
      <c r="B1853" s="17">
        <v>1209</v>
      </c>
      <c r="C1853" s="17">
        <v>53934</v>
      </c>
      <c r="D1853" s="28">
        <v>44760</v>
      </c>
      <c r="E1853" s="17">
        <v>12</v>
      </c>
      <c r="F1853" s="15" t="str">
        <f t="shared" si="28"/>
        <v>1209-53934-44760</v>
      </c>
    </row>
    <row r="1854" spans="1:6" ht="14.25" customHeight="1" x14ac:dyDescent="0.25">
      <c r="A1854" s="15" t="s">
        <v>1994</v>
      </c>
      <c r="B1854" s="17">
        <v>1209</v>
      </c>
      <c r="C1854" s="17">
        <v>53934</v>
      </c>
      <c r="D1854" s="28">
        <v>44767</v>
      </c>
      <c r="E1854" s="17">
        <v>12</v>
      </c>
      <c r="F1854" s="15" t="str">
        <f t="shared" si="28"/>
        <v>1209-53934-44767</v>
      </c>
    </row>
    <row r="1855" spans="1:6" ht="14.25" customHeight="1" x14ac:dyDescent="0.25">
      <c r="A1855" s="15" t="s">
        <v>1995</v>
      </c>
      <c r="B1855" s="17">
        <v>1209</v>
      </c>
      <c r="C1855" s="17">
        <v>53934</v>
      </c>
      <c r="D1855" s="28">
        <v>44774</v>
      </c>
      <c r="E1855" s="17">
        <v>12</v>
      </c>
      <c r="F1855" s="15" t="str">
        <f t="shared" si="28"/>
        <v>1209-53934-44774</v>
      </c>
    </row>
    <row r="1856" spans="1:6" ht="14.25" customHeight="1" x14ac:dyDescent="0.25">
      <c r="A1856" s="15" t="s">
        <v>1996</v>
      </c>
      <c r="B1856" s="17">
        <v>1209</v>
      </c>
      <c r="C1856" s="17">
        <v>53934</v>
      </c>
      <c r="D1856" s="28">
        <v>44781</v>
      </c>
      <c r="E1856" s="17">
        <v>12</v>
      </c>
      <c r="F1856" s="15" t="str">
        <f t="shared" si="28"/>
        <v>1209-53934-44781</v>
      </c>
    </row>
    <row r="1857" spans="1:6" ht="14.25" customHeight="1" x14ac:dyDescent="0.25">
      <c r="A1857" s="15" t="s">
        <v>1997</v>
      </c>
      <c r="B1857" s="17">
        <v>1209</v>
      </c>
      <c r="C1857" s="17">
        <v>53934</v>
      </c>
      <c r="D1857" s="28">
        <v>44788</v>
      </c>
      <c r="E1857" s="17">
        <v>12</v>
      </c>
      <c r="F1857" s="15" t="str">
        <f t="shared" si="28"/>
        <v>1209-53934-44788</v>
      </c>
    </row>
    <row r="1858" spans="1:6" ht="14.25" customHeight="1" x14ac:dyDescent="0.25">
      <c r="A1858" s="15" t="s">
        <v>1998</v>
      </c>
      <c r="B1858" s="17">
        <v>1209</v>
      </c>
      <c r="C1858" s="17">
        <v>115600</v>
      </c>
      <c r="D1858" s="28">
        <v>32874</v>
      </c>
      <c r="E1858" s="17">
        <v>18</v>
      </c>
      <c r="F1858" s="15" t="str">
        <f t="shared" si="28"/>
        <v>1209-115600-32874</v>
      </c>
    </row>
    <row r="1859" spans="1:6" ht="14.25" customHeight="1" x14ac:dyDescent="0.25">
      <c r="A1859" s="15" t="s">
        <v>1999</v>
      </c>
      <c r="B1859" s="17">
        <v>1209</v>
      </c>
      <c r="C1859" s="17">
        <v>115600</v>
      </c>
      <c r="D1859" s="28">
        <v>44739</v>
      </c>
      <c r="E1859" s="17">
        <v>54</v>
      </c>
      <c r="F1859" s="15" t="str">
        <f t="shared" ref="F1859:F1922" si="29">B1859&amp;"-"&amp;C1859&amp;"-"&amp;INT(D1859)</f>
        <v>1209-115600-44739</v>
      </c>
    </row>
    <row r="1860" spans="1:6" ht="14.25" customHeight="1" x14ac:dyDescent="0.25">
      <c r="A1860" s="15" t="s">
        <v>2000</v>
      </c>
      <c r="B1860" s="17">
        <v>1209</v>
      </c>
      <c r="C1860" s="17">
        <v>115600</v>
      </c>
      <c r="D1860" s="28">
        <v>44746</v>
      </c>
      <c r="E1860" s="17">
        <v>56</v>
      </c>
      <c r="F1860" s="15" t="str">
        <f t="shared" si="29"/>
        <v>1209-115600-44746</v>
      </c>
    </row>
    <row r="1861" spans="1:6" ht="14.25" customHeight="1" x14ac:dyDescent="0.25">
      <c r="A1861" s="15" t="s">
        <v>2001</v>
      </c>
      <c r="B1861" s="17">
        <v>1209</v>
      </c>
      <c r="C1861" s="17">
        <v>115600</v>
      </c>
      <c r="D1861" s="28">
        <v>44753</v>
      </c>
      <c r="E1861" s="17">
        <v>52</v>
      </c>
      <c r="F1861" s="15" t="str">
        <f t="shared" si="29"/>
        <v>1209-115600-44753</v>
      </c>
    </row>
    <row r="1862" spans="1:6" ht="14.25" customHeight="1" x14ac:dyDescent="0.25">
      <c r="A1862" s="15" t="s">
        <v>2002</v>
      </c>
      <c r="B1862" s="17">
        <v>1209</v>
      </c>
      <c r="C1862" s="17">
        <v>115600</v>
      </c>
      <c r="D1862" s="28">
        <v>44760</v>
      </c>
      <c r="E1862" s="17">
        <v>42</v>
      </c>
      <c r="F1862" s="15" t="str">
        <f t="shared" si="29"/>
        <v>1209-115600-44760</v>
      </c>
    </row>
    <row r="1863" spans="1:6" ht="14.25" customHeight="1" x14ac:dyDescent="0.25">
      <c r="A1863" s="15" t="s">
        <v>2003</v>
      </c>
      <c r="B1863" s="17">
        <v>1209</v>
      </c>
      <c r="C1863" s="17">
        <v>115600</v>
      </c>
      <c r="D1863" s="28">
        <v>44767</v>
      </c>
      <c r="E1863" s="17">
        <v>50</v>
      </c>
      <c r="F1863" s="15" t="str">
        <f t="shared" si="29"/>
        <v>1209-115600-44767</v>
      </c>
    </row>
    <row r="1864" spans="1:6" ht="14.25" customHeight="1" x14ac:dyDescent="0.25">
      <c r="A1864" s="15" t="s">
        <v>2004</v>
      </c>
      <c r="B1864" s="17">
        <v>1209</v>
      </c>
      <c r="C1864" s="17">
        <v>115600</v>
      </c>
      <c r="D1864" s="28">
        <v>44774</v>
      </c>
      <c r="E1864" s="17">
        <v>60</v>
      </c>
      <c r="F1864" s="15" t="str">
        <f t="shared" si="29"/>
        <v>1209-115600-44774</v>
      </c>
    </row>
    <row r="1865" spans="1:6" ht="14.25" customHeight="1" x14ac:dyDescent="0.25">
      <c r="A1865" s="15" t="s">
        <v>2005</v>
      </c>
      <c r="B1865" s="17">
        <v>1209</v>
      </c>
      <c r="C1865" s="17">
        <v>115600</v>
      </c>
      <c r="D1865" s="28">
        <v>44781</v>
      </c>
      <c r="E1865" s="17">
        <v>66</v>
      </c>
      <c r="F1865" s="15" t="str">
        <f t="shared" si="29"/>
        <v>1209-115600-44781</v>
      </c>
    </row>
    <row r="1866" spans="1:6" ht="14.25" customHeight="1" x14ac:dyDescent="0.25">
      <c r="A1866" s="15" t="s">
        <v>2006</v>
      </c>
      <c r="B1866" s="17">
        <v>1209</v>
      </c>
      <c r="C1866" s="17">
        <v>115600</v>
      </c>
      <c r="D1866" s="28">
        <v>44788</v>
      </c>
      <c r="E1866" s="17">
        <v>15</v>
      </c>
      <c r="F1866" s="15" t="str">
        <f t="shared" si="29"/>
        <v>1209-115600-44788</v>
      </c>
    </row>
    <row r="1867" spans="1:6" ht="14.25" customHeight="1" x14ac:dyDescent="0.25">
      <c r="A1867" s="15" t="s">
        <v>2007</v>
      </c>
      <c r="B1867" s="17">
        <v>1209</v>
      </c>
      <c r="C1867" s="17">
        <v>129208</v>
      </c>
      <c r="D1867" s="28">
        <v>44739</v>
      </c>
      <c r="E1867" s="17">
        <v>24</v>
      </c>
      <c r="F1867" s="15" t="str">
        <f t="shared" si="29"/>
        <v>1209-129208-44739</v>
      </c>
    </row>
    <row r="1868" spans="1:6" ht="14.25" customHeight="1" x14ac:dyDescent="0.25">
      <c r="A1868" s="15" t="s">
        <v>2008</v>
      </c>
      <c r="B1868" s="17">
        <v>1209</v>
      </c>
      <c r="C1868" s="17">
        <v>129208</v>
      </c>
      <c r="D1868" s="28">
        <v>44746</v>
      </c>
      <c r="E1868" s="17">
        <v>18</v>
      </c>
      <c r="F1868" s="15" t="str">
        <f t="shared" si="29"/>
        <v>1209-129208-44746</v>
      </c>
    </row>
    <row r="1869" spans="1:6" ht="14.25" customHeight="1" x14ac:dyDescent="0.25">
      <c r="A1869" s="15" t="s">
        <v>2009</v>
      </c>
      <c r="B1869" s="17">
        <v>1209</v>
      </c>
      <c r="C1869" s="17">
        <v>129208</v>
      </c>
      <c r="D1869" s="28">
        <v>44753</v>
      </c>
      <c r="E1869" s="17">
        <v>24</v>
      </c>
      <c r="F1869" s="15" t="str">
        <f t="shared" si="29"/>
        <v>1209-129208-44753</v>
      </c>
    </row>
    <row r="1870" spans="1:6" ht="14.25" customHeight="1" x14ac:dyDescent="0.25">
      <c r="A1870" s="15" t="s">
        <v>2010</v>
      </c>
      <c r="B1870" s="17">
        <v>1209</v>
      </c>
      <c r="C1870" s="17">
        <v>129208</v>
      </c>
      <c r="D1870" s="28">
        <v>44760</v>
      </c>
      <c r="E1870" s="17">
        <v>27</v>
      </c>
      <c r="F1870" s="15" t="str">
        <f t="shared" si="29"/>
        <v>1209-129208-44760</v>
      </c>
    </row>
    <row r="1871" spans="1:6" ht="14.25" customHeight="1" x14ac:dyDescent="0.25">
      <c r="A1871" s="15" t="s">
        <v>2011</v>
      </c>
      <c r="B1871" s="17">
        <v>1209</v>
      </c>
      <c r="C1871" s="17">
        <v>129208</v>
      </c>
      <c r="D1871" s="28">
        <v>44767</v>
      </c>
      <c r="E1871" s="17">
        <v>3</v>
      </c>
      <c r="F1871" s="15" t="str">
        <f t="shared" si="29"/>
        <v>1209-129208-44767</v>
      </c>
    </row>
    <row r="1872" spans="1:6" ht="14.25" customHeight="1" x14ac:dyDescent="0.25">
      <c r="A1872" s="15" t="s">
        <v>2012</v>
      </c>
      <c r="B1872" s="17">
        <v>1209</v>
      </c>
      <c r="C1872" s="17">
        <v>129208</v>
      </c>
      <c r="D1872" s="28">
        <v>44774</v>
      </c>
      <c r="E1872" s="17">
        <v>28</v>
      </c>
      <c r="F1872" s="15" t="str">
        <f t="shared" si="29"/>
        <v>1209-129208-44774</v>
      </c>
    </row>
    <row r="1873" spans="1:6" ht="14.25" customHeight="1" x14ac:dyDescent="0.25">
      <c r="A1873" s="15" t="s">
        <v>2013</v>
      </c>
      <c r="B1873" s="17">
        <v>1209</v>
      </c>
      <c r="C1873" s="17">
        <v>129208</v>
      </c>
      <c r="D1873" s="28">
        <v>44781</v>
      </c>
      <c r="E1873" s="17">
        <v>21</v>
      </c>
      <c r="F1873" s="15" t="str">
        <f t="shared" si="29"/>
        <v>1209-129208-44781</v>
      </c>
    </row>
    <row r="1874" spans="1:6" ht="14.25" customHeight="1" x14ac:dyDescent="0.25">
      <c r="A1874" s="15" t="s">
        <v>2014</v>
      </c>
      <c r="B1874" s="17">
        <v>1209</v>
      </c>
      <c r="C1874" s="17">
        <v>129208</v>
      </c>
      <c r="D1874" s="28">
        <v>44788</v>
      </c>
      <c r="E1874" s="17">
        <v>3</v>
      </c>
      <c r="F1874" s="15" t="str">
        <f t="shared" si="29"/>
        <v>1209-129208-44788</v>
      </c>
    </row>
    <row r="1875" spans="1:6" ht="14.25" customHeight="1" x14ac:dyDescent="0.25">
      <c r="A1875" s="15" t="s">
        <v>2015</v>
      </c>
      <c r="B1875" s="17">
        <v>1209</v>
      </c>
      <c r="C1875" s="17">
        <v>141622</v>
      </c>
      <c r="D1875" s="28">
        <v>44739</v>
      </c>
      <c r="E1875" s="17">
        <v>49</v>
      </c>
      <c r="F1875" s="15" t="str">
        <f t="shared" si="29"/>
        <v>1209-141622-44739</v>
      </c>
    </row>
    <row r="1876" spans="1:6" ht="14.25" customHeight="1" x14ac:dyDescent="0.25">
      <c r="A1876" s="15" t="s">
        <v>2016</v>
      </c>
      <c r="B1876" s="17">
        <v>1209</v>
      </c>
      <c r="C1876" s="17">
        <v>141622</v>
      </c>
      <c r="D1876" s="28">
        <v>44746</v>
      </c>
      <c r="E1876" s="17">
        <v>32</v>
      </c>
      <c r="F1876" s="15" t="str">
        <f t="shared" si="29"/>
        <v>1209-141622-44746</v>
      </c>
    </row>
    <row r="1877" spans="1:6" ht="14.25" customHeight="1" x14ac:dyDescent="0.25">
      <c r="A1877" s="15" t="s">
        <v>2017</v>
      </c>
      <c r="B1877" s="17">
        <v>1209</v>
      </c>
      <c r="C1877" s="17">
        <v>141622</v>
      </c>
      <c r="D1877" s="28">
        <v>44753</v>
      </c>
      <c r="E1877" s="17">
        <v>9</v>
      </c>
      <c r="F1877" s="15" t="str">
        <f t="shared" si="29"/>
        <v>1209-141622-44753</v>
      </c>
    </row>
    <row r="1878" spans="1:6" ht="14.25" customHeight="1" x14ac:dyDescent="0.25">
      <c r="A1878" s="15" t="s">
        <v>2018</v>
      </c>
      <c r="B1878" s="17">
        <v>1209</v>
      </c>
      <c r="C1878" s="17">
        <v>141622</v>
      </c>
      <c r="D1878" s="28">
        <v>44760</v>
      </c>
      <c r="E1878" s="17">
        <v>4</v>
      </c>
      <c r="F1878" s="15" t="str">
        <f t="shared" si="29"/>
        <v>1209-141622-44760</v>
      </c>
    </row>
    <row r="1879" spans="1:6" ht="14.25" customHeight="1" x14ac:dyDescent="0.25">
      <c r="A1879" s="15" t="s">
        <v>2019</v>
      </c>
      <c r="B1879" s="17">
        <v>1209</v>
      </c>
      <c r="C1879" s="17">
        <v>141622</v>
      </c>
      <c r="D1879" s="28">
        <v>44767</v>
      </c>
      <c r="E1879" s="17">
        <v>39</v>
      </c>
      <c r="F1879" s="15" t="str">
        <f t="shared" si="29"/>
        <v>1209-141622-44767</v>
      </c>
    </row>
    <row r="1880" spans="1:6" ht="14.25" customHeight="1" x14ac:dyDescent="0.25">
      <c r="A1880" s="15" t="s">
        <v>2020</v>
      </c>
      <c r="B1880" s="17">
        <v>1209</v>
      </c>
      <c r="C1880" s="17">
        <v>141622</v>
      </c>
      <c r="D1880" s="28">
        <v>44774</v>
      </c>
      <c r="E1880" s="17">
        <v>47</v>
      </c>
      <c r="F1880" s="15" t="str">
        <f t="shared" si="29"/>
        <v>1209-141622-44774</v>
      </c>
    </row>
    <row r="1881" spans="1:6" ht="14.25" customHeight="1" x14ac:dyDescent="0.25">
      <c r="A1881" s="15" t="s">
        <v>2021</v>
      </c>
      <c r="B1881" s="17">
        <v>1209</v>
      </c>
      <c r="C1881" s="17">
        <v>141622</v>
      </c>
      <c r="D1881" s="28">
        <v>44781</v>
      </c>
      <c r="E1881" s="17">
        <v>44</v>
      </c>
      <c r="F1881" s="15" t="str">
        <f t="shared" si="29"/>
        <v>1209-141622-44781</v>
      </c>
    </row>
    <row r="1882" spans="1:6" ht="14.25" customHeight="1" x14ac:dyDescent="0.25">
      <c r="A1882" s="15" t="s">
        <v>2022</v>
      </c>
      <c r="B1882" s="17">
        <v>1209</v>
      </c>
      <c r="C1882" s="17">
        <v>141622</v>
      </c>
      <c r="D1882" s="28">
        <v>44788</v>
      </c>
      <c r="E1882" s="17">
        <v>8</v>
      </c>
      <c r="F1882" s="15" t="str">
        <f t="shared" si="29"/>
        <v>1209-141622-44788</v>
      </c>
    </row>
    <row r="1883" spans="1:6" ht="14.25" customHeight="1" x14ac:dyDescent="0.25">
      <c r="A1883" s="15" t="s">
        <v>2023</v>
      </c>
      <c r="B1883" s="17">
        <v>1209</v>
      </c>
      <c r="C1883" s="17">
        <v>141626</v>
      </c>
      <c r="D1883" s="28">
        <v>44739</v>
      </c>
      <c r="E1883" s="17">
        <v>96</v>
      </c>
      <c r="F1883" s="15" t="str">
        <f t="shared" si="29"/>
        <v>1209-141626-44739</v>
      </c>
    </row>
    <row r="1884" spans="1:6" ht="14.25" customHeight="1" x14ac:dyDescent="0.25">
      <c r="A1884" s="15" t="s">
        <v>2024</v>
      </c>
      <c r="B1884" s="17">
        <v>1209</v>
      </c>
      <c r="C1884" s="17">
        <v>141626</v>
      </c>
      <c r="D1884" s="28">
        <v>44746</v>
      </c>
      <c r="E1884" s="17">
        <v>354</v>
      </c>
      <c r="F1884" s="15" t="str">
        <f t="shared" si="29"/>
        <v>1209-141626-44746</v>
      </c>
    </row>
    <row r="1885" spans="1:6" ht="14.25" customHeight="1" x14ac:dyDescent="0.25">
      <c r="A1885" s="15" t="s">
        <v>2025</v>
      </c>
      <c r="B1885" s="17">
        <v>1209</v>
      </c>
      <c r="C1885" s="17">
        <v>141626</v>
      </c>
      <c r="D1885" s="28">
        <v>44753</v>
      </c>
      <c r="E1885" s="17">
        <v>273</v>
      </c>
      <c r="F1885" s="15" t="str">
        <f t="shared" si="29"/>
        <v>1209-141626-44753</v>
      </c>
    </row>
    <row r="1886" spans="1:6" ht="14.25" customHeight="1" x14ac:dyDescent="0.25">
      <c r="A1886" s="15" t="s">
        <v>2026</v>
      </c>
      <c r="B1886" s="17">
        <v>1209</v>
      </c>
      <c r="C1886" s="17">
        <v>141626</v>
      </c>
      <c r="D1886" s="28">
        <v>44760</v>
      </c>
      <c r="E1886" s="17">
        <v>313</v>
      </c>
      <c r="F1886" s="15" t="str">
        <f t="shared" si="29"/>
        <v>1209-141626-44760</v>
      </c>
    </row>
    <row r="1887" spans="1:6" ht="14.25" customHeight="1" x14ac:dyDescent="0.25">
      <c r="A1887" s="15" t="s">
        <v>2027</v>
      </c>
      <c r="B1887" s="17">
        <v>1209</v>
      </c>
      <c r="C1887" s="17">
        <v>141626</v>
      </c>
      <c r="D1887" s="28">
        <v>44767</v>
      </c>
      <c r="E1887" s="17">
        <v>101</v>
      </c>
      <c r="F1887" s="15" t="str">
        <f t="shared" si="29"/>
        <v>1209-141626-44767</v>
      </c>
    </row>
    <row r="1888" spans="1:6" ht="14.25" customHeight="1" x14ac:dyDescent="0.25">
      <c r="A1888" s="15" t="s">
        <v>2028</v>
      </c>
      <c r="B1888" s="17">
        <v>1209</v>
      </c>
      <c r="C1888" s="17">
        <v>141626</v>
      </c>
      <c r="D1888" s="28">
        <v>44774</v>
      </c>
      <c r="E1888" s="17">
        <v>122</v>
      </c>
      <c r="F1888" s="15" t="str">
        <f t="shared" si="29"/>
        <v>1209-141626-44774</v>
      </c>
    </row>
    <row r="1889" spans="1:6" ht="14.25" customHeight="1" x14ac:dyDescent="0.25">
      <c r="A1889" s="15" t="s">
        <v>2029</v>
      </c>
      <c r="B1889" s="17">
        <v>1209</v>
      </c>
      <c r="C1889" s="17">
        <v>141626</v>
      </c>
      <c r="D1889" s="28">
        <v>44781</v>
      </c>
      <c r="E1889" s="17">
        <v>99</v>
      </c>
      <c r="F1889" s="15" t="str">
        <f t="shared" si="29"/>
        <v>1209-141626-44781</v>
      </c>
    </row>
    <row r="1890" spans="1:6" ht="14.25" customHeight="1" x14ac:dyDescent="0.25">
      <c r="A1890" s="15" t="s">
        <v>2030</v>
      </c>
      <c r="B1890" s="17">
        <v>1209</v>
      </c>
      <c r="C1890" s="17">
        <v>141626</v>
      </c>
      <c r="D1890" s="28">
        <v>44788</v>
      </c>
      <c r="E1890" s="17">
        <v>275</v>
      </c>
      <c r="F1890" s="15" t="str">
        <f t="shared" si="29"/>
        <v>1209-141626-44788</v>
      </c>
    </row>
    <row r="1891" spans="1:6" ht="14.25" customHeight="1" x14ac:dyDescent="0.25">
      <c r="A1891" s="15" t="s">
        <v>2031</v>
      </c>
      <c r="B1891" s="17">
        <v>1209</v>
      </c>
      <c r="C1891" s="17">
        <v>141791</v>
      </c>
      <c r="D1891" s="28">
        <v>44739</v>
      </c>
      <c r="E1891" s="17">
        <v>3</v>
      </c>
      <c r="F1891" s="15" t="str">
        <f t="shared" si="29"/>
        <v>1209-141791-44739</v>
      </c>
    </row>
    <row r="1892" spans="1:6" ht="14.25" customHeight="1" x14ac:dyDescent="0.25">
      <c r="A1892" s="15" t="s">
        <v>2032</v>
      </c>
      <c r="B1892" s="17">
        <v>1209</v>
      </c>
      <c r="C1892" s="17">
        <v>141791</v>
      </c>
      <c r="D1892" s="28">
        <v>44746</v>
      </c>
      <c r="E1892" s="17">
        <v>3</v>
      </c>
      <c r="F1892" s="15" t="str">
        <f t="shared" si="29"/>
        <v>1209-141791-44746</v>
      </c>
    </row>
    <row r="1893" spans="1:6" ht="14.25" customHeight="1" x14ac:dyDescent="0.25">
      <c r="A1893" s="15" t="s">
        <v>2033</v>
      </c>
      <c r="B1893" s="17">
        <v>1209</v>
      </c>
      <c r="C1893" s="17">
        <v>141791</v>
      </c>
      <c r="D1893" s="28">
        <v>44753</v>
      </c>
      <c r="E1893" s="17">
        <v>3</v>
      </c>
      <c r="F1893" s="15" t="str">
        <f t="shared" si="29"/>
        <v>1209-141791-44753</v>
      </c>
    </row>
    <row r="1894" spans="1:6" ht="14.25" customHeight="1" x14ac:dyDescent="0.25">
      <c r="A1894" s="15" t="s">
        <v>2034</v>
      </c>
      <c r="B1894" s="17">
        <v>1209</v>
      </c>
      <c r="C1894" s="17">
        <v>141791</v>
      </c>
      <c r="D1894" s="28">
        <v>44760</v>
      </c>
      <c r="E1894" s="17">
        <v>3</v>
      </c>
      <c r="F1894" s="15" t="str">
        <f t="shared" si="29"/>
        <v>1209-141791-44760</v>
      </c>
    </row>
    <row r="1895" spans="1:6" ht="14.25" customHeight="1" x14ac:dyDescent="0.25">
      <c r="A1895" s="15" t="s">
        <v>2035</v>
      </c>
      <c r="B1895" s="17">
        <v>1209</v>
      </c>
      <c r="C1895" s="17">
        <v>141791</v>
      </c>
      <c r="D1895" s="28">
        <v>44767</v>
      </c>
      <c r="E1895" s="17">
        <v>3</v>
      </c>
      <c r="F1895" s="15" t="str">
        <f t="shared" si="29"/>
        <v>1209-141791-44767</v>
      </c>
    </row>
    <row r="1896" spans="1:6" ht="14.25" customHeight="1" x14ac:dyDescent="0.25">
      <c r="A1896" s="15" t="s">
        <v>2036</v>
      </c>
      <c r="B1896" s="17">
        <v>1209</v>
      </c>
      <c r="C1896" s="17">
        <v>141791</v>
      </c>
      <c r="D1896" s="28">
        <v>44774</v>
      </c>
      <c r="E1896" s="17">
        <v>3</v>
      </c>
      <c r="F1896" s="15" t="str">
        <f t="shared" si="29"/>
        <v>1209-141791-44774</v>
      </c>
    </row>
    <row r="1897" spans="1:6" ht="14.25" customHeight="1" x14ac:dyDescent="0.25">
      <c r="A1897" s="15" t="s">
        <v>2037</v>
      </c>
      <c r="B1897" s="17">
        <v>1209</v>
      </c>
      <c r="C1897" s="17">
        <v>141791</v>
      </c>
      <c r="D1897" s="28">
        <v>44781</v>
      </c>
      <c r="E1897" s="17">
        <v>3</v>
      </c>
      <c r="F1897" s="15" t="str">
        <f t="shared" si="29"/>
        <v>1209-141791-44781</v>
      </c>
    </row>
    <row r="1898" spans="1:6" ht="14.25" customHeight="1" x14ac:dyDescent="0.25">
      <c r="A1898" s="15" t="s">
        <v>2038</v>
      </c>
      <c r="B1898" s="17">
        <v>1209</v>
      </c>
      <c r="C1898" s="17">
        <v>141791</v>
      </c>
      <c r="D1898" s="28">
        <v>44788</v>
      </c>
      <c r="E1898" s="17">
        <v>3</v>
      </c>
      <c r="F1898" s="15" t="str">
        <f t="shared" si="29"/>
        <v>1209-141791-44788</v>
      </c>
    </row>
    <row r="1899" spans="1:6" ht="14.25" customHeight="1" x14ac:dyDescent="0.25">
      <c r="A1899" s="15" t="s">
        <v>2039</v>
      </c>
      <c r="B1899" s="17">
        <v>1209</v>
      </c>
      <c r="C1899" s="17">
        <v>141967</v>
      </c>
      <c r="D1899" s="28">
        <v>44739</v>
      </c>
      <c r="E1899" s="17">
        <v>3</v>
      </c>
      <c r="F1899" s="15" t="str">
        <f t="shared" si="29"/>
        <v>1209-141967-44739</v>
      </c>
    </row>
    <row r="1900" spans="1:6" ht="14.25" customHeight="1" x14ac:dyDescent="0.25">
      <c r="A1900" s="15" t="s">
        <v>2040</v>
      </c>
      <c r="B1900" s="17">
        <v>1209</v>
      </c>
      <c r="C1900" s="17">
        <v>141967</v>
      </c>
      <c r="D1900" s="28">
        <v>44746</v>
      </c>
      <c r="E1900" s="17">
        <v>3</v>
      </c>
      <c r="F1900" s="15" t="str">
        <f t="shared" si="29"/>
        <v>1209-141967-44746</v>
      </c>
    </row>
    <row r="1901" spans="1:6" ht="14.25" customHeight="1" x14ac:dyDescent="0.25">
      <c r="A1901" s="15" t="s">
        <v>2041</v>
      </c>
      <c r="B1901" s="17">
        <v>1209</v>
      </c>
      <c r="C1901" s="17">
        <v>141967</v>
      </c>
      <c r="D1901" s="28">
        <v>44753</v>
      </c>
      <c r="E1901" s="17">
        <v>3</v>
      </c>
      <c r="F1901" s="15" t="str">
        <f t="shared" si="29"/>
        <v>1209-141967-44753</v>
      </c>
    </row>
    <row r="1902" spans="1:6" ht="14.25" customHeight="1" x14ac:dyDescent="0.25">
      <c r="A1902" s="15" t="s">
        <v>2042</v>
      </c>
      <c r="B1902" s="17">
        <v>1209</v>
      </c>
      <c r="C1902" s="17">
        <v>141967</v>
      </c>
      <c r="D1902" s="28">
        <v>44760</v>
      </c>
      <c r="E1902" s="17">
        <v>3</v>
      </c>
      <c r="F1902" s="15" t="str">
        <f t="shared" si="29"/>
        <v>1209-141967-44760</v>
      </c>
    </row>
    <row r="1903" spans="1:6" ht="14.25" customHeight="1" x14ac:dyDescent="0.25">
      <c r="A1903" s="15" t="s">
        <v>2043</v>
      </c>
      <c r="B1903" s="17">
        <v>1209</v>
      </c>
      <c r="C1903" s="17">
        <v>141967</v>
      </c>
      <c r="D1903" s="28">
        <v>44767</v>
      </c>
      <c r="E1903" s="17">
        <v>3</v>
      </c>
      <c r="F1903" s="15" t="str">
        <f t="shared" si="29"/>
        <v>1209-141967-44767</v>
      </c>
    </row>
    <row r="1904" spans="1:6" ht="14.25" customHeight="1" x14ac:dyDescent="0.25">
      <c r="A1904" s="15" t="s">
        <v>2044</v>
      </c>
      <c r="B1904" s="17">
        <v>1209</v>
      </c>
      <c r="C1904" s="17">
        <v>141967</v>
      </c>
      <c r="D1904" s="28">
        <v>44774</v>
      </c>
      <c r="E1904" s="17">
        <v>3</v>
      </c>
      <c r="F1904" s="15" t="str">
        <f t="shared" si="29"/>
        <v>1209-141967-44774</v>
      </c>
    </row>
    <row r="1905" spans="1:6" ht="14.25" customHeight="1" x14ac:dyDescent="0.25">
      <c r="A1905" s="15" t="s">
        <v>2045</v>
      </c>
      <c r="B1905" s="17">
        <v>1209</v>
      </c>
      <c r="C1905" s="17">
        <v>141967</v>
      </c>
      <c r="D1905" s="28">
        <v>44781</v>
      </c>
      <c r="E1905" s="17">
        <v>3</v>
      </c>
      <c r="F1905" s="15" t="str">
        <f t="shared" si="29"/>
        <v>1209-141967-44781</v>
      </c>
    </row>
    <row r="1906" spans="1:6" ht="14.25" customHeight="1" x14ac:dyDescent="0.25">
      <c r="A1906" s="15" t="s">
        <v>2046</v>
      </c>
      <c r="B1906" s="17">
        <v>1209</v>
      </c>
      <c r="C1906" s="17">
        <v>141967</v>
      </c>
      <c r="D1906" s="28">
        <v>44788</v>
      </c>
      <c r="E1906" s="17">
        <v>3</v>
      </c>
      <c r="F1906" s="15" t="str">
        <f t="shared" si="29"/>
        <v>1209-141967-44788</v>
      </c>
    </row>
    <row r="1907" spans="1:6" ht="14.25" customHeight="1" x14ac:dyDescent="0.25">
      <c r="A1907" s="15" t="s">
        <v>2047</v>
      </c>
      <c r="B1907" s="17">
        <v>1209</v>
      </c>
      <c r="C1907" s="17">
        <v>142194</v>
      </c>
      <c r="D1907" s="28">
        <v>44739</v>
      </c>
      <c r="E1907" s="17">
        <v>14</v>
      </c>
      <c r="F1907" s="15" t="str">
        <f t="shared" si="29"/>
        <v>1209-142194-44739</v>
      </c>
    </row>
    <row r="1908" spans="1:6" ht="14.25" customHeight="1" x14ac:dyDescent="0.25">
      <c r="A1908" s="15" t="s">
        <v>2048</v>
      </c>
      <c r="B1908" s="17">
        <v>1209</v>
      </c>
      <c r="C1908" s="17">
        <v>142194</v>
      </c>
      <c r="D1908" s="28">
        <v>44746</v>
      </c>
      <c r="E1908" s="17">
        <v>5</v>
      </c>
      <c r="F1908" s="15" t="str">
        <f t="shared" si="29"/>
        <v>1209-142194-44746</v>
      </c>
    </row>
    <row r="1909" spans="1:6" ht="14.25" customHeight="1" x14ac:dyDescent="0.25">
      <c r="A1909" s="15" t="s">
        <v>2049</v>
      </c>
      <c r="B1909" s="17">
        <v>1209</v>
      </c>
      <c r="C1909" s="17">
        <v>142194</v>
      </c>
      <c r="D1909" s="28">
        <v>44753</v>
      </c>
      <c r="E1909" s="17">
        <v>12</v>
      </c>
      <c r="F1909" s="15" t="str">
        <f t="shared" si="29"/>
        <v>1209-142194-44753</v>
      </c>
    </row>
    <row r="1910" spans="1:6" ht="14.25" customHeight="1" x14ac:dyDescent="0.25">
      <c r="A1910" s="15" t="s">
        <v>2050</v>
      </c>
      <c r="B1910" s="17">
        <v>1209</v>
      </c>
      <c r="C1910" s="17">
        <v>142194</v>
      </c>
      <c r="D1910" s="28">
        <v>44760</v>
      </c>
      <c r="E1910" s="17">
        <v>1</v>
      </c>
      <c r="F1910" s="15" t="str">
        <f t="shared" si="29"/>
        <v>1209-142194-44760</v>
      </c>
    </row>
    <row r="1911" spans="1:6" ht="14.25" customHeight="1" x14ac:dyDescent="0.25">
      <c r="A1911" s="15" t="s">
        <v>2051</v>
      </c>
      <c r="B1911" s="17">
        <v>1209</v>
      </c>
      <c r="C1911" s="17">
        <v>142194</v>
      </c>
      <c r="D1911" s="28">
        <v>44767</v>
      </c>
      <c r="E1911" s="17">
        <v>4</v>
      </c>
      <c r="F1911" s="15" t="str">
        <f t="shared" si="29"/>
        <v>1209-142194-44767</v>
      </c>
    </row>
    <row r="1912" spans="1:6" ht="14.25" customHeight="1" x14ac:dyDescent="0.25">
      <c r="A1912" s="15" t="s">
        <v>2052</v>
      </c>
      <c r="B1912" s="17">
        <v>1209</v>
      </c>
      <c r="C1912" s="17">
        <v>142194</v>
      </c>
      <c r="D1912" s="28">
        <v>44774</v>
      </c>
      <c r="E1912" s="17">
        <v>14</v>
      </c>
      <c r="F1912" s="15" t="str">
        <f t="shared" si="29"/>
        <v>1209-142194-44774</v>
      </c>
    </row>
    <row r="1913" spans="1:6" ht="14.25" customHeight="1" x14ac:dyDescent="0.25">
      <c r="A1913" s="15" t="s">
        <v>2053</v>
      </c>
      <c r="B1913" s="17">
        <v>1209</v>
      </c>
      <c r="C1913" s="17">
        <v>142194</v>
      </c>
      <c r="D1913" s="28">
        <v>44781</v>
      </c>
      <c r="E1913" s="17">
        <v>12</v>
      </c>
      <c r="F1913" s="15" t="str">
        <f t="shared" si="29"/>
        <v>1209-142194-44781</v>
      </c>
    </row>
    <row r="1914" spans="1:6" ht="14.25" customHeight="1" x14ac:dyDescent="0.25">
      <c r="A1914" s="15" t="s">
        <v>2054</v>
      </c>
      <c r="B1914" s="17">
        <v>1209</v>
      </c>
      <c r="C1914" s="17">
        <v>142194</v>
      </c>
      <c r="D1914" s="28">
        <v>44788</v>
      </c>
      <c r="E1914" s="17">
        <v>18</v>
      </c>
      <c r="F1914" s="15" t="str">
        <f t="shared" si="29"/>
        <v>1209-142194-44788</v>
      </c>
    </row>
    <row r="1915" spans="1:6" ht="14.25" customHeight="1" x14ac:dyDescent="0.25">
      <c r="A1915" s="15" t="s">
        <v>2055</v>
      </c>
      <c r="B1915" s="17">
        <v>1209</v>
      </c>
      <c r="C1915" s="17">
        <v>189933</v>
      </c>
      <c r="D1915" s="28">
        <v>44739</v>
      </c>
      <c r="E1915" s="17">
        <v>24</v>
      </c>
      <c r="F1915" s="15" t="str">
        <f t="shared" si="29"/>
        <v>1209-189933-44739</v>
      </c>
    </row>
    <row r="1916" spans="1:6" ht="14.25" customHeight="1" x14ac:dyDescent="0.25">
      <c r="A1916" s="15" t="s">
        <v>2056</v>
      </c>
      <c r="B1916" s="17">
        <v>1209</v>
      </c>
      <c r="C1916" s="17">
        <v>189933</v>
      </c>
      <c r="D1916" s="28">
        <v>44746</v>
      </c>
      <c r="E1916" s="17">
        <v>24</v>
      </c>
      <c r="F1916" s="15" t="str">
        <f t="shared" si="29"/>
        <v>1209-189933-44746</v>
      </c>
    </row>
    <row r="1917" spans="1:6" ht="14.25" customHeight="1" x14ac:dyDescent="0.25">
      <c r="A1917" s="15" t="s">
        <v>2057</v>
      </c>
      <c r="B1917" s="17">
        <v>1209</v>
      </c>
      <c r="C1917" s="17">
        <v>189933</v>
      </c>
      <c r="D1917" s="28">
        <v>44753</v>
      </c>
      <c r="E1917" s="17">
        <v>24</v>
      </c>
      <c r="F1917" s="15" t="str">
        <f t="shared" si="29"/>
        <v>1209-189933-44753</v>
      </c>
    </row>
    <row r="1918" spans="1:6" ht="14.25" customHeight="1" x14ac:dyDescent="0.25">
      <c r="A1918" s="15" t="s">
        <v>2058</v>
      </c>
      <c r="B1918" s="17">
        <v>1209</v>
      </c>
      <c r="C1918" s="17">
        <v>189933</v>
      </c>
      <c r="D1918" s="28">
        <v>44760</v>
      </c>
      <c r="E1918" s="17">
        <v>24</v>
      </c>
      <c r="F1918" s="15" t="str">
        <f t="shared" si="29"/>
        <v>1209-189933-44760</v>
      </c>
    </row>
    <row r="1919" spans="1:6" ht="14.25" customHeight="1" x14ac:dyDescent="0.25">
      <c r="A1919" s="15" t="s">
        <v>2059</v>
      </c>
      <c r="B1919" s="17">
        <v>1209</v>
      </c>
      <c r="C1919" s="17">
        <v>189933</v>
      </c>
      <c r="D1919" s="28">
        <v>44767</v>
      </c>
      <c r="E1919" s="17">
        <v>24</v>
      </c>
      <c r="F1919" s="15" t="str">
        <f t="shared" si="29"/>
        <v>1209-189933-44767</v>
      </c>
    </row>
    <row r="1920" spans="1:6" ht="14.25" customHeight="1" x14ac:dyDescent="0.25">
      <c r="A1920" s="15" t="s">
        <v>2060</v>
      </c>
      <c r="B1920" s="17">
        <v>1209</v>
      </c>
      <c r="C1920" s="17">
        <v>189933</v>
      </c>
      <c r="D1920" s="28">
        <v>44774</v>
      </c>
      <c r="E1920" s="17">
        <v>24</v>
      </c>
      <c r="F1920" s="15" t="str">
        <f t="shared" si="29"/>
        <v>1209-189933-44774</v>
      </c>
    </row>
    <row r="1921" spans="1:6" ht="14.25" customHeight="1" x14ac:dyDescent="0.25">
      <c r="A1921" s="15" t="s">
        <v>2061</v>
      </c>
      <c r="B1921" s="17">
        <v>1209</v>
      </c>
      <c r="C1921" s="17">
        <v>189933</v>
      </c>
      <c r="D1921" s="28">
        <v>44781</v>
      </c>
      <c r="E1921" s="17">
        <v>24</v>
      </c>
      <c r="F1921" s="15" t="str">
        <f t="shared" si="29"/>
        <v>1209-189933-44781</v>
      </c>
    </row>
    <row r="1922" spans="1:6" ht="14.25" customHeight="1" x14ac:dyDescent="0.25">
      <c r="A1922" s="15" t="s">
        <v>2062</v>
      </c>
      <c r="B1922" s="17">
        <v>1209</v>
      </c>
      <c r="C1922" s="17">
        <v>189933</v>
      </c>
      <c r="D1922" s="28">
        <v>44788</v>
      </c>
      <c r="E1922" s="17">
        <v>24</v>
      </c>
      <c r="F1922" s="15" t="str">
        <f t="shared" si="29"/>
        <v>1209-189933-44788</v>
      </c>
    </row>
    <row r="1923" spans="1:6" ht="14.25" customHeight="1" x14ac:dyDescent="0.25">
      <c r="A1923" s="15" t="s">
        <v>2063</v>
      </c>
      <c r="B1923" s="17">
        <v>1209</v>
      </c>
      <c r="C1923" s="17">
        <v>202577</v>
      </c>
      <c r="D1923" s="28">
        <v>44739</v>
      </c>
      <c r="E1923" s="17">
        <v>43</v>
      </c>
      <c r="F1923" s="15" t="str">
        <f t="shared" ref="F1923:F1986" si="30">B1923&amp;"-"&amp;C1923&amp;"-"&amp;INT(D1923)</f>
        <v>1209-202577-44739</v>
      </c>
    </row>
    <row r="1924" spans="1:6" ht="14.25" customHeight="1" x14ac:dyDescent="0.25">
      <c r="A1924" s="15" t="s">
        <v>2064</v>
      </c>
      <c r="B1924" s="17">
        <v>1209</v>
      </c>
      <c r="C1924" s="17">
        <v>202577</v>
      </c>
      <c r="D1924" s="28">
        <v>44746</v>
      </c>
      <c r="E1924" s="17">
        <v>42</v>
      </c>
      <c r="F1924" s="15" t="str">
        <f t="shared" si="30"/>
        <v>1209-202577-44746</v>
      </c>
    </row>
    <row r="1925" spans="1:6" ht="14.25" customHeight="1" x14ac:dyDescent="0.25">
      <c r="A1925" s="15" t="s">
        <v>2065</v>
      </c>
      <c r="B1925" s="17">
        <v>1209</v>
      </c>
      <c r="C1925" s="17">
        <v>202577</v>
      </c>
      <c r="D1925" s="28">
        <v>44753</v>
      </c>
      <c r="E1925" s="17">
        <v>39</v>
      </c>
      <c r="F1925" s="15" t="str">
        <f t="shared" si="30"/>
        <v>1209-202577-44753</v>
      </c>
    </row>
    <row r="1926" spans="1:6" ht="14.25" customHeight="1" x14ac:dyDescent="0.25">
      <c r="A1926" s="15" t="s">
        <v>2066</v>
      </c>
      <c r="B1926" s="17">
        <v>1209</v>
      </c>
      <c r="C1926" s="17">
        <v>202577</v>
      </c>
      <c r="D1926" s="28">
        <v>44760</v>
      </c>
      <c r="E1926" s="17">
        <v>20</v>
      </c>
      <c r="F1926" s="15" t="str">
        <f t="shared" si="30"/>
        <v>1209-202577-44760</v>
      </c>
    </row>
    <row r="1927" spans="1:6" ht="14.25" customHeight="1" x14ac:dyDescent="0.25">
      <c r="A1927" s="15" t="s">
        <v>2067</v>
      </c>
      <c r="B1927" s="17">
        <v>1209</v>
      </c>
      <c r="C1927" s="17">
        <v>202577</v>
      </c>
      <c r="D1927" s="28">
        <v>44767</v>
      </c>
      <c r="E1927" s="17">
        <v>56</v>
      </c>
      <c r="F1927" s="15" t="str">
        <f t="shared" si="30"/>
        <v>1209-202577-44767</v>
      </c>
    </row>
    <row r="1928" spans="1:6" ht="14.25" customHeight="1" x14ac:dyDescent="0.25">
      <c r="A1928" s="15" t="s">
        <v>2068</v>
      </c>
      <c r="B1928" s="17">
        <v>1209</v>
      </c>
      <c r="C1928" s="17">
        <v>202577</v>
      </c>
      <c r="D1928" s="28">
        <v>44774</v>
      </c>
      <c r="E1928" s="17">
        <v>52</v>
      </c>
      <c r="F1928" s="15" t="str">
        <f t="shared" si="30"/>
        <v>1209-202577-44774</v>
      </c>
    </row>
    <row r="1929" spans="1:6" ht="14.25" customHeight="1" x14ac:dyDescent="0.25">
      <c r="A1929" s="15" t="s">
        <v>2069</v>
      </c>
      <c r="B1929" s="17">
        <v>1209</v>
      </c>
      <c r="C1929" s="17">
        <v>202577</v>
      </c>
      <c r="D1929" s="28">
        <v>44781</v>
      </c>
      <c r="E1929" s="17">
        <v>18</v>
      </c>
      <c r="F1929" s="15" t="str">
        <f t="shared" si="30"/>
        <v>1209-202577-44781</v>
      </c>
    </row>
    <row r="1930" spans="1:6" ht="14.25" customHeight="1" x14ac:dyDescent="0.25">
      <c r="A1930" s="15" t="s">
        <v>2070</v>
      </c>
      <c r="B1930" s="17">
        <v>1209</v>
      </c>
      <c r="C1930" s="17">
        <v>202577</v>
      </c>
      <c r="D1930" s="28">
        <v>44788</v>
      </c>
      <c r="E1930" s="17">
        <v>45</v>
      </c>
      <c r="F1930" s="15" t="str">
        <f t="shared" si="30"/>
        <v>1209-202577-44788</v>
      </c>
    </row>
    <row r="1931" spans="1:6" ht="14.25" customHeight="1" x14ac:dyDescent="0.25">
      <c r="A1931" s="15" t="s">
        <v>2071</v>
      </c>
      <c r="B1931" s="17">
        <v>1209</v>
      </c>
      <c r="C1931" s="17">
        <v>249444</v>
      </c>
      <c r="D1931" s="28">
        <v>44739</v>
      </c>
      <c r="E1931" s="17">
        <v>60</v>
      </c>
      <c r="F1931" s="15" t="str">
        <f t="shared" si="30"/>
        <v>1209-249444-44739</v>
      </c>
    </row>
    <row r="1932" spans="1:6" ht="14.25" customHeight="1" x14ac:dyDescent="0.25">
      <c r="A1932" s="15" t="s">
        <v>2072</v>
      </c>
      <c r="B1932" s="17">
        <v>1209</v>
      </c>
      <c r="C1932" s="17">
        <v>249444</v>
      </c>
      <c r="D1932" s="28">
        <v>44746</v>
      </c>
      <c r="E1932" s="17">
        <v>67</v>
      </c>
      <c r="F1932" s="15" t="str">
        <f t="shared" si="30"/>
        <v>1209-249444-44746</v>
      </c>
    </row>
    <row r="1933" spans="1:6" ht="14.25" customHeight="1" x14ac:dyDescent="0.25">
      <c r="A1933" s="15" t="s">
        <v>2073</v>
      </c>
      <c r="B1933" s="17">
        <v>1209</v>
      </c>
      <c r="C1933" s="17">
        <v>249444</v>
      </c>
      <c r="D1933" s="28">
        <v>44753</v>
      </c>
      <c r="E1933" s="17">
        <v>93</v>
      </c>
      <c r="F1933" s="15" t="str">
        <f t="shared" si="30"/>
        <v>1209-249444-44753</v>
      </c>
    </row>
    <row r="1934" spans="1:6" ht="14.25" customHeight="1" x14ac:dyDescent="0.25">
      <c r="A1934" s="15" t="s">
        <v>2074</v>
      </c>
      <c r="B1934" s="17">
        <v>1209</v>
      </c>
      <c r="C1934" s="17">
        <v>249444</v>
      </c>
      <c r="D1934" s="28">
        <v>44760</v>
      </c>
      <c r="E1934" s="17">
        <v>86</v>
      </c>
      <c r="F1934" s="15" t="str">
        <f t="shared" si="30"/>
        <v>1209-249444-44760</v>
      </c>
    </row>
    <row r="1935" spans="1:6" ht="14.25" customHeight="1" x14ac:dyDescent="0.25">
      <c r="A1935" s="15" t="s">
        <v>2075</v>
      </c>
      <c r="B1935" s="17">
        <v>1209</v>
      </c>
      <c r="C1935" s="17">
        <v>249444</v>
      </c>
      <c r="D1935" s="28">
        <v>44767</v>
      </c>
      <c r="E1935" s="17">
        <v>20</v>
      </c>
      <c r="F1935" s="15" t="str">
        <f t="shared" si="30"/>
        <v>1209-249444-44767</v>
      </c>
    </row>
    <row r="1936" spans="1:6" ht="14.25" customHeight="1" x14ac:dyDescent="0.25">
      <c r="A1936" s="15" t="s">
        <v>2076</v>
      </c>
      <c r="B1936" s="17">
        <v>1209</v>
      </c>
      <c r="C1936" s="17">
        <v>249444</v>
      </c>
      <c r="D1936" s="28">
        <v>44774</v>
      </c>
      <c r="E1936" s="17">
        <v>67</v>
      </c>
      <c r="F1936" s="15" t="str">
        <f t="shared" si="30"/>
        <v>1209-249444-44774</v>
      </c>
    </row>
    <row r="1937" spans="1:6" ht="14.25" customHeight="1" x14ac:dyDescent="0.25">
      <c r="A1937" s="15" t="s">
        <v>2077</v>
      </c>
      <c r="B1937" s="17">
        <v>1209</v>
      </c>
      <c r="C1937" s="17">
        <v>249444</v>
      </c>
      <c r="D1937" s="28">
        <v>44781</v>
      </c>
      <c r="E1937" s="17">
        <v>19</v>
      </c>
      <c r="F1937" s="15" t="str">
        <f t="shared" si="30"/>
        <v>1209-249444-44781</v>
      </c>
    </row>
    <row r="1938" spans="1:6" ht="14.25" customHeight="1" x14ac:dyDescent="0.25">
      <c r="A1938" s="15" t="s">
        <v>2078</v>
      </c>
      <c r="B1938" s="17">
        <v>1209</v>
      </c>
      <c r="C1938" s="17">
        <v>249444</v>
      </c>
      <c r="D1938" s="28">
        <v>44788</v>
      </c>
      <c r="E1938" s="17">
        <v>69</v>
      </c>
      <c r="F1938" s="15" t="str">
        <f t="shared" si="30"/>
        <v>1209-249444-44788</v>
      </c>
    </row>
    <row r="1939" spans="1:6" ht="14.25" customHeight="1" x14ac:dyDescent="0.25">
      <c r="A1939" s="15" t="s">
        <v>2079</v>
      </c>
      <c r="B1939" s="17">
        <v>1209</v>
      </c>
      <c r="C1939" s="17">
        <v>249795</v>
      </c>
      <c r="D1939" s="28">
        <v>44739</v>
      </c>
      <c r="E1939" s="17">
        <v>3</v>
      </c>
      <c r="F1939" s="15" t="str">
        <f t="shared" si="30"/>
        <v>1209-249795-44739</v>
      </c>
    </row>
    <row r="1940" spans="1:6" ht="14.25" customHeight="1" x14ac:dyDescent="0.25">
      <c r="A1940" s="15" t="s">
        <v>2080</v>
      </c>
      <c r="B1940" s="17">
        <v>1209</v>
      </c>
      <c r="C1940" s="17">
        <v>249795</v>
      </c>
      <c r="D1940" s="28">
        <v>44746</v>
      </c>
      <c r="E1940" s="17">
        <v>3</v>
      </c>
      <c r="F1940" s="15" t="str">
        <f t="shared" si="30"/>
        <v>1209-249795-44746</v>
      </c>
    </row>
    <row r="1941" spans="1:6" ht="14.25" customHeight="1" x14ac:dyDescent="0.25">
      <c r="A1941" s="15" t="s">
        <v>2081</v>
      </c>
      <c r="B1941" s="17">
        <v>1209</v>
      </c>
      <c r="C1941" s="17">
        <v>249795</v>
      </c>
      <c r="D1941" s="28">
        <v>44753</v>
      </c>
      <c r="E1941" s="17">
        <v>3</v>
      </c>
      <c r="F1941" s="15" t="str">
        <f t="shared" si="30"/>
        <v>1209-249795-44753</v>
      </c>
    </row>
    <row r="1942" spans="1:6" ht="14.25" customHeight="1" x14ac:dyDescent="0.25">
      <c r="A1942" s="15" t="s">
        <v>2082</v>
      </c>
      <c r="B1942" s="17">
        <v>1209</v>
      </c>
      <c r="C1942" s="17">
        <v>249795</v>
      </c>
      <c r="D1942" s="28">
        <v>44760</v>
      </c>
      <c r="E1942" s="17">
        <v>3</v>
      </c>
      <c r="F1942" s="15" t="str">
        <f t="shared" si="30"/>
        <v>1209-249795-44760</v>
      </c>
    </row>
    <row r="1943" spans="1:6" ht="14.25" customHeight="1" x14ac:dyDescent="0.25">
      <c r="A1943" s="15" t="s">
        <v>2083</v>
      </c>
      <c r="B1943" s="17">
        <v>1209</v>
      </c>
      <c r="C1943" s="17">
        <v>249795</v>
      </c>
      <c r="D1943" s="28">
        <v>44767</v>
      </c>
      <c r="E1943" s="17">
        <v>3</v>
      </c>
      <c r="F1943" s="15" t="str">
        <f t="shared" si="30"/>
        <v>1209-249795-44767</v>
      </c>
    </row>
    <row r="1944" spans="1:6" ht="14.25" customHeight="1" x14ac:dyDescent="0.25">
      <c r="A1944" s="15" t="s">
        <v>2084</v>
      </c>
      <c r="B1944" s="17">
        <v>1209</v>
      </c>
      <c r="C1944" s="17">
        <v>249795</v>
      </c>
      <c r="D1944" s="28">
        <v>44774</v>
      </c>
      <c r="E1944" s="17">
        <v>3</v>
      </c>
      <c r="F1944" s="15" t="str">
        <f t="shared" si="30"/>
        <v>1209-249795-44774</v>
      </c>
    </row>
    <row r="1945" spans="1:6" ht="14.25" customHeight="1" x14ac:dyDescent="0.25">
      <c r="A1945" s="15" t="s">
        <v>2085</v>
      </c>
      <c r="B1945" s="17">
        <v>1209</v>
      </c>
      <c r="C1945" s="17">
        <v>249795</v>
      </c>
      <c r="D1945" s="28">
        <v>44781</v>
      </c>
      <c r="E1945" s="17">
        <v>3</v>
      </c>
      <c r="F1945" s="15" t="str">
        <f t="shared" si="30"/>
        <v>1209-249795-44781</v>
      </c>
    </row>
    <row r="1946" spans="1:6" ht="14.25" customHeight="1" x14ac:dyDescent="0.25">
      <c r="A1946" s="15" t="s">
        <v>2086</v>
      </c>
      <c r="B1946" s="17">
        <v>1209</v>
      </c>
      <c r="C1946" s="17">
        <v>249795</v>
      </c>
      <c r="D1946" s="28">
        <v>44788</v>
      </c>
      <c r="E1946" s="17">
        <v>3</v>
      </c>
      <c r="F1946" s="15" t="str">
        <f t="shared" si="30"/>
        <v>1209-249795-44788</v>
      </c>
    </row>
    <row r="1947" spans="1:6" ht="14.25" customHeight="1" x14ac:dyDescent="0.25">
      <c r="A1947" s="15" t="s">
        <v>2087</v>
      </c>
      <c r="B1947" s="17">
        <v>1209</v>
      </c>
      <c r="C1947" s="17">
        <v>250979</v>
      </c>
      <c r="D1947" s="28">
        <v>44739</v>
      </c>
      <c r="E1947" s="17">
        <v>3</v>
      </c>
      <c r="F1947" s="15" t="str">
        <f t="shared" si="30"/>
        <v>1209-250979-44739</v>
      </c>
    </row>
    <row r="1948" spans="1:6" ht="14.25" customHeight="1" x14ac:dyDescent="0.25">
      <c r="A1948" s="15" t="s">
        <v>2088</v>
      </c>
      <c r="B1948" s="17">
        <v>1209</v>
      </c>
      <c r="C1948" s="17">
        <v>250979</v>
      </c>
      <c r="D1948" s="28">
        <v>44746</v>
      </c>
      <c r="E1948" s="17">
        <v>3</v>
      </c>
      <c r="F1948" s="15" t="str">
        <f t="shared" si="30"/>
        <v>1209-250979-44746</v>
      </c>
    </row>
    <row r="1949" spans="1:6" ht="14.25" customHeight="1" x14ac:dyDescent="0.25">
      <c r="A1949" s="15" t="s">
        <v>2089</v>
      </c>
      <c r="B1949" s="17">
        <v>1209</v>
      </c>
      <c r="C1949" s="17">
        <v>250979</v>
      </c>
      <c r="D1949" s="28">
        <v>44753</v>
      </c>
      <c r="E1949" s="17">
        <v>3</v>
      </c>
      <c r="F1949" s="15" t="str">
        <f t="shared" si="30"/>
        <v>1209-250979-44753</v>
      </c>
    </row>
    <row r="1950" spans="1:6" ht="14.25" customHeight="1" x14ac:dyDescent="0.25">
      <c r="A1950" s="15" t="s">
        <v>2090</v>
      </c>
      <c r="B1950" s="17">
        <v>1209</v>
      </c>
      <c r="C1950" s="17">
        <v>250979</v>
      </c>
      <c r="D1950" s="28">
        <v>44760</v>
      </c>
      <c r="E1950" s="17">
        <v>3</v>
      </c>
      <c r="F1950" s="15" t="str">
        <f t="shared" si="30"/>
        <v>1209-250979-44760</v>
      </c>
    </row>
    <row r="1951" spans="1:6" ht="14.25" customHeight="1" x14ac:dyDescent="0.25">
      <c r="A1951" s="15" t="s">
        <v>2091</v>
      </c>
      <c r="B1951" s="17">
        <v>1209</v>
      </c>
      <c r="C1951" s="17">
        <v>250979</v>
      </c>
      <c r="D1951" s="28">
        <v>44767</v>
      </c>
      <c r="E1951" s="17">
        <v>3</v>
      </c>
      <c r="F1951" s="15" t="str">
        <f t="shared" si="30"/>
        <v>1209-250979-44767</v>
      </c>
    </row>
    <row r="1952" spans="1:6" ht="14.25" customHeight="1" x14ac:dyDescent="0.25">
      <c r="A1952" s="15" t="s">
        <v>2092</v>
      </c>
      <c r="B1952" s="17">
        <v>1209</v>
      </c>
      <c r="C1952" s="17">
        <v>250979</v>
      </c>
      <c r="D1952" s="28">
        <v>44774</v>
      </c>
      <c r="E1952" s="17">
        <v>3</v>
      </c>
      <c r="F1952" s="15" t="str">
        <f t="shared" si="30"/>
        <v>1209-250979-44774</v>
      </c>
    </row>
    <row r="1953" spans="1:6" ht="14.25" customHeight="1" x14ac:dyDescent="0.25">
      <c r="A1953" s="15" t="s">
        <v>2093</v>
      </c>
      <c r="B1953" s="17">
        <v>1209</v>
      </c>
      <c r="C1953" s="17">
        <v>250979</v>
      </c>
      <c r="D1953" s="28">
        <v>44781</v>
      </c>
      <c r="E1953" s="17">
        <v>3</v>
      </c>
      <c r="F1953" s="15" t="str">
        <f t="shared" si="30"/>
        <v>1209-250979-44781</v>
      </c>
    </row>
    <row r="1954" spans="1:6" ht="14.25" customHeight="1" x14ac:dyDescent="0.25">
      <c r="A1954" s="15" t="s">
        <v>2094</v>
      </c>
      <c r="B1954" s="17">
        <v>1209</v>
      </c>
      <c r="C1954" s="17">
        <v>250979</v>
      </c>
      <c r="D1954" s="28">
        <v>44788</v>
      </c>
      <c r="E1954" s="17">
        <v>3</v>
      </c>
      <c r="F1954" s="15" t="str">
        <f t="shared" si="30"/>
        <v>1209-250979-44788</v>
      </c>
    </row>
    <row r="1955" spans="1:6" ht="14.25" customHeight="1" x14ac:dyDescent="0.25">
      <c r="A1955" s="15" t="s">
        <v>2095</v>
      </c>
      <c r="B1955" s="17">
        <v>1209</v>
      </c>
      <c r="C1955" s="17">
        <v>250981</v>
      </c>
      <c r="D1955" s="28">
        <v>44739</v>
      </c>
      <c r="E1955" s="17">
        <v>-1</v>
      </c>
      <c r="F1955" s="15" t="str">
        <f t="shared" si="30"/>
        <v>1209-250981-44739</v>
      </c>
    </row>
    <row r="1956" spans="1:6" ht="14.25" customHeight="1" x14ac:dyDescent="0.25">
      <c r="A1956" s="15" t="s">
        <v>2096</v>
      </c>
      <c r="B1956" s="17">
        <v>1209</v>
      </c>
      <c r="C1956" s="17">
        <v>250981</v>
      </c>
      <c r="D1956" s="28">
        <v>44746</v>
      </c>
      <c r="E1956" s="17">
        <v>15</v>
      </c>
      <c r="F1956" s="15" t="str">
        <f t="shared" si="30"/>
        <v>1209-250981-44746</v>
      </c>
    </row>
    <row r="1957" spans="1:6" ht="14.25" customHeight="1" x14ac:dyDescent="0.25">
      <c r="A1957" s="15" t="s">
        <v>2097</v>
      </c>
      <c r="B1957" s="17">
        <v>1209</v>
      </c>
      <c r="C1957" s="17">
        <v>250981</v>
      </c>
      <c r="D1957" s="28">
        <v>44753</v>
      </c>
      <c r="E1957" s="17">
        <v>9</v>
      </c>
      <c r="F1957" s="15" t="str">
        <f t="shared" si="30"/>
        <v>1209-250981-44753</v>
      </c>
    </row>
    <row r="1958" spans="1:6" ht="14.25" customHeight="1" x14ac:dyDescent="0.25">
      <c r="A1958" s="15" t="s">
        <v>2098</v>
      </c>
      <c r="B1958" s="17">
        <v>1209</v>
      </c>
      <c r="C1958" s="17">
        <v>250981</v>
      </c>
      <c r="D1958" s="28">
        <v>44760</v>
      </c>
      <c r="E1958" s="17">
        <v>1</v>
      </c>
      <c r="F1958" s="15" t="str">
        <f t="shared" si="30"/>
        <v>1209-250981-44760</v>
      </c>
    </row>
    <row r="1959" spans="1:6" ht="14.25" customHeight="1" x14ac:dyDescent="0.25">
      <c r="A1959" s="15" t="s">
        <v>2099</v>
      </c>
      <c r="B1959" s="17">
        <v>1209</v>
      </c>
      <c r="C1959" s="17">
        <v>250981</v>
      </c>
      <c r="D1959" s="28">
        <v>44767</v>
      </c>
      <c r="E1959" s="17">
        <v>11</v>
      </c>
      <c r="F1959" s="15" t="str">
        <f t="shared" si="30"/>
        <v>1209-250981-44767</v>
      </c>
    </row>
    <row r="1960" spans="1:6" ht="14.25" customHeight="1" x14ac:dyDescent="0.25">
      <c r="A1960" s="15" t="s">
        <v>2100</v>
      </c>
      <c r="B1960" s="17">
        <v>1209</v>
      </c>
      <c r="C1960" s="17">
        <v>250981</v>
      </c>
      <c r="D1960" s="28">
        <v>44774</v>
      </c>
      <c r="E1960" s="17">
        <v>12</v>
      </c>
      <c r="F1960" s="15" t="str">
        <f t="shared" si="30"/>
        <v>1209-250981-44774</v>
      </c>
    </row>
    <row r="1961" spans="1:6" ht="14.25" customHeight="1" x14ac:dyDescent="0.25">
      <c r="A1961" s="15" t="s">
        <v>2101</v>
      </c>
      <c r="B1961" s="17">
        <v>1209</v>
      </c>
      <c r="C1961" s="17">
        <v>250981</v>
      </c>
      <c r="D1961" s="28">
        <v>44781</v>
      </c>
      <c r="E1961" s="17">
        <v>9</v>
      </c>
      <c r="F1961" s="15" t="str">
        <f t="shared" si="30"/>
        <v>1209-250981-44781</v>
      </c>
    </row>
    <row r="1962" spans="1:6" ht="14.25" customHeight="1" x14ac:dyDescent="0.25">
      <c r="A1962" s="15" t="s">
        <v>2102</v>
      </c>
      <c r="B1962" s="17">
        <v>1209</v>
      </c>
      <c r="C1962" s="17">
        <v>250981</v>
      </c>
      <c r="D1962" s="28">
        <v>44788</v>
      </c>
      <c r="E1962" s="17">
        <v>6</v>
      </c>
      <c r="F1962" s="15" t="str">
        <f t="shared" si="30"/>
        <v>1209-250981-44788</v>
      </c>
    </row>
    <row r="1963" spans="1:6" ht="14.25" customHeight="1" x14ac:dyDescent="0.25">
      <c r="A1963" s="15" t="s">
        <v>2103</v>
      </c>
      <c r="B1963" s="17">
        <v>1209</v>
      </c>
      <c r="C1963" s="17">
        <v>262294</v>
      </c>
      <c r="D1963" s="28">
        <v>44739</v>
      </c>
      <c r="E1963" s="17">
        <v>3</v>
      </c>
      <c r="F1963" s="15" t="str">
        <f t="shared" si="30"/>
        <v>1209-262294-44739</v>
      </c>
    </row>
    <row r="1964" spans="1:6" ht="14.25" customHeight="1" x14ac:dyDescent="0.25">
      <c r="A1964" s="15" t="s">
        <v>2104</v>
      </c>
      <c r="B1964" s="17">
        <v>1209</v>
      </c>
      <c r="C1964" s="17">
        <v>262294</v>
      </c>
      <c r="D1964" s="28">
        <v>44746</v>
      </c>
      <c r="E1964" s="17">
        <v>32</v>
      </c>
      <c r="F1964" s="15" t="str">
        <f t="shared" si="30"/>
        <v>1209-262294-44746</v>
      </c>
    </row>
    <row r="1965" spans="1:6" ht="14.25" customHeight="1" x14ac:dyDescent="0.25">
      <c r="A1965" s="15" t="s">
        <v>2105</v>
      </c>
      <c r="B1965" s="17">
        <v>1209</v>
      </c>
      <c r="C1965" s="17">
        <v>262294</v>
      </c>
      <c r="D1965" s="28">
        <v>44753</v>
      </c>
      <c r="E1965" s="17">
        <v>22</v>
      </c>
      <c r="F1965" s="15" t="str">
        <f t="shared" si="30"/>
        <v>1209-262294-44753</v>
      </c>
    </row>
    <row r="1966" spans="1:6" ht="14.25" customHeight="1" x14ac:dyDescent="0.25">
      <c r="A1966" s="15" t="s">
        <v>2106</v>
      </c>
      <c r="B1966" s="17">
        <v>1209</v>
      </c>
      <c r="C1966" s="17">
        <v>262294</v>
      </c>
      <c r="D1966" s="28">
        <v>44760</v>
      </c>
      <c r="E1966" s="17">
        <v>21</v>
      </c>
      <c r="F1966" s="15" t="str">
        <f t="shared" si="30"/>
        <v>1209-262294-44760</v>
      </c>
    </row>
    <row r="1967" spans="1:6" ht="14.25" customHeight="1" x14ac:dyDescent="0.25">
      <c r="A1967" s="15" t="s">
        <v>2107</v>
      </c>
      <c r="B1967" s="17">
        <v>1209</v>
      </c>
      <c r="C1967" s="17">
        <v>262294</v>
      </c>
      <c r="D1967" s="28">
        <v>44767</v>
      </c>
      <c r="E1967" s="17">
        <v>6</v>
      </c>
      <c r="F1967" s="15" t="str">
        <f t="shared" si="30"/>
        <v>1209-262294-44767</v>
      </c>
    </row>
    <row r="1968" spans="1:6" ht="14.25" customHeight="1" x14ac:dyDescent="0.25">
      <c r="A1968" s="15" t="s">
        <v>2108</v>
      </c>
      <c r="B1968" s="17">
        <v>1209</v>
      </c>
      <c r="C1968" s="17">
        <v>262294</v>
      </c>
      <c r="D1968" s="28">
        <v>44774</v>
      </c>
      <c r="E1968" s="17">
        <v>32</v>
      </c>
      <c r="F1968" s="15" t="str">
        <f t="shared" si="30"/>
        <v>1209-262294-44774</v>
      </c>
    </row>
    <row r="1969" spans="1:6" ht="14.25" customHeight="1" x14ac:dyDescent="0.25">
      <c r="A1969" s="15" t="s">
        <v>2109</v>
      </c>
      <c r="B1969" s="17">
        <v>1209</v>
      </c>
      <c r="C1969" s="17">
        <v>262294</v>
      </c>
      <c r="D1969" s="28">
        <v>44781</v>
      </c>
      <c r="E1969" s="17">
        <v>28</v>
      </c>
      <c r="F1969" s="15" t="str">
        <f t="shared" si="30"/>
        <v>1209-262294-44781</v>
      </c>
    </row>
    <row r="1970" spans="1:6" ht="14.25" customHeight="1" x14ac:dyDescent="0.25">
      <c r="A1970" s="15" t="s">
        <v>2110</v>
      </c>
      <c r="B1970" s="17">
        <v>1209</v>
      </c>
      <c r="C1970" s="17">
        <v>262294</v>
      </c>
      <c r="D1970" s="28">
        <v>44788</v>
      </c>
      <c r="E1970" s="17">
        <v>18</v>
      </c>
      <c r="F1970" s="15" t="str">
        <f t="shared" si="30"/>
        <v>1209-262294-44788</v>
      </c>
    </row>
    <row r="1971" spans="1:6" ht="14.25" customHeight="1" x14ac:dyDescent="0.25">
      <c r="A1971" s="15" t="s">
        <v>2111</v>
      </c>
      <c r="B1971" s="17">
        <v>1209</v>
      </c>
      <c r="C1971" s="17">
        <v>268831</v>
      </c>
      <c r="D1971" s="28">
        <v>44739</v>
      </c>
      <c r="E1971" s="17">
        <v>36</v>
      </c>
      <c r="F1971" s="15" t="str">
        <f t="shared" si="30"/>
        <v>1209-268831-44739</v>
      </c>
    </row>
    <row r="1972" spans="1:6" ht="14.25" customHeight="1" x14ac:dyDescent="0.25">
      <c r="A1972" s="15" t="s">
        <v>2112</v>
      </c>
      <c r="B1972" s="17">
        <v>1209</v>
      </c>
      <c r="C1972" s="17">
        <v>268831</v>
      </c>
      <c r="D1972" s="28">
        <v>44746</v>
      </c>
      <c r="E1972" s="17">
        <v>35</v>
      </c>
      <c r="F1972" s="15" t="str">
        <f t="shared" si="30"/>
        <v>1209-268831-44746</v>
      </c>
    </row>
    <row r="1973" spans="1:6" ht="14.25" customHeight="1" x14ac:dyDescent="0.25">
      <c r="A1973" s="15" t="s">
        <v>2113</v>
      </c>
      <c r="B1973" s="17">
        <v>1209</v>
      </c>
      <c r="C1973" s="17">
        <v>268831</v>
      </c>
      <c r="D1973" s="28">
        <v>44753</v>
      </c>
      <c r="E1973" s="17">
        <v>33</v>
      </c>
      <c r="F1973" s="15" t="str">
        <f t="shared" si="30"/>
        <v>1209-268831-44753</v>
      </c>
    </row>
    <row r="1974" spans="1:6" ht="14.25" customHeight="1" x14ac:dyDescent="0.25">
      <c r="A1974" s="15" t="s">
        <v>2114</v>
      </c>
      <c r="B1974" s="17">
        <v>1209</v>
      </c>
      <c r="C1974" s="17">
        <v>268831</v>
      </c>
      <c r="D1974" s="28">
        <v>44760</v>
      </c>
      <c r="E1974" s="17">
        <v>15</v>
      </c>
      <c r="F1974" s="15" t="str">
        <f t="shared" si="30"/>
        <v>1209-268831-44760</v>
      </c>
    </row>
    <row r="1975" spans="1:6" ht="14.25" customHeight="1" x14ac:dyDescent="0.25">
      <c r="A1975" s="15" t="s">
        <v>2115</v>
      </c>
      <c r="B1975" s="17">
        <v>1209</v>
      </c>
      <c r="C1975" s="17">
        <v>268831</v>
      </c>
      <c r="D1975" s="28">
        <v>44767</v>
      </c>
      <c r="E1975" s="17">
        <v>17</v>
      </c>
      <c r="F1975" s="15" t="str">
        <f t="shared" si="30"/>
        <v>1209-268831-44767</v>
      </c>
    </row>
    <row r="1976" spans="1:6" ht="14.25" customHeight="1" x14ac:dyDescent="0.25">
      <c r="A1976" s="15" t="s">
        <v>2116</v>
      </c>
      <c r="B1976" s="17">
        <v>1209</v>
      </c>
      <c r="C1976" s="17">
        <v>268831</v>
      </c>
      <c r="D1976" s="28">
        <v>44774</v>
      </c>
      <c r="E1976" s="17">
        <v>17</v>
      </c>
      <c r="F1976" s="15" t="str">
        <f t="shared" si="30"/>
        <v>1209-268831-44774</v>
      </c>
    </row>
    <row r="1977" spans="1:6" ht="14.25" customHeight="1" x14ac:dyDescent="0.25">
      <c r="A1977" s="15" t="s">
        <v>2117</v>
      </c>
      <c r="B1977" s="17">
        <v>1209</v>
      </c>
      <c r="C1977" s="17">
        <v>268831</v>
      </c>
      <c r="D1977" s="28">
        <v>44781</v>
      </c>
      <c r="E1977" s="17">
        <v>22</v>
      </c>
      <c r="F1977" s="15" t="str">
        <f t="shared" si="30"/>
        <v>1209-268831-44781</v>
      </c>
    </row>
    <row r="1978" spans="1:6" ht="14.25" customHeight="1" x14ac:dyDescent="0.25">
      <c r="A1978" s="15" t="s">
        <v>2118</v>
      </c>
      <c r="B1978" s="17">
        <v>1209</v>
      </c>
      <c r="C1978" s="17">
        <v>268831</v>
      </c>
      <c r="D1978" s="28">
        <v>44788</v>
      </c>
      <c r="E1978" s="17">
        <v>38</v>
      </c>
      <c r="F1978" s="15" t="str">
        <f t="shared" si="30"/>
        <v>1209-268831-44788</v>
      </c>
    </row>
    <row r="1979" spans="1:6" ht="14.25" customHeight="1" x14ac:dyDescent="0.25">
      <c r="A1979" s="15" t="s">
        <v>2119</v>
      </c>
      <c r="B1979" s="17">
        <v>1209</v>
      </c>
      <c r="C1979" s="17">
        <v>273701</v>
      </c>
      <c r="D1979" s="28">
        <v>44739</v>
      </c>
      <c r="E1979" s="17">
        <v>6</v>
      </c>
      <c r="F1979" s="15" t="str">
        <f t="shared" si="30"/>
        <v>1209-273701-44739</v>
      </c>
    </row>
    <row r="1980" spans="1:6" ht="14.25" customHeight="1" x14ac:dyDescent="0.25">
      <c r="A1980" s="15" t="s">
        <v>2120</v>
      </c>
      <c r="B1980" s="17">
        <v>1209</v>
      </c>
      <c r="C1980" s="17">
        <v>273701</v>
      </c>
      <c r="D1980" s="28">
        <v>44746</v>
      </c>
      <c r="E1980" s="17">
        <v>15</v>
      </c>
      <c r="F1980" s="15" t="str">
        <f t="shared" si="30"/>
        <v>1209-273701-44746</v>
      </c>
    </row>
    <row r="1981" spans="1:6" ht="14.25" customHeight="1" x14ac:dyDescent="0.25">
      <c r="A1981" s="15" t="s">
        <v>2121</v>
      </c>
      <c r="B1981" s="17">
        <v>1209</v>
      </c>
      <c r="C1981" s="17">
        <v>273701</v>
      </c>
      <c r="D1981" s="28">
        <v>44753</v>
      </c>
      <c r="E1981" s="17">
        <v>16</v>
      </c>
      <c r="F1981" s="15" t="str">
        <f t="shared" si="30"/>
        <v>1209-273701-44753</v>
      </c>
    </row>
    <row r="1982" spans="1:6" ht="14.25" customHeight="1" x14ac:dyDescent="0.25">
      <c r="A1982" s="15" t="s">
        <v>2122</v>
      </c>
      <c r="B1982" s="17">
        <v>1209</v>
      </c>
      <c r="C1982" s="17">
        <v>273701</v>
      </c>
      <c r="D1982" s="28">
        <v>44760</v>
      </c>
      <c r="E1982" s="17">
        <v>15</v>
      </c>
      <c r="F1982" s="15" t="str">
        <f t="shared" si="30"/>
        <v>1209-273701-44760</v>
      </c>
    </row>
    <row r="1983" spans="1:6" ht="14.25" customHeight="1" x14ac:dyDescent="0.25">
      <c r="A1983" s="15" t="s">
        <v>2123</v>
      </c>
      <c r="B1983" s="17">
        <v>1209</v>
      </c>
      <c r="C1983" s="17">
        <v>273701</v>
      </c>
      <c r="D1983" s="28">
        <v>44767</v>
      </c>
      <c r="E1983" s="17">
        <v>12</v>
      </c>
      <c r="F1983" s="15" t="str">
        <f t="shared" si="30"/>
        <v>1209-273701-44767</v>
      </c>
    </row>
    <row r="1984" spans="1:6" ht="14.25" customHeight="1" x14ac:dyDescent="0.25">
      <c r="A1984" s="15" t="s">
        <v>2124</v>
      </c>
      <c r="B1984" s="17">
        <v>1209</v>
      </c>
      <c r="C1984" s="17">
        <v>273701</v>
      </c>
      <c r="D1984" s="28">
        <v>44774</v>
      </c>
      <c r="E1984" s="17">
        <v>3</v>
      </c>
      <c r="F1984" s="15" t="str">
        <f t="shared" si="30"/>
        <v>1209-273701-44774</v>
      </c>
    </row>
    <row r="1985" spans="1:6" ht="14.25" customHeight="1" x14ac:dyDescent="0.25">
      <c r="A1985" s="15" t="s">
        <v>2125</v>
      </c>
      <c r="B1985" s="17">
        <v>1209</v>
      </c>
      <c r="C1985" s="17">
        <v>273701</v>
      </c>
      <c r="D1985" s="28">
        <v>44781</v>
      </c>
      <c r="E1985" s="17">
        <v>11</v>
      </c>
      <c r="F1985" s="15" t="str">
        <f t="shared" si="30"/>
        <v>1209-273701-44781</v>
      </c>
    </row>
    <row r="1986" spans="1:6" ht="14.25" customHeight="1" x14ac:dyDescent="0.25">
      <c r="A1986" s="15" t="s">
        <v>2126</v>
      </c>
      <c r="B1986" s="17">
        <v>1209</v>
      </c>
      <c r="C1986" s="17">
        <v>273701</v>
      </c>
      <c r="D1986" s="28">
        <v>44788</v>
      </c>
      <c r="E1986" s="17">
        <v>15</v>
      </c>
      <c r="F1986" s="15" t="str">
        <f t="shared" si="30"/>
        <v>1209-273701-44788</v>
      </c>
    </row>
    <row r="1987" spans="1:6" ht="14.25" customHeight="1" x14ac:dyDescent="0.25">
      <c r="A1987" s="15" t="s">
        <v>2127</v>
      </c>
      <c r="B1987" s="17">
        <v>1209</v>
      </c>
      <c r="C1987" s="17">
        <v>291726</v>
      </c>
      <c r="D1987" s="28">
        <v>44739</v>
      </c>
      <c r="E1987" s="17">
        <v>14</v>
      </c>
      <c r="F1987" s="15" t="str">
        <f t="shared" ref="F1987:F2050" si="31">B1987&amp;"-"&amp;C1987&amp;"-"&amp;INT(D1987)</f>
        <v>1209-291726-44739</v>
      </c>
    </row>
    <row r="1988" spans="1:6" ht="14.25" customHeight="1" x14ac:dyDescent="0.25">
      <c r="A1988" s="15" t="s">
        <v>2128</v>
      </c>
      <c r="B1988" s="17">
        <v>1209</v>
      </c>
      <c r="C1988" s="17">
        <v>291726</v>
      </c>
      <c r="D1988" s="28">
        <v>44746</v>
      </c>
      <c r="E1988" s="17">
        <v>14</v>
      </c>
      <c r="F1988" s="15" t="str">
        <f t="shared" si="31"/>
        <v>1209-291726-44746</v>
      </c>
    </row>
    <row r="1989" spans="1:6" ht="14.25" customHeight="1" x14ac:dyDescent="0.25">
      <c r="A1989" s="15" t="s">
        <v>2129</v>
      </c>
      <c r="B1989" s="17">
        <v>1209</v>
      </c>
      <c r="C1989" s="17">
        <v>291726</v>
      </c>
      <c r="D1989" s="28">
        <v>44753</v>
      </c>
      <c r="E1989" s="17">
        <v>8</v>
      </c>
      <c r="F1989" s="15" t="str">
        <f t="shared" si="31"/>
        <v>1209-291726-44753</v>
      </c>
    </row>
    <row r="1990" spans="1:6" ht="14.25" customHeight="1" x14ac:dyDescent="0.25">
      <c r="A1990" s="15" t="s">
        <v>2130</v>
      </c>
      <c r="B1990" s="17">
        <v>1209</v>
      </c>
      <c r="C1990" s="17">
        <v>291726</v>
      </c>
      <c r="D1990" s="28">
        <v>44760</v>
      </c>
      <c r="E1990" s="17">
        <v>12</v>
      </c>
      <c r="F1990" s="15" t="str">
        <f t="shared" si="31"/>
        <v>1209-291726-44760</v>
      </c>
    </row>
    <row r="1991" spans="1:6" ht="14.25" customHeight="1" x14ac:dyDescent="0.25">
      <c r="A1991" s="15" t="s">
        <v>2131</v>
      </c>
      <c r="B1991" s="17">
        <v>1209</v>
      </c>
      <c r="C1991" s="17">
        <v>291726</v>
      </c>
      <c r="D1991" s="28">
        <v>44767</v>
      </c>
      <c r="E1991" s="17">
        <v>7</v>
      </c>
      <c r="F1991" s="15" t="str">
        <f t="shared" si="31"/>
        <v>1209-291726-44767</v>
      </c>
    </row>
    <row r="1992" spans="1:6" ht="14.25" customHeight="1" x14ac:dyDescent="0.25">
      <c r="A1992" s="15" t="s">
        <v>2132</v>
      </c>
      <c r="B1992" s="17">
        <v>1209</v>
      </c>
      <c r="C1992" s="17">
        <v>291726</v>
      </c>
      <c r="D1992" s="28">
        <v>44774</v>
      </c>
      <c r="E1992" s="17">
        <v>10</v>
      </c>
      <c r="F1992" s="15" t="str">
        <f t="shared" si="31"/>
        <v>1209-291726-44774</v>
      </c>
    </row>
    <row r="1993" spans="1:6" ht="14.25" customHeight="1" x14ac:dyDescent="0.25">
      <c r="A1993" s="15" t="s">
        <v>2133</v>
      </c>
      <c r="B1993" s="17">
        <v>1209</v>
      </c>
      <c r="C1993" s="17">
        <v>291726</v>
      </c>
      <c r="D1993" s="28">
        <v>44781</v>
      </c>
      <c r="E1993" s="17">
        <v>-2</v>
      </c>
      <c r="F1993" s="15" t="str">
        <f t="shared" si="31"/>
        <v>1209-291726-44781</v>
      </c>
    </row>
    <row r="1994" spans="1:6" ht="14.25" customHeight="1" x14ac:dyDescent="0.25">
      <c r="A1994" s="15" t="s">
        <v>2134</v>
      </c>
      <c r="B1994" s="17">
        <v>1209</v>
      </c>
      <c r="C1994" s="17">
        <v>291726</v>
      </c>
      <c r="D1994" s="28">
        <v>44788</v>
      </c>
      <c r="E1994" s="17">
        <v>6</v>
      </c>
      <c r="F1994" s="15" t="str">
        <f t="shared" si="31"/>
        <v>1209-291726-44788</v>
      </c>
    </row>
    <row r="1995" spans="1:6" ht="14.25" customHeight="1" x14ac:dyDescent="0.25">
      <c r="A1995" s="15" t="s">
        <v>2135</v>
      </c>
      <c r="B1995" s="17">
        <v>1209</v>
      </c>
      <c r="C1995" s="17">
        <v>300380</v>
      </c>
      <c r="D1995" s="28">
        <v>32874</v>
      </c>
      <c r="E1995" s="17">
        <v>18</v>
      </c>
      <c r="F1995" s="15" t="str">
        <f t="shared" si="31"/>
        <v>1209-300380-32874</v>
      </c>
    </row>
    <row r="1996" spans="1:6" ht="14.25" customHeight="1" x14ac:dyDescent="0.25">
      <c r="A1996" s="15" t="s">
        <v>2136</v>
      </c>
      <c r="B1996" s="17">
        <v>1209</v>
      </c>
      <c r="C1996" s="17">
        <v>300380</v>
      </c>
      <c r="D1996" s="28">
        <v>44739</v>
      </c>
      <c r="E1996" s="17">
        <v>77</v>
      </c>
      <c r="F1996" s="15" t="str">
        <f t="shared" si="31"/>
        <v>1209-300380-44739</v>
      </c>
    </row>
    <row r="1997" spans="1:6" ht="14.25" customHeight="1" x14ac:dyDescent="0.25">
      <c r="A1997" s="15" t="s">
        <v>2137</v>
      </c>
      <c r="B1997" s="17">
        <v>1209</v>
      </c>
      <c r="C1997" s="17">
        <v>300380</v>
      </c>
      <c r="D1997" s="28">
        <v>44746</v>
      </c>
      <c r="E1997" s="17">
        <v>70</v>
      </c>
      <c r="F1997" s="15" t="str">
        <f t="shared" si="31"/>
        <v>1209-300380-44746</v>
      </c>
    </row>
    <row r="1998" spans="1:6" ht="14.25" customHeight="1" x14ac:dyDescent="0.25">
      <c r="A1998" s="15" t="s">
        <v>2138</v>
      </c>
      <c r="B1998" s="17">
        <v>1209</v>
      </c>
      <c r="C1998" s="17">
        <v>300380</v>
      </c>
      <c r="D1998" s="31">
        <v>44753</v>
      </c>
      <c r="E1998" s="17">
        <v>73</v>
      </c>
      <c r="F1998" s="15" t="str">
        <f t="shared" si="31"/>
        <v>1209-300380-44753</v>
      </c>
    </row>
    <row r="1999" spans="1:6" ht="14.25" customHeight="1" x14ac:dyDescent="0.25">
      <c r="A1999" s="15" t="s">
        <v>2139</v>
      </c>
      <c r="B1999" s="17">
        <v>1209</v>
      </c>
      <c r="C1999" s="17">
        <v>300380</v>
      </c>
      <c r="D1999" s="31">
        <v>44760</v>
      </c>
      <c r="E1999" s="17">
        <v>67</v>
      </c>
      <c r="F1999" s="15" t="str">
        <f t="shared" si="31"/>
        <v>1209-300380-44760</v>
      </c>
    </row>
    <row r="2000" spans="1:6" ht="14.25" customHeight="1" x14ac:dyDescent="0.25">
      <c r="A2000" s="15" t="s">
        <v>2140</v>
      </c>
      <c r="B2000" s="17">
        <v>1209</v>
      </c>
      <c r="C2000" s="17">
        <v>300380</v>
      </c>
      <c r="D2000" s="31">
        <v>44767</v>
      </c>
      <c r="E2000" s="17">
        <v>48</v>
      </c>
      <c r="F2000" s="15" t="str">
        <f t="shared" si="31"/>
        <v>1209-300380-44767</v>
      </c>
    </row>
    <row r="2001" spans="1:6" ht="14.25" customHeight="1" x14ac:dyDescent="0.25">
      <c r="A2001" s="15" t="s">
        <v>2141</v>
      </c>
      <c r="B2001" s="17">
        <v>1209</v>
      </c>
      <c r="C2001" s="17">
        <v>300380</v>
      </c>
      <c r="D2001" s="31">
        <v>44774</v>
      </c>
      <c r="E2001" s="17">
        <v>66</v>
      </c>
      <c r="F2001" s="15" t="str">
        <f t="shared" si="31"/>
        <v>1209-300380-44774</v>
      </c>
    </row>
    <row r="2002" spans="1:6" ht="14.25" customHeight="1" x14ac:dyDescent="0.25">
      <c r="A2002" s="15" t="s">
        <v>2142</v>
      </c>
      <c r="B2002" s="17">
        <v>1209</v>
      </c>
      <c r="C2002" s="17">
        <v>300380</v>
      </c>
      <c r="D2002" s="31">
        <v>44781</v>
      </c>
      <c r="E2002" s="17">
        <v>72</v>
      </c>
      <c r="F2002" s="15" t="str">
        <f t="shared" si="31"/>
        <v>1209-300380-44781</v>
      </c>
    </row>
    <row r="2003" spans="1:6" ht="14.25" customHeight="1" x14ac:dyDescent="0.25">
      <c r="A2003" s="15" t="s">
        <v>2143</v>
      </c>
      <c r="B2003" s="17">
        <v>1209</v>
      </c>
      <c r="C2003" s="17">
        <v>300380</v>
      </c>
      <c r="D2003" s="31">
        <v>44788</v>
      </c>
      <c r="E2003" s="17">
        <v>14</v>
      </c>
      <c r="F2003" s="15" t="str">
        <f t="shared" si="31"/>
        <v>1209-300380-44788</v>
      </c>
    </row>
    <row r="2004" spans="1:6" ht="14.25" customHeight="1" x14ac:dyDescent="0.25">
      <c r="A2004" s="15" t="s">
        <v>2144</v>
      </c>
      <c r="B2004" s="17">
        <v>1209</v>
      </c>
      <c r="C2004" s="17">
        <v>571521</v>
      </c>
      <c r="D2004" s="31">
        <v>44739</v>
      </c>
      <c r="E2004" s="17">
        <v>45</v>
      </c>
      <c r="F2004" s="15" t="str">
        <f t="shared" si="31"/>
        <v>1209-571521-44739</v>
      </c>
    </row>
    <row r="2005" spans="1:6" ht="14.25" customHeight="1" x14ac:dyDescent="0.25">
      <c r="A2005" s="15" t="s">
        <v>2145</v>
      </c>
      <c r="B2005" s="17">
        <v>1209</v>
      </c>
      <c r="C2005" s="17">
        <v>571521</v>
      </c>
      <c r="D2005" s="31">
        <v>44746</v>
      </c>
      <c r="E2005" s="17">
        <v>30</v>
      </c>
      <c r="F2005" s="15" t="str">
        <f t="shared" si="31"/>
        <v>1209-571521-44746</v>
      </c>
    </row>
    <row r="2006" spans="1:6" ht="14.25" customHeight="1" x14ac:dyDescent="0.25">
      <c r="A2006" s="15" t="s">
        <v>2146</v>
      </c>
      <c r="B2006" s="17">
        <v>1209</v>
      </c>
      <c r="C2006" s="17">
        <v>571521</v>
      </c>
      <c r="D2006" s="31">
        <v>44753</v>
      </c>
      <c r="E2006" s="17">
        <v>8</v>
      </c>
      <c r="F2006" s="15" t="str">
        <f t="shared" si="31"/>
        <v>1209-571521-44753</v>
      </c>
    </row>
    <row r="2007" spans="1:6" ht="14.25" customHeight="1" x14ac:dyDescent="0.25">
      <c r="A2007" s="15" t="s">
        <v>2147</v>
      </c>
      <c r="B2007" s="17">
        <v>1209</v>
      </c>
      <c r="C2007" s="17">
        <v>571521</v>
      </c>
      <c r="D2007" s="31">
        <v>44760</v>
      </c>
      <c r="E2007" s="17">
        <v>28</v>
      </c>
      <c r="F2007" s="15" t="str">
        <f t="shared" si="31"/>
        <v>1209-571521-44760</v>
      </c>
    </row>
    <row r="2008" spans="1:6" ht="14.25" customHeight="1" x14ac:dyDescent="0.25">
      <c r="A2008" s="15" t="s">
        <v>2148</v>
      </c>
      <c r="B2008" s="17">
        <v>1209</v>
      </c>
      <c r="C2008" s="17">
        <v>571521</v>
      </c>
      <c r="D2008" s="31">
        <v>44767</v>
      </c>
      <c r="E2008" s="17">
        <v>30</v>
      </c>
      <c r="F2008" s="15" t="str">
        <f t="shared" si="31"/>
        <v>1209-571521-44767</v>
      </c>
    </row>
    <row r="2009" spans="1:6" ht="14.25" customHeight="1" x14ac:dyDescent="0.25">
      <c r="A2009" s="15" t="s">
        <v>2149</v>
      </c>
      <c r="B2009" s="17">
        <v>1209</v>
      </c>
      <c r="C2009" s="17">
        <v>571521</v>
      </c>
      <c r="D2009" s="31">
        <v>44774</v>
      </c>
      <c r="E2009" s="17">
        <v>30</v>
      </c>
      <c r="F2009" s="15" t="str">
        <f t="shared" si="31"/>
        <v>1209-571521-44774</v>
      </c>
    </row>
    <row r="2010" spans="1:6" ht="14.25" customHeight="1" x14ac:dyDescent="0.25">
      <c r="A2010" s="15" t="s">
        <v>2150</v>
      </c>
      <c r="B2010" s="17">
        <v>1209</v>
      </c>
      <c r="C2010" s="17">
        <v>571521</v>
      </c>
      <c r="D2010" s="31">
        <v>44781</v>
      </c>
      <c r="E2010" s="17">
        <v>36</v>
      </c>
      <c r="F2010" s="15" t="str">
        <f t="shared" si="31"/>
        <v>1209-571521-44781</v>
      </c>
    </row>
    <row r="2011" spans="1:6" ht="14.25" customHeight="1" x14ac:dyDescent="0.25">
      <c r="A2011" s="15" t="s">
        <v>2151</v>
      </c>
      <c r="B2011" s="17">
        <v>1209</v>
      </c>
      <c r="C2011" s="17">
        <v>571521</v>
      </c>
      <c r="D2011" s="31">
        <v>44788</v>
      </c>
      <c r="E2011" s="17">
        <v>7</v>
      </c>
      <c r="F2011" s="15" t="str">
        <f t="shared" si="31"/>
        <v>1209-571521-44788</v>
      </c>
    </row>
    <row r="2012" spans="1:6" ht="14.25" customHeight="1" x14ac:dyDescent="0.25">
      <c r="A2012" s="15" t="s">
        <v>2152</v>
      </c>
      <c r="B2012" s="17">
        <v>1210</v>
      </c>
      <c r="C2012" s="17">
        <v>23393</v>
      </c>
      <c r="D2012" s="31">
        <v>32874</v>
      </c>
      <c r="E2012" s="17">
        <v>360</v>
      </c>
      <c r="F2012" s="15" t="str">
        <f t="shared" si="31"/>
        <v>1210-23393-32874</v>
      </c>
    </row>
    <row r="2013" spans="1:6" ht="14.25" customHeight="1" x14ac:dyDescent="0.25">
      <c r="A2013" s="15" t="s">
        <v>2153</v>
      </c>
      <c r="B2013" s="17">
        <v>1210</v>
      </c>
      <c r="C2013" s="17">
        <v>23393</v>
      </c>
      <c r="D2013" s="31">
        <v>44739</v>
      </c>
      <c r="E2013" s="17">
        <v>441</v>
      </c>
      <c r="F2013" s="15" t="str">
        <f t="shared" si="31"/>
        <v>1210-23393-44739</v>
      </c>
    </row>
    <row r="2014" spans="1:6" ht="14.25" customHeight="1" x14ac:dyDescent="0.25">
      <c r="A2014" s="15" t="s">
        <v>2154</v>
      </c>
      <c r="B2014" s="17">
        <v>1210</v>
      </c>
      <c r="C2014" s="17">
        <v>23393</v>
      </c>
      <c r="D2014" s="31">
        <v>44746</v>
      </c>
      <c r="E2014" s="17">
        <v>472</v>
      </c>
      <c r="F2014" s="15" t="str">
        <f t="shared" si="31"/>
        <v>1210-23393-44746</v>
      </c>
    </row>
    <row r="2015" spans="1:6" ht="14.25" customHeight="1" x14ac:dyDescent="0.25">
      <c r="A2015" s="15" t="s">
        <v>2155</v>
      </c>
      <c r="B2015" s="17">
        <v>1210</v>
      </c>
      <c r="C2015" s="17">
        <v>23393</v>
      </c>
      <c r="D2015" s="31">
        <v>44753</v>
      </c>
      <c r="E2015" s="17">
        <v>491</v>
      </c>
      <c r="F2015" s="15" t="str">
        <f t="shared" si="31"/>
        <v>1210-23393-44753</v>
      </c>
    </row>
    <row r="2016" spans="1:6" ht="14.25" customHeight="1" x14ac:dyDescent="0.25">
      <c r="A2016" s="15" t="s">
        <v>2156</v>
      </c>
      <c r="B2016" s="17">
        <v>1210</v>
      </c>
      <c r="C2016" s="17">
        <v>23393</v>
      </c>
      <c r="D2016" s="31">
        <v>44760</v>
      </c>
      <c r="E2016" s="17">
        <v>222</v>
      </c>
      <c r="F2016" s="15" t="str">
        <f t="shared" si="31"/>
        <v>1210-23393-44760</v>
      </c>
    </row>
    <row r="2017" spans="1:6" ht="14.25" customHeight="1" x14ac:dyDescent="0.25">
      <c r="A2017" s="15" t="s">
        <v>2157</v>
      </c>
      <c r="B2017" s="17">
        <v>1210</v>
      </c>
      <c r="C2017" s="17">
        <v>23393</v>
      </c>
      <c r="D2017" s="31">
        <v>44767</v>
      </c>
      <c r="E2017" s="17">
        <v>484</v>
      </c>
      <c r="F2017" s="15" t="str">
        <f t="shared" si="31"/>
        <v>1210-23393-44767</v>
      </c>
    </row>
    <row r="2018" spans="1:6" ht="14.25" customHeight="1" x14ac:dyDescent="0.25">
      <c r="A2018" s="15" t="s">
        <v>2158</v>
      </c>
      <c r="B2018" s="17">
        <v>1210</v>
      </c>
      <c r="C2018" s="17">
        <v>23393</v>
      </c>
      <c r="D2018" s="31">
        <v>44774</v>
      </c>
      <c r="E2018" s="17">
        <v>472</v>
      </c>
      <c r="F2018" s="15" t="str">
        <f t="shared" si="31"/>
        <v>1210-23393-44774</v>
      </c>
    </row>
    <row r="2019" spans="1:6" ht="14.25" customHeight="1" x14ac:dyDescent="0.25">
      <c r="A2019" s="15" t="s">
        <v>2159</v>
      </c>
      <c r="B2019" s="17">
        <v>1210</v>
      </c>
      <c r="C2019" s="17">
        <v>23393</v>
      </c>
      <c r="D2019" s="31">
        <v>44781</v>
      </c>
      <c r="E2019" s="17">
        <v>440</v>
      </c>
      <c r="F2019" s="15" t="str">
        <f t="shared" si="31"/>
        <v>1210-23393-44781</v>
      </c>
    </row>
    <row r="2020" spans="1:6" ht="14.25" customHeight="1" x14ac:dyDescent="0.25">
      <c r="A2020" s="15" t="s">
        <v>2160</v>
      </c>
      <c r="B2020" s="17">
        <v>1210</v>
      </c>
      <c r="C2020" s="17">
        <v>23393</v>
      </c>
      <c r="D2020" s="31">
        <v>44788</v>
      </c>
      <c r="E2020" s="17">
        <v>218</v>
      </c>
      <c r="F2020" s="15" t="str">
        <f t="shared" si="31"/>
        <v>1210-23393-44788</v>
      </c>
    </row>
    <row r="2021" spans="1:6" ht="14.25" customHeight="1" x14ac:dyDescent="0.25">
      <c r="A2021" s="15" t="s">
        <v>2161</v>
      </c>
      <c r="B2021" s="17">
        <v>1210</v>
      </c>
      <c r="C2021" s="17">
        <v>26764</v>
      </c>
      <c r="D2021" s="31">
        <v>44739</v>
      </c>
      <c r="E2021" s="17">
        <v>207</v>
      </c>
      <c r="F2021" s="15" t="str">
        <f t="shared" si="31"/>
        <v>1210-26764-44739</v>
      </c>
    </row>
    <row r="2022" spans="1:6" ht="14.25" customHeight="1" x14ac:dyDescent="0.25">
      <c r="A2022" s="15" t="s">
        <v>2162</v>
      </c>
      <c r="B2022" s="17">
        <v>1210</v>
      </c>
      <c r="C2022" s="17">
        <v>26764</v>
      </c>
      <c r="D2022" s="31">
        <v>44746</v>
      </c>
      <c r="E2022" s="17">
        <v>173</v>
      </c>
      <c r="F2022" s="15" t="str">
        <f t="shared" si="31"/>
        <v>1210-26764-44746</v>
      </c>
    </row>
    <row r="2023" spans="1:6" ht="14.25" customHeight="1" x14ac:dyDescent="0.25">
      <c r="A2023" s="15" t="s">
        <v>2163</v>
      </c>
      <c r="B2023" s="17">
        <v>1210</v>
      </c>
      <c r="C2023" s="17">
        <v>26764</v>
      </c>
      <c r="D2023" s="31">
        <v>44753</v>
      </c>
      <c r="E2023" s="17">
        <v>170</v>
      </c>
      <c r="F2023" s="15" t="str">
        <f t="shared" si="31"/>
        <v>1210-26764-44753</v>
      </c>
    </row>
    <row r="2024" spans="1:6" ht="14.25" customHeight="1" x14ac:dyDescent="0.25">
      <c r="A2024" s="15" t="s">
        <v>2164</v>
      </c>
      <c r="B2024" s="17">
        <v>1210</v>
      </c>
      <c r="C2024" s="17">
        <v>26764</v>
      </c>
      <c r="D2024" s="31">
        <v>44760</v>
      </c>
      <c r="E2024" s="17">
        <v>80</v>
      </c>
      <c r="F2024" s="15" t="str">
        <f t="shared" si="31"/>
        <v>1210-26764-44760</v>
      </c>
    </row>
    <row r="2025" spans="1:6" ht="14.25" customHeight="1" x14ac:dyDescent="0.25">
      <c r="A2025" s="15" t="s">
        <v>2165</v>
      </c>
      <c r="B2025" s="17">
        <v>1210</v>
      </c>
      <c r="C2025" s="17">
        <v>26764</v>
      </c>
      <c r="D2025" s="31">
        <v>44767</v>
      </c>
      <c r="E2025" s="17">
        <v>198</v>
      </c>
      <c r="F2025" s="15" t="str">
        <f t="shared" si="31"/>
        <v>1210-26764-44767</v>
      </c>
    </row>
    <row r="2026" spans="1:6" ht="14.25" customHeight="1" x14ac:dyDescent="0.25">
      <c r="A2026" s="15" t="s">
        <v>2166</v>
      </c>
      <c r="B2026" s="17">
        <v>1210</v>
      </c>
      <c r="C2026" s="17">
        <v>26764</v>
      </c>
      <c r="D2026" s="31">
        <v>44774</v>
      </c>
      <c r="E2026" s="17">
        <v>254</v>
      </c>
      <c r="F2026" s="15" t="str">
        <f t="shared" si="31"/>
        <v>1210-26764-44774</v>
      </c>
    </row>
    <row r="2027" spans="1:6" ht="14.25" customHeight="1" x14ac:dyDescent="0.25">
      <c r="A2027" s="15" t="s">
        <v>2167</v>
      </c>
      <c r="B2027" s="17">
        <v>1210</v>
      </c>
      <c r="C2027" s="17">
        <v>26764</v>
      </c>
      <c r="D2027" s="31">
        <v>44781</v>
      </c>
      <c r="E2027" s="17">
        <v>77</v>
      </c>
      <c r="F2027" s="15" t="str">
        <f t="shared" si="31"/>
        <v>1210-26764-44781</v>
      </c>
    </row>
    <row r="2028" spans="1:6" ht="14.25" customHeight="1" x14ac:dyDescent="0.25">
      <c r="A2028" s="15" t="s">
        <v>2168</v>
      </c>
      <c r="B2028" s="17">
        <v>1210</v>
      </c>
      <c r="C2028" s="17">
        <v>26764</v>
      </c>
      <c r="D2028" s="31">
        <v>44788</v>
      </c>
      <c r="E2028" s="17">
        <v>76</v>
      </c>
      <c r="F2028" s="15" t="str">
        <f t="shared" si="31"/>
        <v>1210-26764-44788</v>
      </c>
    </row>
    <row r="2029" spans="1:6" ht="14.25" customHeight="1" x14ac:dyDescent="0.25">
      <c r="A2029" s="15" t="s">
        <v>2169</v>
      </c>
      <c r="B2029" s="17">
        <v>1210</v>
      </c>
      <c r="C2029" s="17">
        <v>53934</v>
      </c>
      <c r="D2029" s="31">
        <v>44739</v>
      </c>
      <c r="E2029" s="17">
        <v>206</v>
      </c>
      <c r="F2029" s="15" t="str">
        <f t="shared" si="31"/>
        <v>1210-53934-44739</v>
      </c>
    </row>
    <row r="2030" spans="1:6" ht="14.25" customHeight="1" x14ac:dyDescent="0.25">
      <c r="A2030" s="15" t="s">
        <v>2170</v>
      </c>
      <c r="B2030" s="17">
        <v>1210</v>
      </c>
      <c r="C2030" s="17">
        <v>53934</v>
      </c>
      <c r="D2030" s="31">
        <v>44746</v>
      </c>
      <c r="E2030" s="17">
        <v>600</v>
      </c>
      <c r="F2030" s="15" t="str">
        <f t="shared" si="31"/>
        <v>1210-53934-44746</v>
      </c>
    </row>
    <row r="2031" spans="1:6" ht="14.25" customHeight="1" x14ac:dyDescent="0.25">
      <c r="A2031" s="15" t="s">
        <v>2171</v>
      </c>
      <c r="B2031" s="17">
        <v>1210</v>
      </c>
      <c r="C2031" s="17">
        <v>53934</v>
      </c>
      <c r="D2031" s="31">
        <v>44753</v>
      </c>
      <c r="E2031" s="17">
        <v>423</v>
      </c>
      <c r="F2031" s="15" t="str">
        <f t="shared" si="31"/>
        <v>1210-53934-44753</v>
      </c>
    </row>
    <row r="2032" spans="1:6" ht="14.25" customHeight="1" x14ac:dyDescent="0.25">
      <c r="A2032" s="15" t="s">
        <v>2172</v>
      </c>
      <c r="B2032" s="17">
        <v>1210</v>
      </c>
      <c r="C2032" s="17">
        <v>53934</v>
      </c>
      <c r="D2032" s="31">
        <v>44760</v>
      </c>
      <c r="E2032" s="17">
        <v>508</v>
      </c>
      <c r="F2032" s="15" t="str">
        <f t="shared" si="31"/>
        <v>1210-53934-44760</v>
      </c>
    </row>
    <row r="2033" spans="1:6" ht="14.25" customHeight="1" x14ac:dyDescent="0.25">
      <c r="A2033" s="15" t="s">
        <v>2173</v>
      </c>
      <c r="B2033" s="17">
        <v>1210</v>
      </c>
      <c r="C2033" s="17">
        <v>53934</v>
      </c>
      <c r="D2033" s="31">
        <v>44767</v>
      </c>
      <c r="E2033" s="17">
        <v>460</v>
      </c>
      <c r="F2033" s="15" t="str">
        <f t="shared" si="31"/>
        <v>1210-53934-44767</v>
      </c>
    </row>
    <row r="2034" spans="1:6" ht="14.25" customHeight="1" x14ac:dyDescent="0.25">
      <c r="A2034" s="15" t="s">
        <v>2174</v>
      </c>
      <c r="B2034" s="17">
        <v>1210</v>
      </c>
      <c r="C2034" s="17">
        <v>53934</v>
      </c>
      <c r="D2034" s="31">
        <v>44774</v>
      </c>
      <c r="E2034" s="17">
        <v>652</v>
      </c>
      <c r="F2034" s="15" t="str">
        <f t="shared" si="31"/>
        <v>1210-53934-44774</v>
      </c>
    </row>
    <row r="2035" spans="1:6" ht="14.25" customHeight="1" x14ac:dyDescent="0.25">
      <c r="A2035" s="15" t="s">
        <v>2175</v>
      </c>
      <c r="B2035" s="17">
        <v>1210</v>
      </c>
      <c r="C2035" s="17">
        <v>53934</v>
      </c>
      <c r="D2035" s="31">
        <v>44781</v>
      </c>
      <c r="E2035" s="17">
        <v>444</v>
      </c>
      <c r="F2035" s="15" t="str">
        <f t="shared" si="31"/>
        <v>1210-53934-44781</v>
      </c>
    </row>
    <row r="2036" spans="1:6" ht="14.25" customHeight="1" x14ac:dyDescent="0.25">
      <c r="A2036" s="15" t="s">
        <v>2176</v>
      </c>
      <c r="B2036" s="17">
        <v>1210</v>
      </c>
      <c r="C2036" s="17">
        <v>53934</v>
      </c>
      <c r="D2036" s="31">
        <v>44788</v>
      </c>
      <c r="E2036" s="17">
        <v>209</v>
      </c>
      <c r="F2036" s="15" t="str">
        <f t="shared" si="31"/>
        <v>1210-53934-44788</v>
      </c>
    </row>
    <row r="2037" spans="1:6" ht="14.25" customHeight="1" x14ac:dyDescent="0.25">
      <c r="A2037" s="15" t="s">
        <v>2177</v>
      </c>
      <c r="B2037" s="17">
        <v>1210</v>
      </c>
      <c r="C2037" s="17">
        <v>78699</v>
      </c>
      <c r="D2037" s="31">
        <v>44739</v>
      </c>
      <c r="E2037" s="17">
        <v>1</v>
      </c>
      <c r="F2037" s="15" t="str">
        <f t="shared" si="31"/>
        <v>1210-78699-44739</v>
      </c>
    </row>
    <row r="2038" spans="1:6" ht="14.25" customHeight="1" x14ac:dyDescent="0.25">
      <c r="A2038" s="15" t="s">
        <v>2178</v>
      </c>
      <c r="B2038" s="17">
        <v>1210</v>
      </c>
      <c r="C2038" s="17">
        <v>78699</v>
      </c>
      <c r="D2038" s="31">
        <v>44746</v>
      </c>
      <c r="E2038" s="17">
        <v>-1</v>
      </c>
      <c r="F2038" s="15" t="str">
        <f t="shared" si="31"/>
        <v>1210-78699-44746</v>
      </c>
    </row>
    <row r="2039" spans="1:6" ht="14.25" customHeight="1" x14ac:dyDescent="0.25">
      <c r="A2039" s="15" t="s">
        <v>2179</v>
      </c>
      <c r="B2039" s="17">
        <v>1210</v>
      </c>
      <c r="C2039" s="17">
        <v>78699</v>
      </c>
      <c r="D2039" s="31">
        <v>44753</v>
      </c>
      <c r="E2039" s="17">
        <v>9</v>
      </c>
      <c r="F2039" s="15" t="str">
        <f t="shared" si="31"/>
        <v>1210-78699-44753</v>
      </c>
    </row>
    <row r="2040" spans="1:6" ht="14.25" customHeight="1" x14ac:dyDescent="0.25">
      <c r="A2040" s="15" t="s">
        <v>2180</v>
      </c>
      <c r="B2040" s="17">
        <v>1210</v>
      </c>
      <c r="C2040" s="17">
        <v>78699</v>
      </c>
      <c r="D2040" s="31">
        <v>44760</v>
      </c>
      <c r="E2040" s="17">
        <v>12</v>
      </c>
      <c r="F2040" s="15" t="str">
        <f t="shared" si="31"/>
        <v>1210-78699-44760</v>
      </c>
    </row>
    <row r="2041" spans="1:6" ht="14.25" customHeight="1" x14ac:dyDescent="0.25">
      <c r="A2041" s="15" t="s">
        <v>2181</v>
      </c>
      <c r="B2041" s="17">
        <v>1210</v>
      </c>
      <c r="C2041" s="17">
        <v>78699</v>
      </c>
      <c r="D2041" s="31">
        <v>44767</v>
      </c>
      <c r="E2041" s="17">
        <v>10</v>
      </c>
      <c r="F2041" s="15" t="str">
        <f t="shared" si="31"/>
        <v>1210-78699-44767</v>
      </c>
    </row>
    <row r="2042" spans="1:6" ht="14.25" customHeight="1" x14ac:dyDescent="0.25">
      <c r="A2042" s="15" t="s">
        <v>2182</v>
      </c>
      <c r="B2042" s="17">
        <v>1210</v>
      </c>
      <c r="C2042" s="17">
        <v>78699</v>
      </c>
      <c r="D2042" s="31">
        <v>44774</v>
      </c>
      <c r="E2042" s="17">
        <v>11</v>
      </c>
      <c r="F2042" s="15" t="str">
        <f t="shared" si="31"/>
        <v>1210-78699-44774</v>
      </c>
    </row>
    <row r="2043" spans="1:6" ht="14.25" customHeight="1" x14ac:dyDescent="0.25">
      <c r="A2043" s="15" t="s">
        <v>2183</v>
      </c>
      <c r="B2043" s="17">
        <v>1210</v>
      </c>
      <c r="C2043" s="17">
        <v>78699</v>
      </c>
      <c r="D2043" s="31">
        <v>44781</v>
      </c>
      <c r="E2043" s="17">
        <v>5</v>
      </c>
      <c r="F2043" s="15" t="str">
        <f t="shared" si="31"/>
        <v>1210-78699-44781</v>
      </c>
    </row>
    <row r="2044" spans="1:6" ht="14.25" customHeight="1" x14ac:dyDescent="0.25">
      <c r="A2044" s="15" t="s">
        <v>2184</v>
      </c>
      <c r="B2044" s="17">
        <v>1210</v>
      </c>
      <c r="C2044" s="17">
        <v>78699</v>
      </c>
      <c r="D2044" s="31">
        <v>44788</v>
      </c>
      <c r="E2044" s="17">
        <v>12</v>
      </c>
      <c r="F2044" s="15" t="str">
        <f t="shared" si="31"/>
        <v>1210-78699-44788</v>
      </c>
    </row>
    <row r="2045" spans="1:6" ht="14.25" customHeight="1" x14ac:dyDescent="0.25">
      <c r="A2045" s="15" t="s">
        <v>2185</v>
      </c>
      <c r="B2045" s="17">
        <v>1210</v>
      </c>
      <c r="C2045" s="17">
        <v>78869</v>
      </c>
      <c r="D2045" s="31">
        <v>44739</v>
      </c>
      <c r="E2045" s="17">
        <v>33</v>
      </c>
      <c r="F2045" s="15" t="str">
        <f t="shared" si="31"/>
        <v>1210-78869-44739</v>
      </c>
    </row>
    <row r="2046" spans="1:6" ht="14.25" customHeight="1" x14ac:dyDescent="0.25">
      <c r="A2046" s="15" t="s">
        <v>2186</v>
      </c>
      <c r="B2046" s="17">
        <v>1210</v>
      </c>
      <c r="C2046" s="17">
        <v>78869</v>
      </c>
      <c r="D2046" s="31">
        <v>44746</v>
      </c>
      <c r="E2046" s="17">
        <v>26</v>
      </c>
      <c r="F2046" s="15" t="str">
        <f t="shared" si="31"/>
        <v>1210-78869-44746</v>
      </c>
    </row>
    <row r="2047" spans="1:6" ht="14.25" customHeight="1" x14ac:dyDescent="0.25">
      <c r="A2047" s="15" t="s">
        <v>2187</v>
      </c>
      <c r="B2047" s="17">
        <v>1210</v>
      </c>
      <c r="C2047" s="17">
        <v>78869</v>
      </c>
      <c r="D2047" s="31">
        <v>44753</v>
      </c>
      <c r="E2047" s="17">
        <v>32</v>
      </c>
      <c r="F2047" s="15" t="str">
        <f t="shared" si="31"/>
        <v>1210-78869-44753</v>
      </c>
    </row>
    <row r="2048" spans="1:6" ht="14.25" customHeight="1" x14ac:dyDescent="0.25">
      <c r="A2048" s="15" t="s">
        <v>2188</v>
      </c>
      <c r="B2048" s="17">
        <v>1210</v>
      </c>
      <c r="C2048" s="17">
        <v>78869</v>
      </c>
      <c r="D2048" s="31">
        <v>44760</v>
      </c>
      <c r="E2048" s="17">
        <v>15</v>
      </c>
      <c r="F2048" s="15" t="str">
        <f t="shared" si="31"/>
        <v>1210-78869-44760</v>
      </c>
    </row>
    <row r="2049" spans="1:6" ht="14.25" customHeight="1" x14ac:dyDescent="0.25">
      <c r="A2049" s="15" t="s">
        <v>2189</v>
      </c>
      <c r="B2049" s="17">
        <v>1210</v>
      </c>
      <c r="C2049" s="17">
        <v>78869</v>
      </c>
      <c r="D2049" s="31">
        <v>44767</v>
      </c>
      <c r="E2049" s="17">
        <v>38</v>
      </c>
      <c r="F2049" s="15" t="str">
        <f t="shared" si="31"/>
        <v>1210-78869-44767</v>
      </c>
    </row>
    <row r="2050" spans="1:6" ht="14.25" customHeight="1" x14ac:dyDescent="0.25">
      <c r="A2050" s="15" t="s">
        <v>2190</v>
      </c>
      <c r="B2050" s="17">
        <v>1210</v>
      </c>
      <c r="C2050" s="17">
        <v>78869</v>
      </c>
      <c r="D2050" s="31">
        <v>44774</v>
      </c>
      <c r="E2050" s="17">
        <v>11</v>
      </c>
      <c r="F2050" s="15" t="str">
        <f t="shared" si="31"/>
        <v>1210-78869-44774</v>
      </c>
    </row>
    <row r="2051" spans="1:6" ht="14.25" customHeight="1" x14ac:dyDescent="0.25">
      <c r="A2051" s="15" t="s">
        <v>2191</v>
      </c>
      <c r="B2051" s="17">
        <v>1210</v>
      </c>
      <c r="C2051" s="17">
        <v>78869</v>
      </c>
      <c r="D2051" s="31">
        <v>44781</v>
      </c>
      <c r="E2051" s="17">
        <v>27</v>
      </c>
      <c r="F2051" s="15" t="str">
        <f t="shared" ref="F2051:F2114" si="32">B2051&amp;"-"&amp;C2051&amp;"-"&amp;INT(D2051)</f>
        <v>1210-78869-44781</v>
      </c>
    </row>
    <row r="2052" spans="1:6" ht="14.25" customHeight="1" x14ac:dyDescent="0.25">
      <c r="A2052" s="15" t="s">
        <v>2192</v>
      </c>
      <c r="B2052" s="17">
        <v>1210</v>
      </c>
      <c r="C2052" s="17">
        <v>78869</v>
      </c>
      <c r="D2052" s="31">
        <v>44788</v>
      </c>
      <c r="E2052" s="17">
        <v>27</v>
      </c>
      <c r="F2052" s="15" t="str">
        <f t="shared" si="32"/>
        <v>1210-78869-44788</v>
      </c>
    </row>
    <row r="2053" spans="1:6" ht="14.25" customHeight="1" x14ac:dyDescent="0.25">
      <c r="A2053" s="15" t="s">
        <v>2193</v>
      </c>
      <c r="B2053" s="17">
        <v>1210</v>
      </c>
      <c r="C2053" s="17">
        <v>115600</v>
      </c>
      <c r="D2053" s="31">
        <v>32874</v>
      </c>
      <c r="E2053" s="17">
        <v>3</v>
      </c>
      <c r="F2053" s="15" t="str">
        <f t="shared" si="32"/>
        <v>1210-115600-32874</v>
      </c>
    </row>
    <row r="2054" spans="1:6" ht="14.25" customHeight="1" x14ac:dyDescent="0.25">
      <c r="A2054" s="15" t="s">
        <v>2194</v>
      </c>
      <c r="B2054" s="17">
        <v>1210</v>
      </c>
      <c r="C2054" s="17">
        <v>115600</v>
      </c>
      <c r="D2054" s="31">
        <v>44739</v>
      </c>
      <c r="E2054" s="17">
        <v>3</v>
      </c>
      <c r="F2054" s="15" t="str">
        <f t="shared" si="32"/>
        <v>1210-115600-44739</v>
      </c>
    </row>
    <row r="2055" spans="1:6" ht="14.25" customHeight="1" x14ac:dyDescent="0.25">
      <c r="A2055" s="15" t="s">
        <v>2195</v>
      </c>
      <c r="B2055" s="17">
        <v>1210</v>
      </c>
      <c r="C2055" s="17">
        <v>115600</v>
      </c>
      <c r="D2055" s="31">
        <v>44746</v>
      </c>
      <c r="E2055" s="17">
        <v>3</v>
      </c>
      <c r="F2055" s="15" t="str">
        <f t="shared" si="32"/>
        <v>1210-115600-44746</v>
      </c>
    </row>
    <row r="2056" spans="1:6" ht="14.25" customHeight="1" x14ac:dyDescent="0.25">
      <c r="A2056" s="15" t="s">
        <v>2196</v>
      </c>
      <c r="B2056" s="17">
        <v>1210</v>
      </c>
      <c r="C2056" s="17">
        <v>115600</v>
      </c>
      <c r="D2056" s="31">
        <v>44753</v>
      </c>
      <c r="E2056" s="17">
        <v>3</v>
      </c>
      <c r="F2056" s="15" t="str">
        <f t="shared" si="32"/>
        <v>1210-115600-44753</v>
      </c>
    </row>
    <row r="2057" spans="1:6" ht="14.25" customHeight="1" x14ac:dyDescent="0.25">
      <c r="A2057" s="15" t="s">
        <v>2197</v>
      </c>
      <c r="B2057" s="17">
        <v>1210</v>
      </c>
      <c r="C2057" s="17">
        <v>115600</v>
      </c>
      <c r="D2057" s="31">
        <v>44760</v>
      </c>
      <c r="E2057" s="17">
        <v>3</v>
      </c>
      <c r="F2057" s="15" t="str">
        <f t="shared" si="32"/>
        <v>1210-115600-44760</v>
      </c>
    </row>
    <row r="2058" spans="1:6" ht="14.25" customHeight="1" x14ac:dyDescent="0.25">
      <c r="A2058" s="15" t="s">
        <v>2198</v>
      </c>
      <c r="B2058" s="17">
        <v>1210</v>
      </c>
      <c r="C2058" s="17">
        <v>115600</v>
      </c>
      <c r="D2058" s="31">
        <v>44767</v>
      </c>
      <c r="E2058" s="17">
        <v>3</v>
      </c>
      <c r="F2058" s="15" t="str">
        <f t="shared" si="32"/>
        <v>1210-115600-44767</v>
      </c>
    </row>
    <row r="2059" spans="1:6" ht="14.25" customHeight="1" x14ac:dyDescent="0.25">
      <c r="A2059" s="15" t="s">
        <v>2199</v>
      </c>
      <c r="B2059" s="17">
        <v>1210</v>
      </c>
      <c r="C2059" s="17">
        <v>115600</v>
      </c>
      <c r="D2059" s="31">
        <v>44774</v>
      </c>
      <c r="E2059" s="17">
        <v>3</v>
      </c>
      <c r="F2059" s="15" t="str">
        <f t="shared" si="32"/>
        <v>1210-115600-44774</v>
      </c>
    </row>
    <row r="2060" spans="1:6" ht="14.25" customHeight="1" x14ac:dyDescent="0.25">
      <c r="A2060" s="15" t="s">
        <v>2200</v>
      </c>
      <c r="B2060" s="17">
        <v>1210</v>
      </c>
      <c r="C2060" s="17">
        <v>115600</v>
      </c>
      <c r="D2060" s="31">
        <v>44781</v>
      </c>
      <c r="E2060" s="17">
        <v>3</v>
      </c>
      <c r="F2060" s="15" t="str">
        <f t="shared" si="32"/>
        <v>1210-115600-44781</v>
      </c>
    </row>
    <row r="2061" spans="1:6" ht="14.25" customHeight="1" x14ac:dyDescent="0.25">
      <c r="A2061" s="15" t="s">
        <v>2201</v>
      </c>
      <c r="B2061" s="17">
        <v>1210</v>
      </c>
      <c r="C2061" s="17">
        <v>115600</v>
      </c>
      <c r="D2061" s="31">
        <v>44788</v>
      </c>
      <c r="E2061" s="17">
        <v>3</v>
      </c>
      <c r="F2061" s="15" t="str">
        <f t="shared" si="32"/>
        <v>1210-115600-44788</v>
      </c>
    </row>
    <row r="2062" spans="1:6" ht="14.25" customHeight="1" x14ac:dyDescent="0.25">
      <c r="A2062" s="15" t="s">
        <v>2202</v>
      </c>
      <c r="B2062" s="17">
        <v>1210</v>
      </c>
      <c r="C2062" s="17">
        <v>129208</v>
      </c>
      <c r="D2062" s="31">
        <v>44739</v>
      </c>
      <c r="E2062" s="17">
        <v>22</v>
      </c>
      <c r="F2062" s="15" t="str">
        <f t="shared" si="32"/>
        <v>1210-129208-44739</v>
      </c>
    </row>
    <row r="2063" spans="1:6" ht="14.25" customHeight="1" x14ac:dyDescent="0.25">
      <c r="A2063" s="15" t="s">
        <v>2203</v>
      </c>
      <c r="B2063" s="17">
        <v>1210</v>
      </c>
      <c r="C2063" s="17">
        <v>129208</v>
      </c>
      <c r="D2063" s="31">
        <v>44746</v>
      </c>
      <c r="E2063" s="17">
        <v>24</v>
      </c>
      <c r="F2063" s="15" t="str">
        <f t="shared" si="32"/>
        <v>1210-129208-44746</v>
      </c>
    </row>
    <row r="2064" spans="1:6" ht="14.25" customHeight="1" x14ac:dyDescent="0.25">
      <c r="A2064" s="15" t="s">
        <v>2204</v>
      </c>
      <c r="B2064" s="17">
        <v>1210</v>
      </c>
      <c r="C2064" s="17">
        <v>129208</v>
      </c>
      <c r="D2064" s="31">
        <v>44753</v>
      </c>
      <c r="E2064" s="17">
        <v>12</v>
      </c>
      <c r="F2064" s="15" t="str">
        <f t="shared" si="32"/>
        <v>1210-129208-44753</v>
      </c>
    </row>
    <row r="2065" spans="1:6" ht="14.25" customHeight="1" x14ac:dyDescent="0.25">
      <c r="A2065" s="15" t="s">
        <v>2205</v>
      </c>
      <c r="B2065" s="17">
        <v>1210</v>
      </c>
      <c r="C2065" s="17">
        <v>129208</v>
      </c>
      <c r="D2065" s="31">
        <v>44760</v>
      </c>
      <c r="E2065" s="17">
        <v>16</v>
      </c>
      <c r="F2065" s="15" t="str">
        <f t="shared" si="32"/>
        <v>1210-129208-44760</v>
      </c>
    </row>
    <row r="2066" spans="1:6" ht="14.25" customHeight="1" x14ac:dyDescent="0.25">
      <c r="A2066" s="15" t="s">
        <v>2206</v>
      </c>
      <c r="B2066" s="17">
        <v>1210</v>
      </c>
      <c r="C2066" s="17">
        <v>129208</v>
      </c>
      <c r="D2066" s="31">
        <v>44767</v>
      </c>
      <c r="E2066" s="17">
        <v>14</v>
      </c>
      <c r="F2066" s="15" t="str">
        <f t="shared" si="32"/>
        <v>1210-129208-44767</v>
      </c>
    </row>
    <row r="2067" spans="1:6" ht="14.25" customHeight="1" x14ac:dyDescent="0.25">
      <c r="A2067" s="15" t="s">
        <v>2207</v>
      </c>
      <c r="B2067" s="17">
        <v>1210</v>
      </c>
      <c r="C2067" s="17">
        <v>129208</v>
      </c>
      <c r="D2067" s="31">
        <v>44774</v>
      </c>
      <c r="E2067" s="17">
        <v>16</v>
      </c>
      <c r="F2067" s="15" t="str">
        <f t="shared" si="32"/>
        <v>1210-129208-44774</v>
      </c>
    </row>
    <row r="2068" spans="1:6" ht="14.25" customHeight="1" x14ac:dyDescent="0.25">
      <c r="A2068" s="15" t="s">
        <v>2208</v>
      </c>
      <c r="B2068" s="17">
        <v>1210</v>
      </c>
      <c r="C2068" s="17">
        <v>129208</v>
      </c>
      <c r="D2068" s="31">
        <v>44781</v>
      </c>
      <c r="E2068" s="17">
        <v>-1</v>
      </c>
      <c r="F2068" s="15" t="str">
        <f t="shared" si="32"/>
        <v>1210-129208-44781</v>
      </c>
    </row>
    <row r="2069" spans="1:6" ht="14.25" customHeight="1" x14ac:dyDescent="0.25">
      <c r="A2069" s="15" t="s">
        <v>2209</v>
      </c>
      <c r="B2069" s="17">
        <v>1210</v>
      </c>
      <c r="C2069" s="17">
        <v>129208</v>
      </c>
      <c r="D2069" s="31">
        <v>44788</v>
      </c>
      <c r="E2069" s="17">
        <v>20</v>
      </c>
      <c r="F2069" s="15" t="str">
        <f t="shared" si="32"/>
        <v>1210-129208-44788</v>
      </c>
    </row>
    <row r="2070" spans="1:6" ht="14.25" customHeight="1" x14ac:dyDescent="0.25">
      <c r="A2070" s="15" t="s">
        <v>2210</v>
      </c>
      <c r="B2070" s="17">
        <v>1210</v>
      </c>
      <c r="C2070" s="17">
        <v>141622</v>
      </c>
      <c r="D2070" s="31">
        <v>44739</v>
      </c>
      <c r="E2070" s="17">
        <v>43</v>
      </c>
      <c r="F2070" s="15" t="str">
        <f t="shared" si="32"/>
        <v>1210-141622-44739</v>
      </c>
    </row>
    <row r="2071" spans="1:6" ht="14.25" customHeight="1" x14ac:dyDescent="0.25">
      <c r="A2071" s="15" t="s">
        <v>2211</v>
      </c>
      <c r="B2071" s="17">
        <v>1210</v>
      </c>
      <c r="C2071" s="17">
        <v>141622</v>
      </c>
      <c r="D2071" s="31">
        <v>44746</v>
      </c>
      <c r="E2071" s="17">
        <v>35</v>
      </c>
      <c r="F2071" s="15" t="str">
        <f t="shared" si="32"/>
        <v>1210-141622-44746</v>
      </c>
    </row>
    <row r="2072" spans="1:6" ht="14.25" customHeight="1" x14ac:dyDescent="0.25">
      <c r="A2072" s="15" t="s">
        <v>2212</v>
      </c>
      <c r="B2072" s="17">
        <v>1210</v>
      </c>
      <c r="C2072" s="17">
        <v>141622</v>
      </c>
      <c r="D2072" s="31">
        <v>44753</v>
      </c>
      <c r="E2072" s="17">
        <v>39</v>
      </c>
      <c r="F2072" s="15" t="str">
        <f t="shared" si="32"/>
        <v>1210-141622-44753</v>
      </c>
    </row>
    <row r="2073" spans="1:6" ht="14.25" customHeight="1" x14ac:dyDescent="0.25">
      <c r="A2073" s="15" t="s">
        <v>2213</v>
      </c>
      <c r="B2073" s="17">
        <v>1210</v>
      </c>
      <c r="C2073" s="17">
        <v>141622</v>
      </c>
      <c r="D2073" s="31">
        <v>44760</v>
      </c>
      <c r="E2073" s="17">
        <v>15</v>
      </c>
      <c r="F2073" s="15" t="str">
        <f t="shared" si="32"/>
        <v>1210-141622-44760</v>
      </c>
    </row>
    <row r="2074" spans="1:6" ht="14.25" customHeight="1" x14ac:dyDescent="0.25">
      <c r="A2074" s="15" t="s">
        <v>2214</v>
      </c>
      <c r="B2074" s="17">
        <v>1210</v>
      </c>
      <c r="C2074" s="17">
        <v>141622</v>
      </c>
      <c r="D2074" s="31">
        <v>44767</v>
      </c>
      <c r="E2074" s="17">
        <v>15</v>
      </c>
      <c r="F2074" s="15" t="str">
        <f t="shared" si="32"/>
        <v>1210-141622-44767</v>
      </c>
    </row>
    <row r="2075" spans="1:6" ht="14.25" customHeight="1" x14ac:dyDescent="0.25">
      <c r="A2075" s="15" t="s">
        <v>2215</v>
      </c>
      <c r="B2075" s="17">
        <v>1210</v>
      </c>
      <c r="C2075" s="17">
        <v>141622</v>
      </c>
      <c r="D2075" s="31">
        <v>44774</v>
      </c>
      <c r="E2075" s="17">
        <v>39</v>
      </c>
      <c r="F2075" s="15" t="str">
        <f t="shared" si="32"/>
        <v>1210-141622-44774</v>
      </c>
    </row>
    <row r="2076" spans="1:6" ht="14.25" customHeight="1" x14ac:dyDescent="0.25">
      <c r="A2076" s="15" t="s">
        <v>2216</v>
      </c>
      <c r="B2076" s="17">
        <v>1210</v>
      </c>
      <c r="C2076" s="17">
        <v>141622</v>
      </c>
      <c r="D2076" s="31">
        <v>44781</v>
      </c>
      <c r="E2076" s="17">
        <v>8</v>
      </c>
      <c r="F2076" s="15" t="str">
        <f t="shared" si="32"/>
        <v>1210-141622-44781</v>
      </c>
    </row>
    <row r="2077" spans="1:6" ht="14.25" customHeight="1" x14ac:dyDescent="0.25">
      <c r="A2077" s="15" t="s">
        <v>2217</v>
      </c>
      <c r="B2077" s="17">
        <v>1210</v>
      </c>
      <c r="C2077" s="17">
        <v>141622</v>
      </c>
      <c r="D2077" s="31">
        <v>44788</v>
      </c>
      <c r="E2077" s="17">
        <v>39</v>
      </c>
      <c r="F2077" s="15" t="str">
        <f t="shared" si="32"/>
        <v>1210-141622-44788</v>
      </c>
    </row>
    <row r="2078" spans="1:6" ht="14.25" customHeight="1" x14ac:dyDescent="0.25">
      <c r="A2078" s="15" t="s">
        <v>2218</v>
      </c>
      <c r="B2078" s="17">
        <v>1210</v>
      </c>
      <c r="C2078" s="17">
        <v>141626</v>
      </c>
      <c r="D2078" s="31">
        <v>44739</v>
      </c>
      <c r="E2078" s="17">
        <v>238</v>
      </c>
      <c r="F2078" s="15" t="str">
        <f t="shared" si="32"/>
        <v>1210-141626-44739</v>
      </c>
    </row>
    <row r="2079" spans="1:6" ht="14.25" customHeight="1" x14ac:dyDescent="0.25">
      <c r="A2079" s="15" t="s">
        <v>2219</v>
      </c>
      <c r="B2079" s="17">
        <v>1210</v>
      </c>
      <c r="C2079" s="17">
        <v>141626</v>
      </c>
      <c r="D2079" s="31">
        <v>44746</v>
      </c>
      <c r="E2079" s="17">
        <v>148</v>
      </c>
      <c r="F2079" s="15" t="str">
        <f t="shared" si="32"/>
        <v>1210-141626-44746</v>
      </c>
    </row>
    <row r="2080" spans="1:6" ht="14.25" customHeight="1" x14ac:dyDescent="0.25">
      <c r="A2080" s="15" t="s">
        <v>2220</v>
      </c>
      <c r="B2080" s="17">
        <v>1210</v>
      </c>
      <c r="C2080" s="17">
        <v>141626</v>
      </c>
      <c r="D2080" s="31">
        <v>44753</v>
      </c>
      <c r="E2080" s="17">
        <v>351</v>
      </c>
      <c r="F2080" s="15" t="str">
        <f t="shared" si="32"/>
        <v>1210-141626-44753</v>
      </c>
    </row>
    <row r="2081" spans="1:6" ht="14.25" customHeight="1" x14ac:dyDescent="0.25">
      <c r="A2081" s="15" t="s">
        <v>2221</v>
      </c>
      <c r="B2081" s="17">
        <v>1210</v>
      </c>
      <c r="C2081" s="17">
        <v>141626</v>
      </c>
      <c r="D2081" s="31">
        <v>44760</v>
      </c>
      <c r="E2081" s="17">
        <v>242</v>
      </c>
      <c r="F2081" s="15" t="str">
        <f t="shared" si="32"/>
        <v>1210-141626-44760</v>
      </c>
    </row>
    <row r="2082" spans="1:6" ht="14.25" customHeight="1" x14ac:dyDescent="0.25">
      <c r="A2082" s="15" t="s">
        <v>2222</v>
      </c>
      <c r="B2082" s="17">
        <v>1210</v>
      </c>
      <c r="C2082" s="17">
        <v>141626</v>
      </c>
      <c r="D2082" s="31">
        <v>44767</v>
      </c>
      <c r="E2082" s="17">
        <v>489</v>
      </c>
      <c r="F2082" s="15" t="str">
        <f t="shared" si="32"/>
        <v>1210-141626-44767</v>
      </c>
    </row>
    <row r="2083" spans="1:6" ht="14.25" customHeight="1" x14ac:dyDescent="0.25">
      <c r="A2083" s="15" t="s">
        <v>2223</v>
      </c>
      <c r="B2083" s="17">
        <v>1210</v>
      </c>
      <c r="C2083" s="17">
        <v>141626</v>
      </c>
      <c r="D2083" s="31">
        <v>44774</v>
      </c>
      <c r="E2083" s="17">
        <v>514</v>
      </c>
      <c r="F2083" s="15" t="str">
        <f t="shared" si="32"/>
        <v>1210-141626-44774</v>
      </c>
    </row>
    <row r="2084" spans="1:6" ht="14.25" customHeight="1" x14ac:dyDescent="0.25">
      <c r="A2084" s="15" t="s">
        <v>2224</v>
      </c>
      <c r="B2084" s="17">
        <v>1210</v>
      </c>
      <c r="C2084" s="17">
        <v>141626</v>
      </c>
      <c r="D2084" s="31">
        <v>44781</v>
      </c>
      <c r="E2084" s="17">
        <v>391</v>
      </c>
      <c r="F2084" s="15" t="str">
        <f t="shared" si="32"/>
        <v>1210-141626-44781</v>
      </c>
    </row>
    <row r="2085" spans="1:6" ht="14.25" customHeight="1" x14ac:dyDescent="0.25">
      <c r="A2085" s="15" t="s">
        <v>2225</v>
      </c>
      <c r="B2085" s="17">
        <v>1210</v>
      </c>
      <c r="C2085" s="17">
        <v>141626</v>
      </c>
      <c r="D2085" s="31">
        <v>44788</v>
      </c>
      <c r="E2085" s="17">
        <v>366</v>
      </c>
      <c r="F2085" s="15" t="str">
        <f t="shared" si="32"/>
        <v>1210-141626-44788</v>
      </c>
    </row>
    <row r="2086" spans="1:6" ht="14.25" customHeight="1" x14ac:dyDescent="0.25">
      <c r="A2086" s="15" t="s">
        <v>2226</v>
      </c>
      <c r="B2086" s="17">
        <v>1210</v>
      </c>
      <c r="C2086" s="17">
        <v>141791</v>
      </c>
      <c r="D2086" s="31">
        <v>44739</v>
      </c>
      <c r="E2086" s="17">
        <v>71</v>
      </c>
      <c r="F2086" s="15" t="str">
        <f t="shared" si="32"/>
        <v>1210-141791-44739</v>
      </c>
    </row>
    <row r="2087" spans="1:6" ht="14.25" customHeight="1" x14ac:dyDescent="0.25">
      <c r="A2087" s="15" t="s">
        <v>2227</v>
      </c>
      <c r="B2087" s="17">
        <v>1210</v>
      </c>
      <c r="C2087" s="17">
        <v>141791</v>
      </c>
      <c r="D2087" s="31">
        <v>44746</v>
      </c>
      <c r="E2087" s="17">
        <v>76</v>
      </c>
      <c r="F2087" s="15" t="str">
        <f t="shared" si="32"/>
        <v>1210-141791-44746</v>
      </c>
    </row>
    <row r="2088" spans="1:6" ht="14.25" customHeight="1" x14ac:dyDescent="0.25">
      <c r="A2088" s="15" t="s">
        <v>2228</v>
      </c>
      <c r="B2088" s="17">
        <v>1210</v>
      </c>
      <c r="C2088" s="17">
        <v>141791</v>
      </c>
      <c r="D2088" s="31">
        <v>44753</v>
      </c>
      <c r="E2088" s="17">
        <v>80</v>
      </c>
      <c r="F2088" s="15" t="str">
        <f t="shared" si="32"/>
        <v>1210-141791-44753</v>
      </c>
    </row>
    <row r="2089" spans="1:6" ht="14.25" customHeight="1" x14ac:dyDescent="0.25">
      <c r="A2089" s="15" t="s">
        <v>2229</v>
      </c>
      <c r="B2089" s="17">
        <v>1210</v>
      </c>
      <c r="C2089" s="17">
        <v>141791</v>
      </c>
      <c r="D2089" s="31">
        <v>44760</v>
      </c>
      <c r="E2089" s="17">
        <v>28</v>
      </c>
      <c r="F2089" s="15" t="str">
        <f t="shared" si="32"/>
        <v>1210-141791-44760</v>
      </c>
    </row>
    <row r="2090" spans="1:6" ht="14.25" customHeight="1" x14ac:dyDescent="0.25">
      <c r="A2090" s="15" t="s">
        <v>2230</v>
      </c>
      <c r="B2090" s="17">
        <v>1210</v>
      </c>
      <c r="C2090" s="17">
        <v>141791</v>
      </c>
      <c r="D2090" s="31">
        <v>44767</v>
      </c>
      <c r="E2090" s="17">
        <v>27</v>
      </c>
      <c r="F2090" s="15" t="str">
        <f t="shared" si="32"/>
        <v>1210-141791-44767</v>
      </c>
    </row>
    <row r="2091" spans="1:6" ht="14.25" customHeight="1" x14ac:dyDescent="0.25">
      <c r="A2091" s="15" t="s">
        <v>2231</v>
      </c>
      <c r="B2091" s="17">
        <v>1210</v>
      </c>
      <c r="C2091" s="17">
        <v>141791</v>
      </c>
      <c r="D2091" s="31">
        <v>44774</v>
      </c>
      <c r="E2091" s="17">
        <v>73</v>
      </c>
      <c r="F2091" s="15" t="str">
        <f t="shared" si="32"/>
        <v>1210-141791-44774</v>
      </c>
    </row>
    <row r="2092" spans="1:6" ht="14.25" customHeight="1" x14ac:dyDescent="0.25">
      <c r="A2092" s="15" t="s">
        <v>2232</v>
      </c>
      <c r="B2092" s="17">
        <v>1210</v>
      </c>
      <c r="C2092" s="17">
        <v>141791</v>
      </c>
      <c r="D2092" s="31">
        <v>44781</v>
      </c>
      <c r="E2092" s="17">
        <v>42</v>
      </c>
      <c r="F2092" s="15" t="str">
        <f t="shared" si="32"/>
        <v>1210-141791-44781</v>
      </c>
    </row>
    <row r="2093" spans="1:6" ht="14.25" customHeight="1" x14ac:dyDescent="0.25">
      <c r="A2093" s="15" t="s">
        <v>2233</v>
      </c>
      <c r="B2093" s="17">
        <v>1210</v>
      </c>
      <c r="C2093" s="17">
        <v>141791</v>
      </c>
      <c r="D2093" s="31">
        <v>44788</v>
      </c>
      <c r="E2093" s="17">
        <v>93</v>
      </c>
      <c r="F2093" s="15" t="str">
        <f t="shared" si="32"/>
        <v>1210-141791-44788</v>
      </c>
    </row>
    <row r="2094" spans="1:6" ht="14.25" customHeight="1" x14ac:dyDescent="0.25">
      <c r="A2094" s="15" t="s">
        <v>2234</v>
      </c>
      <c r="B2094" s="17">
        <v>1210</v>
      </c>
      <c r="C2094" s="17">
        <v>141846</v>
      </c>
      <c r="D2094" s="31">
        <v>44739</v>
      </c>
      <c r="E2094" s="17">
        <v>2</v>
      </c>
      <c r="F2094" s="15" t="str">
        <f t="shared" si="32"/>
        <v>1210-141846-44739</v>
      </c>
    </row>
    <row r="2095" spans="1:6" ht="14.25" customHeight="1" x14ac:dyDescent="0.25">
      <c r="A2095" s="15" t="s">
        <v>2235</v>
      </c>
      <c r="B2095" s="17">
        <v>1210</v>
      </c>
      <c r="C2095" s="17">
        <v>141846</v>
      </c>
      <c r="D2095" s="31">
        <v>44746</v>
      </c>
      <c r="E2095" s="17">
        <v>18</v>
      </c>
      <c r="F2095" s="15" t="str">
        <f t="shared" si="32"/>
        <v>1210-141846-44746</v>
      </c>
    </row>
    <row r="2096" spans="1:6" ht="14.25" customHeight="1" x14ac:dyDescent="0.25">
      <c r="A2096" s="15" t="s">
        <v>2236</v>
      </c>
      <c r="B2096" s="17">
        <v>1210</v>
      </c>
      <c r="C2096" s="17">
        <v>141846</v>
      </c>
      <c r="D2096" s="31">
        <v>44753</v>
      </c>
      <c r="E2096" s="17">
        <v>26</v>
      </c>
      <c r="F2096" s="15" t="str">
        <f t="shared" si="32"/>
        <v>1210-141846-44753</v>
      </c>
    </row>
    <row r="2097" spans="1:6" ht="14.25" customHeight="1" x14ac:dyDescent="0.25">
      <c r="A2097" s="15" t="s">
        <v>2237</v>
      </c>
      <c r="B2097" s="17">
        <v>1210</v>
      </c>
      <c r="C2097" s="17">
        <v>141846</v>
      </c>
      <c r="D2097" s="31">
        <v>44760</v>
      </c>
      <c r="E2097" s="17">
        <v>12</v>
      </c>
      <c r="F2097" s="15" t="str">
        <f t="shared" si="32"/>
        <v>1210-141846-44760</v>
      </c>
    </row>
    <row r="2098" spans="1:6" ht="14.25" customHeight="1" x14ac:dyDescent="0.25">
      <c r="A2098" s="15" t="s">
        <v>2238</v>
      </c>
      <c r="B2098" s="17">
        <v>1210</v>
      </c>
      <c r="C2098" s="17">
        <v>141846</v>
      </c>
      <c r="D2098" s="31">
        <v>44767</v>
      </c>
      <c r="E2098" s="17">
        <v>9</v>
      </c>
      <c r="F2098" s="15" t="str">
        <f t="shared" si="32"/>
        <v>1210-141846-44767</v>
      </c>
    </row>
    <row r="2099" spans="1:6" ht="14.25" customHeight="1" x14ac:dyDescent="0.25">
      <c r="A2099" s="15" t="s">
        <v>2239</v>
      </c>
      <c r="B2099" s="17">
        <v>1210</v>
      </c>
      <c r="C2099" s="17">
        <v>141846</v>
      </c>
      <c r="D2099" s="31">
        <v>44774</v>
      </c>
      <c r="E2099" s="17">
        <v>21</v>
      </c>
      <c r="F2099" s="15" t="str">
        <f t="shared" si="32"/>
        <v>1210-141846-44774</v>
      </c>
    </row>
    <row r="2100" spans="1:6" ht="14.25" customHeight="1" x14ac:dyDescent="0.25">
      <c r="A2100" s="15" t="s">
        <v>2240</v>
      </c>
      <c r="B2100" s="17">
        <v>1210</v>
      </c>
      <c r="C2100" s="17">
        <v>141846</v>
      </c>
      <c r="D2100" s="31">
        <v>44781</v>
      </c>
      <c r="E2100" s="17">
        <v>25</v>
      </c>
      <c r="F2100" s="15" t="str">
        <f t="shared" si="32"/>
        <v>1210-141846-44781</v>
      </c>
    </row>
    <row r="2101" spans="1:6" ht="14.25" customHeight="1" x14ac:dyDescent="0.25">
      <c r="A2101" s="15" t="s">
        <v>2241</v>
      </c>
      <c r="B2101" s="17">
        <v>1210</v>
      </c>
      <c r="C2101" s="17">
        <v>141846</v>
      </c>
      <c r="D2101" s="31">
        <v>44788</v>
      </c>
      <c r="E2101" s="17">
        <v>27</v>
      </c>
      <c r="F2101" s="15" t="str">
        <f t="shared" si="32"/>
        <v>1210-141846-44788</v>
      </c>
    </row>
    <row r="2102" spans="1:6" ht="14.25" customHeight="1" x14ac:dyDescent="0.25">
      <c r="A2102" s="15" t="s">
        <v>2242</v>
      </c>
      <c r="B2102" s="17">
        <v>1210</v>
      </c>
      <c r="C2102" s="17">
        <v>141967</v>
      </c>
      <c r="D2102" s="31">
        <v>44739</v>
      </c>
      <c r="E2102" s="17">
        <v>68</v>
      </c>
      <c r="F2102" s="15" t="str">
        <f t="shared" si="32"/>
        <v>1210-141967-44739</v>
      </c>
    </row>
    <row r="2103" spans="1:6" ht="14.25" customHeight="1" x14ac:dyDescent="0.25">
      <c r="A2103" s="15" t="s">
        <v>2243</v>
      </c>
      <c r="B2103" s="17">
        <v>1210</v>
      </c>
      <c r="C2103" s="17">
        <v>141967</v>
      </c>
      <c r="D2103" s="31">
        <v>44746</v>
      </c>
      <c r="E2103" s="17">
        <v>56</v>
      </c>
      <c r="F2103" s="15" t="str">
        <f t="shared" si="32"/>
        <v>1210-141967-44746</v>
      </c>
    </row>
    <row r="2104" spans="1:6" ht="14.25" customHeight="1" x14ac:dyDescent="0.25">
      <c r="A2104" s="15" t="s">
        <v>2244</v>
      </c>
      <c r="B2104" s="17">
        <v>1210</v>
      </c>
      <c r="C2104" s="17">
        <v>141967</v>
      </c>
      <c r="D2104" s="31">
        <v>44753</v>
      </c>
      <c r="E2104" s="17">
        <v>42</v>
      </c>
      <c r="F2104" s="15" t="str">
        <f t="shared" si="32"/>
        <v>1210-141967-44753</v>
      </c>
    </row>
    <row r="2105" spans="1:6" ht="14.25" customHeight="1" x14ac:dyDescent="0.25">
      <c r="A2105" s="15" t="s">
        <v>2245</v>
      </c>
      <c r="B2105" s="17">
        <v>1210</v>
      </c>
      <c r="C2105" s="17">
        <v>141967</v>
      </c>
      <c r="D2105" s="31">
        <v>44760</v>
      </c>
      <c r="E2105" s="17">
        <v>13</v>
      </c>
      <c r="F2105" s="15" t="str">
        <f t="shared" si="32"/>
        <v>1210-141967-44760</v>
      </c>
    </row>
    <row r="2106" spans="1:6" ht="14.25" customHeight="1" x14ac:dyDescent="0.25">
      <c r="A2106" s="15" t="s">
        <v>2246</v>
      </c>
      <c r="B2106" s="17">
        <v>1210</v>
      </c>
      <c r="C2106" s="17">
        <v>141967</v>
      </c>
      <c r="D2106" s="31">
        <v>44767</v>
      </c>
      <c r="E2106" s="17">
        <v>54</v>
      </c>
      <c r="F2106" s="15" t="str">
        <f t="shared" si="32"/>
        <v>1210-141967-44767</v>
      </c>
    </row>
    <row r="2107" spans="1:6" ht="14.25" customHeight="1" x14ac:dyDescent="0.25">
      <c r="A2107" s="15" t="s">
        <v>2247</v>
      </c>
      <c r="B2107" s="17">
        <v>1210</v>
      </c>
      <c r="C2107" s="17">
        <v>141967</v>
      </c>
      <c r="D2107" s="31">
        <v>44774</v>
      </c>
      <c r="E2107" s="17">
        <v>70</v>
      </c>
      <c r="F2107" s="15" t="str">
        <f t="shared" si="32"/>
        <v>1210-141967-44774</v>
      </c>
    </row>
    <row r="2108" spans="1:6" ht="14.25" customHeight="1" x14ac:dyDescent="0.25">
      <c r="A2108" s="15" t="s">
        <v>2248</v>
      </c>
      <c r="B2108" s="17">
        <v>1210</v>
      </c>
      <c r="C2108" s="17">
        <v>141967</v>
      </c>
      <c r="D2108" s="31">
        <v>44781</v>
      </c>
      <c r="E2108" s="17">
        <v>68</v>
      </c>
      <c r="F2108" s="15" t="str">
        <f t="shared" si="32"/>
        <v>1210-141967-44781</v>
      </c>
    </row>
    <row r="2109" spans="1:6" ht="14.25" customHeight="1" x14ac:dyDescent="0.25">
      <c r="A2109" s="15" t="s">
        <v>2249</v>
      </c>
      <c r="B2109" s="17">
        <v>1210</v>
      </c>
      <c r="C2109" s="17">
        <v>141967</v>
      </c>
      <c r="D2109" s="31">
        <v>44788</v>
      </c>
      <c r="E2109" s="17">
        <v>44</v>
      </c>
      <c r="F2109" s="15" t="str">
        <f t="shared" si="32"/>
        <v>1210-141967-44788</v>
      </c>
    </row>
    <row r="2110" spans="1:6" ht="14.25" customHeight="1" x14ac:dyDescent="0.25">
      <c r="A2110" s="15" t="s">
        <v>2250</v>
      </c>
      <c r="B2110" s="17">
        <v>1210</v>
      </c>
      <c r="C2110" s="17">
        <v>142194</v>
      </c>
      <c r="D2110" s="31">
        <v>44739</v>
      </c>
      <c r="E2110" s="17">
        <v>27</v>
      </c>
      <c r="F2110" s="15" t="str">
        <f t="shared" si="32"/>
        <v>1210-142194-44739</v>
      </c>
    </row>
    <row r="2111" spans="1:6" ht="14.25" customHeight="1" x14ac:dyDescent="0.25">
      <c r="A2111" s="15" t="s">
        <v>2251</v>
      </c>
      <c r="B2111" s="17">
        <v>1210</v>
      </c>
      <c r="C2111" s="17">
        <v>142194</v>
      </c>
      <c r="D2111" s="31">
        <v>44746</v>
      </c>
      <c r="E2111" s="17">
        <v>21</v>
      </c>
      <c r="F2111" s="15" t="str">
        <f t="shared" si="32"/>
        <v>1210-142194-44746</v>
      </c>
    </row>
    <row r="2112" spans="1:6" ht="14.25" customHeight="1" x14ac:dyDescent="0.25">
      <c r="A2112" s="15" t="s">
        <v>2252</v>
      </c>
      <c r="B2112" s="17">
        <v>1210</v>
      </c>
      <c r="C2112" s="17">
        <v>142194</v>
      </c>
      <c r="D2112" s="31">
        <v>44753</v>
      </c>
      <c r="E2112" s="17">
        <v>10</v>
      </c>
      <c r="F2112" s="15" t="str">
        <f t="shared" si="32"/>
        <v>1210-142194-44753</v>
      </c>
    </row>
    <row r="2113" spans="1:6" ht="14.25" customHeight="1" x14ac:dyDescent="0.25">
      <c r="A2113" s="15" t="s">
        <v>2253</v>
      </c>
      <c r="B2113" s="17">
        <v>1210</v>
      </c>
      <c r="C2113" s="17">
        <v>142194</v>
      </c>
      <c r="D2113" s="31">
        <v>44760</v>
      </c>
      <c r="E2113" s="17">
        <v>5</v>
      </c>
      <c r="F2113" s="15" t="str">
        <f t="shared" si="32"/>
        <v>1210-142194-44760</v>
      </c>
    </row>
    <row r="2114" spans="1:6" ht="14.25" customHeight="1" x14ac:dyDescent="0.25">
      <c r="A2114" s="15" t="s">
        <v>2254</v>
      </c>
      <c r="B2114" s="17">
        <v>1210</v>
      </c>
      <c r="C2114" s="17">
        <v>142194</v>
      </c>
      <c r="D2114" s="31">
        <v>44767</v>
      </c>
      <c r="E2114" s="17">
        <v>34</v>
      </c>
      <c r="F2114" s="15" t="str">
        <f t="shared" si="32"/>
        <v>1210-142194-44767</v>
      </c>
    </row>
    <row r="2115" spans="1:6" ht="14.25" customHeight="1" x14ac:dyDescent="0.25">
      <c r="A2115" s="15" t="s">
        <v>2255</v>
      </c>
      <c r="B2115" s="17">
        <v>1210</v>
      </c>
      <c r="C2115" s="17">
        <v>142194</v>
      </c>
      <c r="D2115" s="31">
        <v>44774</v>
      </c>
      <c r="E2115" s="17">
        <v>26</v>
      </c>
      <c r="F2115" s="15" t="str">
        <f t="shared" ref="F2115:F2178" si="33">B2115&amp;"-"&amp;C2115&amp;"-"&amp;INT(D2115)</f>
        <v>1210-142194-44774</v>
      </c>
    </row>
    <row r="2116" spans="1:6" ht="14.25" customHeight="1" x14ac:dyDescent="0.25">
      <c r="A2116" s="15" t="s">
        <v>2256</v>
      </c>
      <c r="B2116" s="17">
        <v>1210</v>
      </c>
      <c r="C2116" s="17">
        <v>142194</v>
      </c>
      <c r="D2116" s="31">
        <v>44781</v>
      </c>
      <c r="E2116" s="17">
        <v>15</v>
      </c>
      <c r="F2116" s="15" t="str">
        <f t="shared" si="33"/>
        <v>1210-142194-44781</v>
      </c>
    </row>
    <row r="2117" spans="1:6" ht="14.25" customHeight="1" x14ac:dyDescent="0.25">
      <c r="A2117" s="15" t="s">
        <v>2257</v>
      </c>
      <c r="B2117" s="17">
        <v>1210</v>
      </c>
      <c r="C2117" s="17">
        <v>142194</v>
      </c>
      <c r="D2117" s="31">
        <v>44788</v>
      </c>
      <c r="E2117" s="17">
        <v>32</v>
      </c>
      <c r="F2117" s="15" t="str">
        <f t="shared" si="33"/>
        <v>1210-142194-44788</v>
      </c>
    </row>
    <row r="2118" spans="1:6" ht="14.25" customHeight="1" x14ac:dyDescent="0.25">
      <c r="A2118" s="15" t="s">
        <v>2258</v>
      </c>
      <c r="B2118" s="17">
        <v>1210</v>
      </c>
      <c r="C2118" s="17">
        <v>149729</v>
      </c>
      <c r="D2118" s="31">
        <v>44739</v>
      </c>
      <c r="E2118" s="17">
        <v>20</v>
      </c>
      <c r="F2118" s="15" t="str">
        <f t="shared" si="33"/>
        <v>1210-149729-44739</v>
      </c>
    </row>
    <row r="2119" spans="1:6" ht="14.25" customHeight="1" x14ac:dyDescent="0.25">
      <c r="A2119" s="15" t="s">
        <v>2259</v>
      </c>
      <c r="B2119" s="17">
        <v>1210</v>
      </c>
      <c r="C2119" s="17">
        <v>149729</v>
      </c>
      <c r="D2119" s="31">
        <v>44746</v>
      </c>
      <c r="E2119" s="17">
        <v>29</v>
      </c>
      <c r="F2119" s="15" t="str">
        <f t="shared" si="33"/>
        <v>1210-149729-44746</v>
      </c>
    </row>
    <row r="2120" spans="1:6" ht="14.25" customHeight="1" x14ac:dyDescent="0.25">
      <c r="A2120" s="15" t="s">
        <v>2260</v>
      </c>
      <c r="B2120" s="17">
        <v>1210</v>
      </c>
      <c r="C2120" s="17">
        <v>149729</v>
      </c>
      <c r="D2120" s="31">
        <v>44753</v>
      </c>
      <c r="E2120" s="17">
        <v>27</v>
      </c>
      <c r="F2120" s="15" t="str">
        <f t="shared" si="33"/>
        <v>1210-149729-44753</v>
      </c>
    </row>
    <row r="2121" spans="1:6" ht="14.25" customHeight="1" x14ac:dyDescent="0.25">
      <c r="A2121" s="15" t="s">
        <v>2261</v>
      </c>
      <c r="B2121" s="17">
        <v>1210</v>
      </c>
      <c r="C2121" s="17">
        <v>149729</v>
      </c>
      <c r="D2121" s="31">
        <v>44760</v>
      </c>
      <c r="E2121" s="17">
        <v>18</v>
      </c>
      <c r="F2121" s="15" t="str">
        <f t="shared" si="33"/>
        <v>1210-149729-44760</v>
      </c>
    </row>
    <row r="2122" spans="1:6" ht="14.25" customHeight="1" x14ac:dyDescent="0.25">
      <c r="A2122" s="15" t="s">
        <v>2262</v>
      </c>
      <c r="B2122" s="17">
        <v>1210</v>
      </c>
      <c r="C2122" s="17">
        <v>149729</v>
      </c>
      <c r="D2122" s="31">
        <v>44767</v>
      </c>
      <c r="E2122" s="17">
        <v>18</v>
      </c>
      <c r="F2122" s="15" t="str">
        <f t="shared" si="33"/>
        <v>1210-149729-44767</v>
      </c>
    </row>
    <row r="2123" spans="1:6" ht="14.25" customHeight="1" x14ac:dyDescent="0.25">
      <c r="A2123" s="15" t="s">
        <v>2263</v>
      </c>
      <c r="B2123" s="17">
        <v>1210</v>
      </c>
      <c r="C2123" s="17">
        <v>149729</v>
      </c>
      <c r="D2123" s="31">
        <v>44774</v>
      </c>
      <c r="E2123" s="17">
        <v>23</v>
      </c>
      <c r="F2123" s="15" t="str">
        <f t="shared" si="33"/>
        <v>1210-149729-44774</v>
      </c>
    </row>
    <row r="2124" spans="1:6" ht="14.25" customHeight="1" x14ac:dyDescent="0.25">
      <c r="A2124" s="15" t="s">
        <v>2264</v>
      </c>
      <c r="B2124" s="17">
        <v>1210</v>
      </c>
      <c r="C2124" s="17">
        <v>149729</v>
      </c>
      <c r="D2124" s="31">
        <v>44781</v>
      </c>
      <c r="E2124" s="17">
        <v>25</v>
      </c>
      <c r="F2124" s="15" t="str">
        <f t="shared" si="33"/>
        <v>1210-149729-44781</v>
      </c>
    </row>
    <row r="2125" spans="1:6" ht="14.25" customHeight="1" x14ac:dyDescent="0.25">
      <c r="A2125" s="15" t="s">
        <v>2265</v>
      </c>
      <c r="B2125" s="17">
        <v>1210</v>
      </c>
      <c r="C2125" s="17">
        <v>149729</v>
      </c>
      <c r="D2125" s="31">
        <v>44788</v>
      </c>
      <c r="E2125" s="17">
        <v>6</v>
      </c>
      <c r="F2125" s="15" t="str">
        <f t="shared" si="33"/>
        <v>1210-149729-44788</v>
      </c>
    </row>
    <row r="2126" spans="1:6" ht="14.25" customHeight="1" x14ac:dyDescent="0.25">
      <c r="A2126" s="15" t="s">
        <v>2266</v>
      </c>
      <c r="B2126" s="17">
        <v>1210</v>
      </c>
      <c r="C2126" s="17">
        <v>149779</v>
      </c>
      <c r="D2126" s="31">
        <v>44739</v>
      </c>
      <c r="E2126" s="17">
        <v>45</v>
      </c>
      <c r="F2126" s="15" t="str">
        <f t="shared" si="33"/>
        <v>1210-149779-44739</v>
      </c>
    </row>
    <row r="2127" spans="1:6" ht="14.25" customHeight="1" x14ac:dyDescent="0.25">
      <c r="A2127" s="15" t="s">
        <v>2267</v>
      </c>
      <c r="B2127" s="17">
        <v>1210</v>
      </c>
      <c r="C2127" s="17">
        <v>149779</v>
      </c>
      <c r="D2127" s="31">
        <v>44746</v>
      </c>
      <c r="E2127" s="17">
        <v>33</v>
      </c>
      <c r="F2127" s="15" t="str">
        <f t="shared" si="33"/>
        <v>1210-149779-44746</v>
      </c>
    </row>
    <row r="2128" spans="1:6" ht="14.25" customHeight="1" x14ac:dyDescent="0.25">
      <c r="A2128" s="15" t="s">
        <v>2268</v>
      </c>
      <c r="B2128" s="17">
        <v>1210</v>
      </c>
      <c r="C2128" s="17">
        <v>149779</v>
      </c>
      <c r="D2128" s="31">
        <v>44753</v>
      </c>
      <c r="E2128" s="17">
        <v>57</v>
      </c>
      <c r="F2128" s="15" t="str">
        <f t="shared" si="33"/>
        <v>1210-149779-44753</v>
      </c>
    </row>
    <row r="2129" spans="1:6" ht="14.25" customHeight="1" x14ac:dyDescent="0.25">
      <c r="A2129" s="15" t="s">
        <v>2269</v>
      </c>
      <c r="B2129" s="17">
        <v>1210</v>
      </c>
      <c r="C2129" s="17">
        <v>149779</v>
      </c>
      <c r="D2129" s="31">
        <v>44760</v>
      </c>
      <c r="E2129" s="17">
        <v>45</v>
      </c>
      <c r="F2129" s="15" t="str">
        <f t="shared" si="33"/>
        <v>1210-149779-44760</v>
      </c>
    </row>
    <row r="2130" spans="1:6" ht="14.25" customHeight="1" x14ac:dyDescent="0.25">
      <c r="A2130" s="15" t="s">
        <v>2270</v>
      </c>
      <c r="B2130" s="17">
        <v>1210</v>
      </c>
      <c r="C2130" s="17">
        <v>149779</v>
      </c>
      <c r="D2130" s="31">
        <v>44767</v>
      </c>
      <c r="E2130" s="17">
        <v>42</v>
      </c>
      <c r="F2130" s="15" t="str">
        <f t="shared" si="33"/>
        <v>1210-149779-44767</v>
      </c>
    </row>
    <row r="2131" spans="1:6" ht="14.25" customHeight="1" x14ac:dyDescent="0.25">
      <c r="A2131" s="15" t="s">
        <v>2271</v>
      </c>
      <c r="B2131" s="17">
        <v>1210</v>
      </c>
      <c r="C2131" s="17">
        <v>149779</v>
      </c>
      <c r="D2131" s="31">
        <v>44774</v>
      </c>
      <c r="E2131" s="17">
        <v>42</v>
      </c>
      <c r="F2131" s="15" t="str">
        <f t="shared" si="33"/>
        <v>1210-149779-44774</v>
      </c>
    </row>
    <row r="2132" spans="1:6" ht="14.25" customHeight="1" x14ac:dyDescent="0.25">
      <c r="A2132" s="15" t="s">
        <v>2272</v>
      </c>
      <c r="B2132" s="17">
        <v>1210</v>
      </c>
      <c r="C2132" s="17">
        <v>149779</v>
      </c>
      <c r="D2132" s="31">
        <v>44781</v>
      </c>
      <c r="E2132" s="17">
        <v>56</v>
      </c>
      <c r="F2132" s="15" t="str">
        <f t="shared" si="33"/>
        <v>1210-149779-44781</v>
      </c>
    </row>
    <row r="2133" spans="1:6" ht="14.25" customHeight="1" x14ac:dyDescent="0.25">
      <c r="A2133" s="15" t="s">
        <v>2273</v>
      </c>
      <c r="B2133" s="17">
        <v>1210</v>
      </c>
      <c r="C2133" s="17">
        <v>149779</v>
      </c>
      <c r="D2133" s="31">
        <v>44788</v>
      </c>
      <c r="E2133" s="17">
        <v>19</v>
      </c>
      <c r="F2133" s="15" t="str">
        <f t="shared" si="33"/>
        <v>1210-149779-44788</v>
      </c>
    </row>
    <row r="2134" spans="1:6" ht="14.25" customHeight="1" x14ac:dyDescent="0.25">
      <c r="A2134" s="15" t="s">
        <v>2274</v>
      </c>
      <c r="B2134" s="17">
        <v>1210</v>
      </c>
      <c r="C2134" s="17">
        <v>189933</v>
      </c>
      <c r="D2134" s="31">
        <v>44739</v>
      </c>
      <c r="E2134" s="17">
        <v>53</v>
      </c>
      <c r="F2134" s="15" t="str">
        <f t="shared" si="33"/>
        <v>1210-189933-44739</v>
      </c>
    </row>
    <row r="2135" spans="1:6" ht="14.25" customHeight="1" x14ac:dyDescent="0.25">
      <c r="A2135" s="15" t="s">
        <v>2275</v>
      </c>
      <c r="B2135" s="17">
        <v>1210</v>
      </c>
      <c r="C2135" s="17">
        <v>189933</v>
      </c>
      <c r="D2135" s="31">
        <v>44746</v>
      </c>
      <c r="E2135" s="17">
        <v>33</v>
      </c>
      <c r="F2135" s="15" t="str">
        <f t="shared" si="33"/>
        <v>1210-189933-44746</v>
      </c>
    </row>
    <row r="2136" spans="1:6" ht="14.25" customHeight="1" x14ac:dyDescent="0.25">
      <c r="A2136" s="15" t="s">
        <v>2276</v>
      </c>
      <c r="B2136" s="17">
        <v>1210</v>
      </c>
      <c r="C2136" s="17">
        <v>189933</v>
      </c>
      <c r="D2136" s="31">
        <v>44753</v>
      </c>
      <c r="E2136" s="17">
        <v>24</v>
      </c>
      <c r="F2136" s="15" t="str">
        <f t="shared" si="33"/>
        <v>1210-189933-44753</v>
      </c>
    </row>
    <row r="2137" spans="1:6" ht="14.25" customHeight="1" x14ac:dyDescent="0.25">
      <c r="A2137" s="15" t="s">
        <v>2277</v>
      </c>
      <c r="B2137" s="17">
        <v>1210</v>
      </c>
      <c r="C2137" s="17">
        <v>189933</v>
      </c>
      <c r="D2137" s="31">
        <v>44760</v>
      </c>
      <c r="E2137" s="17">
        <v>63</v>
      </c>
      <c r="F2137" s="15" t="str">
        <f t="shared" si="33"/>
        <v>1210-189933-44760</v>
      </c>
    </row>
    <row r="2138" spans="1:6" ht="14.25" customHeight="1" x14ac:dyDescent="0.25">
      <c r="A2138" s="15" t="s">
        <v>2278</v>
      </c>
      <c r="B2138" s="17">
        <v>1210</v>
      </c>
      <c r="C2138" s="17">
        <v>189933</v>
      </c>
      <c r="D2138" s="31">
        <v>44767</v>
      </c>
      <c r="E2138" s="17">
        <v>48</v>
      </c>
      <c r="F2138" s="15" t="str">
        <f t="shared" si="33"/>
        <v>1210-189933-44767</v>
      </c>
    </row>
    <row r="2139" spans="1:6" ht="14.25" customHeight="1" x14ac:dyDescent="0.25">
      <c r="A2139" s="15" t="s">
        <v>2279</v>
      </c>
      <c r="B2139" s="17">
        <v>1210</v>
      </c>
      <c r="C2139" s="17">
        <v>189933</v>
      </c>
      <c r="D2139" s="31">
        <v>44774</v>
      </c>
      <c r="E2139" s="17">
        <v>70</v>
      </c>
      <c r="F2139" s="15" t="str">
        <f t="shared" si="33"/>
        <v>1210-189933-44774</v>
      </c>
    </row>
    <row r="2140" spans="1:6" ht="14.25" customHeight="1" x14ac:dyDescent="0.25">
      <c r="A2140" s="15" t="s">
        <v>2280</v>
      </c>
      <c r="B2140" s="17">
        <v>1210</v>
      </c>
      <c r="C2140" s="17">
        <v>189933</v>
      </c>
      <c r="D2140" s="31">
        <v>44781</v>
      </c>
      <c r="E2140" s="17">
        <v>54</v>
      </c>
      <c r="F2140" s="15" t="str">
        <f t="shared" si="33"/>
        <v>1210-189933-44781</v>
      </c>
    </row>
    <row r="2141" spans="1:6" ht="14.25" customHeight="1" x14ac:dyDescent="0.25">
      <c r="A2141" s="15" t="s">
        <v>2281</v>
      </c>
      <c r="B2141" s="17">
        <v>1210</v>
      </c>
      <c r="C2141" s="17">
        <v>189933</v>
      </c>
      <c r="D2141" s="31">
        <v>44788</v>
      </c>
      <c r="E2141" s="17">
        <v>72</v>
      </c>
      <c r="F2141" s="15" t="str">
        <f t="shared" si="33"/>
        <v>1210-189933-44788</v>
      </c>
    </row>
    <row r="2142" spans="1:6" ht="14.25" customHeight="1" x14ac:dyDescent="0.25">
      <c r="A2142" s="15" t="s">
        <v>2282</v>
      </c>
      <c r="B2142" s="17">
        <v>1210</v>
      </c>
      <c r="C2142" s="17">
        <v>202577</v>
      </c>
      <c r="D2142" s="31">
        <v>44739</v>
      </c>
      <c r="E2142" s="17">
        <v>34</v>
      </c>
      <c r="F2142" s="15" t="str">
        <f t="shared" si="33"/>
        <v>1210-202577-44739</v>
      </c>
    </row>
    <row r="2143" spans="1:6" ht="14.25" customHeight="1" x14ac:dyDescent="0.25">
      <c r="A2143" s="15" t="s">
        <v>2283</v>
      </c>
      <c r="B2143" s="17">
        <v>1210</v>
      </c>
      <c r="C2143" s="17">
        <v>202577</v>
      </c>
      <c r="D2143" s="31">
        <v>44746</v>
      </c>
      <c r="E2143" s="17">
        <v>40</v>
      </c>
      <c r="F2143" s="15" t="str">
        <f t="shared" si="33"/>
        <v>1210-202577-44746</v>
      </c>
    </row>
    <row r="2144" spans="1:6" ht="14.25" customHeight="1" x14ac:dyDescent="0.25">
      <c r="A2144" s="15" t="s">
        <v>2284</v>
      </c>
      <c r="B2144" s="17">
        <v>1210</v>
      </c>
      <c r="C2144" s="17">
        <v>202577</v>
      </c>
      <c r="D2144" s="31">
        <v>44753</v>
      </c>
      <c r="E2144" s="17">
        <v>40</v>
      </c>
      <c r="F2144" s="15" t="str">
        <f t="shared" si="33"/>
        <v>1210-202577-44753</v>
      </c>
    </row>
    <row r="2145" spans="1:6" ht="14.25" customHeight="1" x14ac:dyDescent="0.25">
      <c r="A2145" s="15" t="s">
        <v>2285</v>
      </c>
      <c r="B2145" s="17">
        <v>1210</v>
      </c>
      <c r="C2145" s="17">
        <v>202577</v>
      </c>
      <c r="D2145" s="31">
        <v>44760</v>
      </c>
      <c r="E2145" s="17">
        <v>42</v>
      </c>
      <c r="F2145" s="15" t="str">
        <f t="shared" si="33"/>
        <v>1210-202577-44760</v>
      </c>
    </row>
    <row r="2146" spans="1:6" ht="14.25" customHeight="1" x14ac:dyDescent="0.25">
      <c r="A2146" s="15" t="s">
        <v>2286</v>
      </c>
      <c r="B2146" s="17">
        <v>1210</v>
      </c>
      <c r="C2146" s="17">
        <v>202577</v>
      </c>
      <c r="D2146" s="31">
        <v>44767</v>
      </c>
      <c r="E2146" s="17">
        <v>34</v>
      </c>
      <c r="F2146" s="15" t="str">
        <f t="shared" si="33"/>
        <v>1210-202577-44767</v>
      </c>
    </row>
    <row r="2147" spans="1:6" ht="14.25" customHeight="1" x14ac:dyDescent="0.25">
      <c r="A2147" s="15" t="s">
        <v>2287</v>
      </c>
      <c r="B2147" s="17">
        <v>1210</v>
      </c>
      <c r="C2147" s="17">
        <v>202577</v>
      </c>
      <c r="D2147" s="31">
        <v>44774</v>
      </c>
      <c r="E2147" s="17">
        <v>36</v>
      </c>
      <c r="F2147" s="15" t="str">
        <f t="shared" si="33"/>
        <v>1210-202577-44774</v>
      </c>
    </row>
    <row r="2148" spans="1:6" ht="14.25" customHeight="1" x14ac:dyDescent="0.25">
      <c r="A2148" s="15" t="s">
        <v>2288</v>
      </c>
      <c r="B2148" s="17">
        <v>1210</v>
      </c>
      <c r="C2148" s="17">
        <v>202577</v>
      </c>
      <c r="D2148" s="31">
        <v>44781</v>
      </c>
      <c r="E2148" s="17">
        <v>30</v>
      </c>
      <c r="F2148" s="15" t="str">
        <f t="shared" si="33"/>
        <v>1210-202577-44781</v>
      </c>
    </row>
    <row r="2149" spans="1:6" ht="14.25" customHeight="1" x14ac:dyDescent="0.25">
      <c r="A2149" s="15" t="s">
        <v>2289</v>
      </c>
      <c r="B2149" s="17">
        <v>1210</v>
      </c>
      <c r="C2149" s="17">
        <v>202577</v>
      </c>
      <c r="D2149" s="31">
        <v>44788</v>
      </c>
      <c r="E2149" s="17">
        <v>17</v>
      </c>
      <c r="F2149" s="15" t="str">
        <f t="shared" si="33"/>
        <v>1210-202577-44788</v>
      </c>
    </row>
    <row r="2150" spans="1:6" ht="14.25" customHeight="1" x14ac:dyDescent="0.25">
      <c r="A2150" s="15" t="s">
        <v>2290</v>
      </c>
      <c r="B2150" s="17">
        <v>1210</v>
      </c>
      <c r="C2150" s="17">
        <v>234334</v>
      </c>
      <c r="D2150" s="31">
        <v>44739</v>
      </c>
      <c r="E2150" s="17">
        <v>31</v>
      </c>
      <c r="F2150" s="15" t="str">
        <f t="shared" si="33"/>
        <v>1210-234334-44739</v>
      </c>
    </row>
    <row r="2151" spans="1:6" ht="14.25" customHeight="1" x14ac:dyDescent="0.25">
      <c r="A2151" s="15" t="s">
        <v>2291</v>
      </c>
      <c r="B2151" s="17">
        <v>1210</v>
      </c>
      <c r="C2151" s="17">
        <v>234334</v>
      </c>
      <c r="D2151" s="31">
        <v>44746</v>
      </c>
      <c r="E2151" s="17">
        <v>8</v>
      </c>
      <c r="F2151" s="15" t="str">
        <f t="shared" si="33"/>
        <v>1210-234334-44746</v>
      </c>
    </row>
    <row r="2152" spans="1:6" ht="14.25" customHeight="1" x14ac:dyDescent="0.25">
      <c r="A2152" s="15" t="s">
        <v>2292</v>
      </c>
      <c r="B2152" s="17">
        <v>1210</v>
      </c>
      <c r="C2152" s="17">
        <v>234334</v>
      </c>
      <c r="D2152" s="31">
        <v>44753</v>
      </c>
      <c r="E2152" s="17">
        <v>40</v>
      </c>
      <c r="F2152" s="15" t="str">
        <f t="shared" si="33"/>
        <v>1210-234334-44753</v>
      </c>
    </row>
    <row r="2153" spans="1:6" ht="14.25" customHeight="1" x14ac:dyDescent="0.25">
      <c r="A2153" s="15" t="s">
        <v>2293</v>
      </c>
      <c r="B2153" s="17">
        <v>1210</v>
      </c>
      <c r="C2153" s="17">
        <v>234334</v>
      </c>
      <c r="D2153" s="31">
        <v>44760</v>
      </c>
      <c r="E2153" s="17">
        <v>40</v>
      </c>
      <c r="F2153" s="15" t="str">
        <f t="shared" si="33"/>
        <v>1210-234334-44760</v>
      </c>
    </row>
    <row r="2154" spans="1:6" ht="14.25" customHeight="1" x14ac:dyDescent="0.25">
      <c r="A2154" s="15" t="s">
        <v>2294</v>
      </c>
      <c r="B2154" s="17">
        <v>1210</v>
      </c>
      <c r="C2154" s="17">
        <v>234334</v>
      </c>
      <c r="D2154" s="31">
        <v>44767</v>
      </c>
      <c r="E2154" s="17">
        <v>8</v>
      </c>
      <c r="F2154" s="15" t="str">
        <f t="shared" si="33"/>
        <v>1210-234334-44767</v>
      </c>
    </row>
    <row r="2155" spans="1:6" ht="14.25" customHeight="1" x14ac:dyDescent="0.25">
      <c r="A2155" s="15" t="s">
        <v>2295</v>
      </c>
      <c r="B2155" s="17">
        <v>1210</v>
      </c>
      <c r="C2155" s="17">
        <v>234334</v>
      </c>
      <c r="D2155" s="31">
        <v>44774</v>
      </c>
      <c r="E2155" s="17">
        <v>6</v>
      </c>
      <c r="F2155" s="15" t="str">
        <f t="shared" si="33"/>
        <v>1210-234334-44774</v>
      </c>
    </row>
    <row r="2156" spans="1:6" ht="14.25" customHeight="1" x14ac:dyDescent="0.25">
      <c r="A2156" s="15" t="s">
        <v>2296</v>
      </c>
      <c r="B2156" s="17">
        <v>1210</v>
      </c>
      <c r="C2156" s="17">
        <v>234334</v>
      </c>
      <c r="D2156" s="31">
        <v>44781</v>
      </c>
      <c r="E2156" s="17">
        <v>33</v>
      </c>
      <c r="F2156" s="15" t="str">
        <f t="shared" si="33"/>
        <v>1210-234334-44781</v>
      </c>
    </row>
    <row r="2157" spans="1:6" ht="14.25" customHeight="1" x14ac:dyDescent="0.25">
      <c r="A2157" s="15" t="s">
        <v>2297</v>
      </c>
      <c r="B2157" s="17">
        <v>1210</v>
      </c>
      <c r="C2157" s="17">
        <v>234334</v>
      </c>
      <c r="D2157" s="31">
        <v>44788</v>
      </c>
      <c r="E2157" s="17">
        <v>26</v>
      </c>
      <c r="F2157" s="15" t="str">
        <f t="shared" si="33"/>
        <v>1210-234334-44788</v>
      </c>
    </row>
    <row r="2158" spans="1:6" ht="14.25" customHeight="1" x14ac:dyDescent="0.25">
      <c r="A2158" s="15" t="s">
        <v>2298</v>
      </c>
      <c r="B2158" s="17">
        <v>1210</v>
      </c>
      <c r="C2158" s="17">
        <v>249444</v>
      </c>
      <c r="D2158" s="31">
        <v>44739</v>
      </c>
      <c r="E2158" s="17">
        <v>63</v>
      </c>
      <c r="F2158" s="15" t="str">
        <f t="shared" si="33"/>
        <v>1210-249444-44739</v>
      </c>
    </row>
    <row r="2159" spans="1:6" ht="14.25" customHeight="1" x14ac:dyDescent="0.25">
      <c r="A2159" s="15" t="s">
        <v>2299</v>
      </c>
      <c r="B2159" s="17">
        <v>1210</v>
      </c>
      <c r="C2159" s="17">
        <v>249444</v>
      </c>
      <c r="D2159" s="31">
        <v>44746</v>
      </c>
      <c r="E2159" s="17">
        <v>224</v>
      </c>
      <c r="F2159" s="15" t="str">
        <f t="shared" si="33"/>
        <v>1210-249444-44746</v>
      </c>
    </row>
    <row r="2160" spans="1:6" ht="14.25" customHeight="1" x14ac:dyDescent="0.25">
      <c r="A2160" s="15" t="s">
        <v>2300</v>
      </c>
      <c r="B2160" s="17">
        <v>1210</v>
      </c>
      <c r="C2160" s="17">
        <v>249444</v>
      </c>
      <c r="D2160" s="31">
        <v>44753</v>
      </c>
      <c r="E2160" s="17">
        <v>260</v>
      </c>
      <c r="F2160" s="15" t="str">
        <f t="shared" si="33"/>
        <v>1210-249444-44753</v>
      </c>
    </row>
    <row r="2161" spans="1:6" ht="14.25" customHeight="1" x14ac:dyDescent="0.25">
      <c r="A2161" s="15" t="s">
        <v>2301</v>
      </c>
      <c r="B2161" s="17">
        <v>1210</v>
      </c>
      <c r="C2161" s="17">
        <v>249444</v>
      </c>
      <c r="D2161" s="31">
        <v>44760</v>
      </c>
      <c r="E2161" s="17">
        <v>60</v>
      </c>
      <c r="F2161" s="15" t="str">
        <f t="shared" si="33"/>
        <v>1210-249444-44760</v>
      </c>
    </row>
    <row r="2162" spans="1:6" ht="14.25" customHeight="1" x14ac:dyDescent="0.25">
      <c r="A2162" s="15" t="s">
        <v>2302</v>
      </c>
      <c r="B2162" s="17">
        <v>1210</v>
      </c>
      <c r="C2162" s="17">
        <v>249444</v>
      </c>
      <c r="D2162" s="31">
        <v>44767</v>
      </c>
      <c r="E2162" s="17">
        <v>121</v>
      </c>
      <c r="F2162" s="15" t="str">
        <f t="shared" si="33"/>
        <v>1210-249444-44767</v>
      </c>
    </row>
    <row r="2163" spans="1:6" ht="14.25" customHeight="1" x14ac:dyDescent="0.25">
      <c r="A2163" s="15" t="s">
        <v>2303</v>
      </c>
      <c r="B2163" s="17">
        <v>1210</v>
      </c>
      <c r="C2163" s="17">
        <v>249444</v>
      </c>
      <c r="D2163" s="31">
        <v>44774</v>
      </c>
      <c r="E2163" s="17">
        <v>260</v>
      </c>
      <c r="F2163" s="15" t="str">
        <f t="shared" si="33"/>
        <v>1210-249444-44774</v>
      </c>
    </row>
    <row r="2164" spans="1:6" ht="14.25" customHeight="1" x14ac:dyDescent="0.25">
      <c r="A2164" s="15" t="s">
        <v>2304</v>
      </c>
      <c r="B2164" s="17">
        <v>1210</v>
      </c>
      <c r="C2164" s="17">
        <v>249444</v>
      </c>
      <c r="D2164" s="31">
        <v>44781</v>
      </c>
      <c r="E2164" s="17">
        <v>190</v>
      </c>
      <c r="F2164" s="15" t="str">
        <f t="shared" si="33"/>
        <v>1210-249444-44781</v>
      </c>
    </row>
    <row r="2165" spans="1:6" ht="14.25" customHeight="1" x14ac:dyDescent="0.25">
      <c r="A2165" s="15" t="s">
        <v>2305</v>
      </c>
      <c r="B2165" s="17">
        <v>1210</v>
      </c>
      <c r="C2165" s="17">
        <v>249444</v>
      </c>
      <c r="D2165" s="31">
        <v>44788</v>
      </c>
      <c r="E2165" s="17">
        <v>244</v>
      </c>
      <c r="F2165" s="15" t="str">
        <f t="shared" si="33"/>
        <v>1210-249444-44788</v>
      </c>
    </row>
    <row r="2166" spans="1:6" ht="14.25" customHeight="1" x14ac:dyDescent="0.25">
      <c r="A2166" s="15" t="s">
        <v>2306</v>
      </c>
      <c r="B2166" s="17">
        <v>1210</v>
      </c>
      <c r="C2166" s="17">
        <v>249795</v>
      </c>
      <c r="D2166" s="31">
        <v>44739</v>
      </c>
      <c r="E2166" s="17">
        <v>8</v>
      </c>
      <c r="F2166" s="15" t="str">
        <f t="shared" si="33"/>
        <v>1210-249795-44739</v>
      </c>
    </row>
    <row r="2167" spans="1:6" ht="14.25" customHeight="1" x14ac:dyDescent="0.25">
      <c r="A2167" s="15" t="s">
        <v>2307</v>
      </c>
      <c r="B2167" s="17">
        <v>1210</v>
      </c>
      <c r="C2167" s="17">
        <v>249795</v>
      </c>
      <c r="D2167" s="31">
        <v>44746</v>
      </c>
      <c r="E2167" s="17">
        <v>34</v>
      </c>
      <c r="F2167" s="15" t="str">
        <f t="shared" si="33"/>
        <v>1210-249795-44746</v>
      </c>
    </row>
    <row r="2168" spans="1:6" ht="14.25" customHeight="1" x14ac:dyDescent="0.25">
      <c r="A2168" s="15" t="s">
        <v>2308</v>
      </c>
      <c r="B2168" s="17">
        <v>1210</v>
      </c>
      <c r="C2168" s="17">
        <v>249795</v>
      </c>
      <c r="D2168" s="31">
        <v>44753</v>
      </c>
      <c r="E2168" s="17">
        <v>36</v>
      </c>
      <c r="F2168" s="15" t="str">
        <f t="shared" si="33"/>
        <v>1210-249795-44753</v>
      </c>
    </row>
    <row r="2169" spans="1:6" ht="14.25" customHeight="1" x14ac:dyDescent="0.25">
      <c r="A2169" s="15" t="s">
        <v>2309</v>
      </c>
      <c r="B2169" s="17">
        <v>1210</v>
      </c>
      <c r="C2169" s="17">
        <v>249795</v>
      </c>
      <c r="D2169" s="31">
        <v>44760</v>
      </c>
      <c r="E2169" s="17">
        <v>41</v>
      </c>
      <c r="F2169" s="15" t="str">
        <f t="shared" si="33"/>
        <v>1210-249795-44760</v>
      </c>
    </row>
    <row r="2170" spans="1:6" ht="14.25" customHeight="1" x14ac:dyDescent="0.25">
      <c r="A2170" s="15" t="s">
        <v>2310</v>
      </c>
      <c r="B2170" s="17">
        <v>1210</v>
      </c>
      <c r="C2170" s="17">
        <v>249795</v>
      </c>
      <c r="D2170" s="31">
        <v>44767</v>
      </c>
      <c r="E2170" s="17">
        <v>10</v>
      </c>
      <c r="F2170" s="15" t="str">
        <f t="shared" si="33"/>
        <v>1210-249795-44767</v>
      </c>
    </row>
    <row r="2171" spans="1:6" ht="14.25" customHeight="1" x14ac:dyDescent="0.25">
      <c r="A2171" s="15" t="s">
        <v>2311</v>
      </c>
      <c r="B2171" s="17">
        <v>1210</v>
      </c>
      <c r="C2171" s="17">
        <v>249795</v>
      </c>
      <c r="D2171" s="31">
        <v>44774</v>
      </c>
      <c r="E2171" s="17">
        <v>37</v>
      </c>
      <c r="F2171" s="15" t="str">
        <f t="shared" si="33"/>
        <v>1210-249795-44774</v>
      </c>
    </row>
    <row r="2172" spans="1:6" ht="14.25" customHeight="1" x14ac:dyDescent="0.25">
      <c r="A2172" s="15" t="s">
        <v>2312</v>
      </c>
      <c r="B2172" s="17">
        <v>1210</v>
      </c>
      <c r="C2172" s="17">
        <v>249795</v>
      </c>
      <c r="D2172" s="31">
        <v>44781</v>
      </c>
      <c r="E2172" s="17">
        <v>4</v>
      </c>
      <c r="F2172" s="15" t="str">
        <f t="shared" si="33"/>
        <v>1210-249795-44781</v>
      </c>
    </row>
    <row r="2173" spans="1:6" ht="14.25" customHeight="1" x14ac:dyDescent="0.25">
      <c r="A2173" s="15" t="s">
        <v>2313</v>
      </c>
      <c r="B2173" s="17">
        <v>1210</v>
      </c>
      <c r="C2173" s="17">
        <v>249795</v>
      </c>
      <c r="D2173" s="31">
        <v>44788</v>
      </c>
      <c r="E2173" s="17">
        <v>5</v>
      </c>
      <c r="F2173" s="15" t="str">
        <f t="shared" si="33"/>
        <v>1210-249795-44788</v>
      </c>
    </row>
    <row r="2174" spans="1:6" ht="14.25" customHeight="1" x14ac:dyDescent="0.25">
      <c r="A2174" s="15" t="s">
        <v>2314</v>
      </c>
      <c r="B2174" s="17">
        <v>1210</v>
      </c>
      <c r="C2174" s="17">
        <v>250979</v>
      </c>
      <c r="D2174" s="31">
        <v>44739</v>
      </c>
      <c r="E2174" s="17">
        <v>23</v>
      </c>
      <c r="F2174" s="15" t="str">
        <f t="shared" si="33"/>
        <v>1210-250979-44739</v>
      </c>
    </row>
    <row r="2175" spans="1:6" ht="14.25" customHeight="1" x14ac:dyDescent="0.25">
      <c r="A2175" s="15" t="s">
        <v>2315</v>
      </c>
      <c r="B2175" s="17">
        <v>1210</v>
      </c>
      <c r="C2175" s="17">
        <v>250979</v>
      </c>
      <c r="D2175" s="31">
        <v>44746</v>
      </c>
      <c r="E2175" s="17">
        <v>23</v>
      </c>
      <c r="F2175" s="15" t="str">
        <f t="shared" si="33"/>
        <v>1210-250979-44746</v>
      </c>
    </row>
    <row r="2176" spans="1:6" ht="14.25" customHeight="1" x14ac:dyDescent="0.25">
      <c r="A2176" s="15" t="s">
        <v>2316</v>
      </c>
      <c r="B2176" s="17">
        <v>1210</v>
      </c>
      <c r="C2176" s="17">
        <v>250979</v>
      </c>
      <c r="D2176" s="31">
        <v>44753</v>
      </c>
      <c r="E2176" s="17">
        <v>23</v>
      </c>
      <c r="F2176" s="15" t="str">
        <f t="shared" si="33"/>
        <v>1210-250979-44753</v>
      </c>
    </row>
    <row r="2177" spans="1:6" ht="14.25" customHeight="1" x14ac:dyDescent="0.25">
      <c r="A2177" s="15" t="s">
        <v>2317</v>
      </c>
      <c r="B2177" s="17">
        <v>1210</v>
      </c>
      <c r="C2177" s="17">
        <v>250979</v>
      </c>
      <c r="D2177" s="31">
        <v>44760</v>
      </c>
      <c r="E2177" s="17">
        <v>23</v>
      </c>
      <c r="F2177" s="15" t="str">
        <f t="shared" si="33"/>
        <v>1210-250979-44760</v>
      </c>
    </row>
    <row r="2178" spans="1:6" ht="14.25" customHeight="1" x14ac:dyDescent="0.25">
      <c r="A2178" s="15" t="s">
        <v>2318</v>
      </c>
      <c r="B2178" s="17">
        <v>1210</v>
      </c>
      <c r="C2178" s="17">
        <v>250979</v>
      </c>
      <c r="D2178" s="31">
        <v>44767</v>
      </c>
      <c r="E2178" s="17">
        <v>23</v>
      </c>
      <c r="F2178" s="15" t="str">
        <f t="shared" si="33"/>
        <v>1210-250979-44767</v>
      </c>
    </row>
    <row r="2179" spans="1:6" ht="14.25" customHeight="1" x14ac:dyDescent="0.25">
      <c r="A2179" s="15" t="s">
        <v>2319</v>
      </c>
      <c r="B2179" s="17">
        <v>1210</v>
      </c>
      <c r="C2179" s="17">
        <v>250979</v>
      </c>
      <c r="D2179" s="31">
        <v>44774</v>
      </c>
      <c r="E2179" s="17">
        <v>23</v>
      </c>
      <c r="F2179" s="15" t="str">
        <f t="shared" ref="F2179:F2242" si="34">B2179&amp;"-"&amp;C2179&amp;"-"&amp;INT(D2179)</f>
        <v>1210-250979-44774</v>
      </c>
    </row>
    <row r="2180" spans="1:6" ht="14.25" customHeight="1" x14ac:dyDescent="0.25">
      <c r="A2180" s="15" t="s">
        <v>2320</v>
      </c>
      <c r="B2180" s="17">
        <v>1210</v>
      </c>
      <c r="C2180" s="17">
        <v>250979</v>
      </c>
      <c r="D2180" s="31">
        <v>44781</v>
      </c>
      <c r="E2180" s="17">
        <v>23</v>
      </c>
      <c r="F2180" s="15" t="str">
        <f t="shared" si="34"/>
        <v>1210-250979-44781</v>
      </c>
    </row>
    <row r="2181" spans="1:6" ht="14.25" customHeight="1" x14ac:dyDescent="0.25">
      <c r="A2181" s="15" t="s">
        <v>2321</v>
      </c>
      <c r="B2181" s="17">
        <v>1210</v>
      </c>
      <c r="C2181" s="17">
        <v>250979</v>
      </c>
      <c r="D2181" s="31">
        <v>44788</v>
      </c>
      <c r="E2181" s="17">
        <v>23</v>
      </c>
      <c r="F2181" s="15" t="str">
        <f t="shared" si="34"/>
        <v>1210-250979-44788</v>
      </c>
    </row>
    <row r="2182" spans="1:6" ht="14.25" customHeight="1" x14ac:dyDescent="0.25">
      <c r="A2182" s="15" t="s">
        <v>2322</v>
      </c>
      <c r="B2182" s="17">
        <v>1210</v>
      </c>
      <c r="C2182" s="17">
        <v>250981</v>
      </c>
      <c r="D2182" s="31">
        <v>44739</v>
      </c>
      <c r="E2182" s="17">
        <v>9</v>
      </c>
      <c r="F2182" s="15" t="str">
        <f t="shared" si="34"/>
        <v>1210-250981-44739</v>
      </c>
    </row>
    <row r="2183" spans="1:6" ht="14.25" customHeight="1" x14ac:dyDescent="0.25">
      <c r="A2183" s="15" t="s">
        <v>2323</v>
      </c>
      <c r="B2183" s="17">
        <v>1210</v>
      </c>
      <c r="C2183" s="17">
        <v>250981</v>
      </c>
      <c r="D2183" s="31">
        <v>44746</v>
      </c>
      <c r="E2183" s="17">
        <v>-3</v>
      </c>
      <c r="F2183" s="15" t="str">
        <f t="shared" si="34"/>
        <v>1210-250981-44746</v>
      </c>
    </row>
    <row r="2184" spans="1:6" ht="14.25" customHeight="1" x14ac:dyDescent="0.25">
      <c r="A2184" s="15" t="s">
        <v>2324</v>
      </c>
      <c r="B2184" s="17">
        <v>1210</v>
      </c>
      <c r="C2184" s="17">
        <v>250981</v>
      </c>
      <c r="D2184" s="31">
        <v>44753</v>
      </c>
      <c r="E2184" s="17">
        <v>15</v>
      </c>
      <c r="F2184" s="15" t="str">
        <f t="shared" si="34"/>
        <v>1210-250981-44753</v>
      </c>
    </row>
    <row r="2185" spans="1:6" ht="14.25" customHeight="1" x14ac:dyDescent="0.25">
      <c r="A2185" s="15" t="s">
        <v>2325</v>
      </c>
      <c r="B2185" s="17">
        <v>1210</v>
      </c>
      <c r="C2185" s="17">
        <v>250981</v>
      </c>
      <c r="D2185" s="31">
        <v>44760</v>
      </c>
      <c r="E2185" s="17">
        <v>9</v>
      </c>
      <c r="F2185" s="15" t="str">
        <f t="shared" si="34"/>
        <v>1210-250981-44760</v>
      </c>
    </row>
    <row r="2186" spans="1:6" ht="14.25" customHeight="1" x14ac:dyDescent="0.25">
      <c r="A2186" s="15" t="s">
        <v>2326</v>
      </c>
      <c r="B2186" s="17">
        <v>1210</v>
      </c>
      <c r="C2186" s="17">
        <v>250981</v>
      </c>
      <c r="D2186" s="31">
        <v>44767</v>
      </c>
      <c r="E2186" s="17">
        <v>6</v>
      </c>
      <c r="F2186" s="15" t="str">
        <f t="shared" si="34"/>
        <v>1210-250981-44767</v>
      </c>
    </row>
    <row r="2187" spans="1:6" ht="14.25" customHeight="1" x14ac:dyDescent="0.25">
      <c r="A2187" s="15" t="s">
        <v>2327</v>
      </c>
      <c r="B2187" s="17">
        <v>1210</v>
      </c>
      <c r="C2187" s="17">
        <v>250981</v>
      </c>
      <c r="D2187" s="31">
        <v>44774</v>
      </c>
      <c r="E2187" s="17">
        <v>-2</v>
      </c>
      <c r="F2187" s="15" t="str">
        <f t="shared" si="34"/>
        <v>1210-250981-44774</v>
      </c>
    </row>
    <row r="2188" spans="1:6" ht="14.25" customHeight="1" x14ac:dyDescent="0.25">
      <c r="A2188" s="15" t="s">
        <v>2328</v>
      </c>
      <c r="B2188" s="17">
        <v>1210</v>
      </c>
      <c r="C2188" s="17">
        <v>250981</v>
      </c>
      <c r="D2188" s="31">
        <v>44781</v>
      </c>
      <c r="E2188" s="17">
        <v>-3</v>
      </c>
      <c r="F2188" s="15" t="str">
        <f t="shared" si="34"/>
        <v>1210-250981-44781</v>
      </c>
    </row>
    <row r="2189" spans="1:6" ht="14.25" customHeight="1" x14ac:dyDescent="0.25">
      <c r="A2189" s="15" t="s">
        <v>2329</v>
      </c>
      <c r="B2189" s="17">
        <v>1210</v>
      </c>
      <c r="C2189" s="17">
        <v>250981</v>
      </c>
      <c r="D2189" s="31">
        <v>44788</v>
      </c>
      <c r="E2189" s="17">
        <v>9</v>
      </c>
      <c r="F2189" s="15" t="str">
        <f t="shared" si="34"/>
        <v>1210-250981-44788</v>
      </c>
    </row>
    <row r="2190" spans="1:6" ht="14.25" customHeight="1" x14ac:dyDescent="0.25">
      <c r="A2190" s="15" t="s">
        <v>2330</v>
      </c>
      <c r="B2190" s="17">
        <v>1210</v>
      </c>
      <c r="C2190" s="17">
        <v>262294</v>
      </c>
      <c r="D2190" s="31">
        <v>44739</v>
      </c>
      <c r="E2190" s="17">
        <v>45</v>
      </c>
      <c r="F2190" s="15" t="str">
        <f t="shared" si="34"/>
        <v>1210-262294-44739</v>
      </c>
    </row>
    <row r="2191" spans="1:6" ht="14.25" customHeight="1" x14ac:dyDescent="0.25">
      <c r="A2191" s="15" t="s">
        <v>2331</v>
      </c>
      <c r="B2191" s="17">
        <v>1210</v>
      </c>
      <c r="C2191" s="17">
        <v>262294</v>
      </c>
      <c r="D2191" s="31">
        <v>44746</v>
      </c>
      <c r="E2191" s="17">
        <v>45</v>
      </c>
      <c r="F2191" s="15" t="str">
        <f t="shared" si="34"/>
        <v>1210-262294-44746</v>
      </c>
    </row>
    <row r="2192" spans="1:6" ht="14.25" customHeight="1" x14ac:dyDescent="0.25">
      <c r="A2192" s="15" t="s">
        <v>2332</v>
      </c>
      <c r="B2192" s="17">
        <v>1210</v>
      </c>
      <c r="C2192" s="17">
        <v>262294</v>
      </c>
      <c r="D2192" s="31">
        <v>44753</v>
      </c>
      <c r="E2192" s="17">
        <v>45</v>
      </c>
      <c r="F2192" s="15" t="str">
        <f t="shared" si="34"/>
        <v>1210-262294-44753</v>
      </c>
    </row>
    <row r="2193" spans="1:6" ht="14.25" customHeight="1" x14ac:dyDescent="0.25">
      <c r="A2193" s="15" t="s">
        <v>2333</v>
      </c>
      <c r="B2193" s="17">
        <v>1210</v>
      </c>
      <c r="C2193" s="17">
        <v>262294</v>
      </c>
      <c r="D2193" s="31">
        <v>44760</v>
      </c>
      <c r="E2193" s="17">
        <v>45</v>
      </c>
      <c r="F2193" s="15" t="str">
        <f t="shared" si="34"/>
        <v>1210-262294-44760</v>
      </c>
    </row>
    <row r="2194" spans="1:6" ht="14.25" customHeight="1" x14ac:dyDescent="0.25">
      <c r="A2194" s="15" t="s">
        <v>2334</v>
      </c>
      <c r="B2194" s="17">
        <v>1210</v>
      </c>
      <c r="C2194" s="17">
        <v>262294</v>
      </c>
      <c r="D2194" s="31">
        <v>44767</v>
      </c>
      <c r="E2194" s="17">
        <v>45</v>
      </c>
      <c r="F2194" s="15" t="str">
        <f t="shared" si="34"/>
        <v>1210-262294-44767</v>
      </c>
    </row>
    <row r="2195" spans="1:6" ht="14.25" customHeight="1" x14ac:dyDescent="0.25">
      <c r="A2195" s="15" t="s">
        <v>2335</v>
      </c>
      <c r="B2195" s="17">
        <v>1210</v>
      </c>
      <c r="C2195" s="17">
        <v>262294</v>
      </c>
      <c r="D2195" s="31">
        <v>44774</v>
      </c>
      <c r="E2195" s="17">
        <v>45</v>
      </c>
      <c r="F2195" s="15" t="str">
        <f t="shared" si="34"/>
        <v>1210-262294-44774</v>
      </c>
    </row>
    <row r="2196" spans="1:6" ht="14.25" customHeight="1" x14ac:dyDescent="0.25">
      <c r="A2196" s="15" t="s">
        <v>2336</v>
      </c>
      <c r="B2196" s="17">
        <v>1210</v>
      </c>
      <c r="C2196" s="17">
        <v>262294</v>
      </c>
      <c r="D2196" s="31">
        <v>44781</v>
      </c>
      <c r="E2196" s="17">
        <v>45</v>
      </c>
      <c r="F2196" s="15" t="str">
        <f t="shared" si="34"/>
        <v>1210-262294-44781</v>
      </c>
    </row>
    <row r="2197" spans="1:6" ht="14.25" customHeight="1" x14ac:dyDescent="0.25">
      <c r="A2197" s="15" t="s">
        <v>2337</v>
      </c>
      <c r="B2197" s="17">
        <v>1210</v>
      </c>
      <c r="C2197" s="17">
        <v>262294</v>
      </c>
      <c r="D2197" s="31">
        <v>44788</v>
      </c>
      <c r="E2197" s="17">
        <v>45</v>
      </c>
      <c r="F2197" s="15" t="str">
        <f t="shared" si="34"/>
        <v>1210-262294-44788</v>
      </c>
    </row>
    <row r="2198" spans="1:6" ht="14.25" customHeight="1" x14ac:dyDescent="0.25">
      <c r="A2198" s="15" t="s">
        <v>2338</v>
      </c>
      <c r="B2198" s="17">
        <v>1210</v>
      </c>
      <c r="C2198" s="17">
        <v>268831</v>
      </c>
      <c r="D2198" s="31">
        <v>44739</v>
      </c>
      <c r="E2198" s="17">
        <v>474</v>
      </c>
      <c r="F2198" s="15" t="str">
        <f t="shared" si="34"/>
        <v>1210-268831-44739</v>
      </c>
    </row>
    <row r="2199" spans="1:6" ht="14.25" customHeight="1" x14ac:dyDescent="0.25">
      <c r="A2199" s="15" t="s">
        <v>2339</v>
      </c>
      <c r="B2199" s="17">
        <v>1210</v>
      </c>
      <c r="C2199" s="17">
        <v>268831</v>
      </c>
      <c r="D2199" s="31">
        <v>44746</v>
      </c>
      <c r="E2199" s="17">
        <v>489</v>
      </c>
      <c r="F2199" s="15" t="str">
        <f t="shared" si="34"/>
        <v>1210-268831-44746</v>
      </c>
    </row>
    <row r="2200" spans="1:6" ht="14.25" customHeight="1" x14ac:dyDescent="0.25">
      <c r="A2200" s="15" t="s">
        <v>2340</v>
      </c>
      <c r="B2200" s="17">
        <v>1210</v>
      </c>
      <c r="C2200" s="17">
        <v>268831</v>
      </c>
      <c r="D2200" s="31">
        <v>44753</v>
      </c>
      <c r="E2200" s="17">
        <v>643</v>
      </c>
      <c r="F2200" s="15" t="str">
        <f t="shared" si="34"/>
        <v>1210-268831-44753</v>
      </c>
    </row>
    <row r="2201" spans="1:6" ht="14.25" customHeight="1" x14ac:dyDescent="0.25">
      <c r="A2201" s="15" t="s">
        <v>2341</v>
      </c>
      <c r="B2201" s="17">
        <v>1210</v>
      </c>
      <c r="C2201" s="17">
        <v>268831</v>
      </c>
      <c r="D2201" s="31">
        <v>44760</v>
      </c>
      <c r="E2201" s="17">
        <v>430</v>
      </c>
      <c r="F2201" s="15" t="str">
        <f t="shared" si="34"/>
        <v>1210-268831-44760</v>
      </c>
    </row>
    <row r="2202" spans="1:6" ht="14.25" customHeight="1" x14ac:dyDescent="0.25">
      <c r="A2202" s="15" t="s">
        <v>2342</v>
      </c>
      <c r="B2202" s="17">
        <v>1210</v>
      </c>
      <c r="C2202" s="17">
        <v>268831</v>
      </c>
      <c r="D2202" s="31">
        <v>44767</v>
      </c>
      <c r="E2202" s="17">
        <v>135</v>
      </c>
      <c r="F2202" s="15" t="str">
        <f t="shared" si="34"/>
        <v>1210-268831-44767</v>
      </c>
    </row>
    <row r="2203" spans="1:6" ht="14.25" customHeight="1" x14ac:dyDescent="0.25">
      <c r="A2203" s="15" t="s">
        <v>2343</v>
      </c>
      <c r="B2203" s="17">
        <v>1210</v>
      </c>
      <c r="C2203" s="17">
        <v>268831</v>
      </c>
      <c r="D2203" s="31">
        <v>44774</v>
      </c>
      <c r="E2203" s="17">
        <v>490</v>
      </c>
      <c r="F2203" s="15" t="str">
        <f t="shared" si="34"/>
        <v>1210-268831-44774</v>
      </c>
    </row>
    <row r="2204" spans="1:6" ht="14.25" customHeight="1" x14ac:dyDescent="0.25">
      <c r="A2204" s="15" t="s">
        <v>2344</v>
      </c>
      <c r="B2204" s="17">
        <v>1210</v>
      </c>
      <c r="C2204" s="17">
        <v>268831</v>
      </c>
      <c r="D2204" s="31">
        <v>44781</v>
      </c>
      <c r="E2204" s="17">
        <v>137</v>
      </c>
      <c r="F2204" s="15" t="str">
        <f t="shared" si="34"/>
        <v>1210-268831-44781</v>
      </c>
    </row>
    <row r="2205" spans="1:6" ht="14.25" customHeight="1" x14ac:dyDescent="0.25">
      <c r="A2205" s="15" t="s">
        <v>2345</v>
      </c>
      <c r="B2205" s="17">
        <v>1210</v>
      </c>
      <c r="C2205" s="17">
        <v>268831</v>
      </c>
      <c r="D2205" s="31">
        <v>44788</v>
      </c>
      <c r="E2205" s="17">
        <v>445</v>
      </c>
      <c r="F2205" s="15" t="str">
        <f t="shared" si="34"/>
        <v>1210-268831-44788</v>
      </c>
    </row>
    <row r="2206" spans="1:6" ht="14.25" customHeight="1" x14ac:dyDescent="0.25">
      <c r="A2206" s="15" t="s">
        <v>2346</v>
      </c>
      <c r="B2206" s="17">
        <v>1210</v>
      </c>
      <c r="C2206" s="17">
        <v>273701</v>
      </c>
      <c r="D2206" s="31">
        <v>44739</v>
      </c>
      <c r="E2206" s="17">
        <v>370</v>
      </c>
      <c r="F2206" s="15" t="str">
        <f t="shared" si="34"/>
        <v>1210-273701-44739</v>
      </c>
    </row>
    <row r="2207" spans="1:6" ht="14.25" customHeight="1" x14ac:dyDescent="0.25">
      <c r="A2207" s="15" t="s">
        <v>2347</v>
      </c>
      <c r="B2207" s="17">
        <v>1210</v>
      </c>
      <c r="C2207" s="17">
        <v>273701</v>
      </c>
      <c r="D2207" s="31">
        <v>44746</v>
      </c>
      <c r="E2207" s="17">
        <v>80</v>
      </c>
      <c r="F2207" s="15" t="str">
        <f t="shared" si="34"/>
        <v>1210-273701-44746</v>
      </c>
    </row>
    <row r="2208" spans="1:6" ht="14.25" customHeight="1" x14ac:dyDescent="0.25">
      <c r="A2208" s="15" t="s">
        <v>2348</v>
      </c>
      <c r="B2208" s="17">
        <v>1210</v>
      </c>
      <c r="C2208" s="17">
        <v>273701</v>
      </c>
      <c r="D2208" s="31">
        <v>44753</v>
      </c>
      <c r="E2208" s="17">
        <v>306</v>
      </c>
      <c r="F2208" s="15" t="str">
        <f t="shared" si="34"/>
        <v>1210-273701-44753</v>
      </c>
    </row>
    <row r="2209" spans="1:6" ht="14.25" customHeight="1" x14ac:dyDescent="0.25">
      <c r="A2209" s="15" t="s">
        <v>2349</v>
      </c>
      <c r="B2209" s="17">
        <v>1210</v>
      </c>
      <c r="C2209" s="17">
        <v>273701</v>
      </c>
      <c r="D2209" s="31">
        <v>44760</v>
      </c>
      <c r="E2209" s="17">
        <v>79</v>
      </c>
      <c r="F2209" s="15" t="str">
        <f t="shared" si="34"/>
        <v>1210-273701-44760</v>
      </c>
    </row>
    <row r="2210" spans="1:6" ht="14.25" customHeight="1" x14ac:dyDescent="0.25">
      <c r="A2210" s="15" t="s">
        <v>2350</v>
      </c>
      <c r="B2210" s="17">
        <v>1210</v>
      </c>
      <c r="C2210" s="17">
        <v>273701</v>
      </c>
      <c r="D2210" s="31">
        <v>44767</v>
      </c>
      <c r="E2210" s="17">
        <v>218</v>
      </c>
      <c r="F2210" s="15" t="str">
        <f t="shared" si="34"/>
        <v>1210-273701-44767</v>
      </c>
    </row>
    <row r="2211" spans="1:6" ht="14.25" customHeight="1" x14ac:dyDescent="0.25">
      <c r="A2211" s="15" t="s">
        <v>2351</v>
      </c>
      <c r="B2211" s="17">
        <v>1210</v>
      </c>
      <c r="C2211" s="17">
        <v>273701</v>
      </c>
      <c r="D2211" s="31">
        <v>44774</v>
      </c>
      <c r="E2211" s="17">
        <v>255</v>
      </c>
      <c r="F2211" s="15" t="str">
        <f t="shared" si="34"/>
        <v>1210-273701-44774</v>
      </c>
    </row>
    <row r="2212" spans="1:6" ht="14.25" customHeight="1" x14ac:dyDescent="0.25">
      <c r="A2212" s="15" t="s">
        <v>2352</v>
      </c>
      <c r="B2212" s="17">
        <v>1210</v>
      </c>
      <c r="C2212" s="17">
        <v>273701</v>
      </c>
      <c r="D2212" s="31">
        <v>44781</v>
      </c>
      <c r="E2212" s="17">
        <v>75</v>
      </c>
      <c r="F2212" s="15" t="str">
        <f t="shared" si="34"/>
        <v>1210-273701-44781</v>
      </c>
    </row>
    <row r="2213" spans="1:6" ht="14.25" customHeight="1" x14ac:dyDescent="0.25">
      <c r="A2213" s="15" t="s">
        <v>2353</v>
      </c>
      <c r="B2213" s="17">
        <v>1210</v>
      </c>
      <c r="C2213" s="17">
        <v>273701</v>
      </c>
      <c r="D2213" s="31">
        <v>44788</v>
      </c>
      <c r="E2213" s="17">
        <v>82</v>
      </c>
      <c r="F2213" s="15" t="str">
        <f t="shared" si="34"/>
        <v>1210-273701-44788</v>
      </c>
    </row>
    <row r="2214" spans="1:6" ht="14.25" customHeight="1" x14ac:dyDescent="0.25">
      <c r="A2214" s="15" t="s">
        <v>2354</v>
      </c>
      <c r="B2214" s="17">
        <v>1210</v>
      </c>
      <c r="C2214" s="17">
        <v>291726</v>
      </c>
      <c r="D2214" s="31">
        <v>44739</v>
      </c>
      <c r="E2214" s="17">
        <v>13</v>
      </c>
      <c r="F2214" s="15" t="str">
        <f t="shared" si="34"/>
        <v>1210-291726-44739</v>
      </c>
    </row>
    <row r="2215" spans="1:6" ht="14.25" customHeight="1" x14ac:dyDescent="0.25">
      <c r="A2215" s="15" t="s">
        <v>2355</v>
      </c>
      <c r="B2215" s="17">
        <v>1210</v>
      </c>
      <c r="C2215" s="17">
        <v>291726</v>
      </c>
      <c r="D2215" s="31">
        <v>44746</v>
      </c>
      <c r="E2215" s="17">
        <v>45</v>
      </c>
      <c r="F2215" s="15" t="str">
        <f t="shared" si="34"/>
        <v>1210-291726-44746</v>
      </c>
    </row>
    <row r="2216" spans="1:6" ht="14.25" customHeight="1" x14ac:dyDescent="0.25">
      <c r="A2216" s="15" t="s">
        <v>2356</v>
      </c>
      <c r="B2216" s="17">
        <v>1210</v>
      </c>
      <c r="C2216" s="17">
        <v>291726</v>
      </c>
      <c r="D2216" s="31">
        <v>44753</v>
      </c>
      <c r="E2216" s="17">
        <v>11</v>
      </c>
      <c r="F2216" s="15" t="str">
        <f t="shared" si="34"/>
        <v>1210-291726-44753</v>
      </c>
    </row>
    <row r="2217" spans="1:6" ht="14.25" customHeight="1" x14ac:dyDescent="0.25">
      <c r="A2217" s="15" t="s">
        <v>2357</v>
      </c>
      <c r="B2217" s="17">
        <v>1210</v>
      </c>
      <c r="C2217" s="17">
        <v>291726</v>
      </c>
      <c r="D2217" s="31">
        <v>44760</v>
      </c>
      <c r="E2217" s="17">
        <v>51</v>
      </c>
      <c r="F2217" s="15" t="str">
        <f t="shared" si="34"/>
        <v>1210-291726-44760</v>
      </c>
    </row>
    <row r="2218" spans="1:6" ht="14.25" customHeight="1" x14ac:dyDescent="0.25">
      <c r="A2218" s="15" t="s">
        <v>2358</v>
      </c>
      <c r="B2218" s="17">
        <v>1210</v>
      </c>
      <c r="C2218" s="17">
        <v>291726</v>
      </c>
      <c r="D2218" s="31">
        <v>44767</v>
      </c>
      <c r="E2218" s="17">
        <v>42</v>
      </c>
      <c r="F2218" s="15" t="str">
        <f t="shared" si="34"/>
        <v>1210-291726-44767</v>
      </c>
    </row>
    <row r="2219" spans="1:6" ht="14.25" customHeight="1" x14ac:dyDescent="0.25">
      <c r="A2219" s="15" t="s">
        <v>2359</v>
      </c>
      <c r="B2219" s="17">
        <v>1210</v>
      </c>
      <c r="C2219" s="17">
        <v>291726</v>
      </c>
      <c r="D2219" s="31">
        <v>44774</v>
      </c>
      <c r="E2219" s="17">
        <v>61</v>
      </c>
      <c r="F2219" s="15" t="str">
        <f t="shared" si="34"/>
        <v>1210-291726-44774</v>
      </c>
    </row>
    <row r="2220" spans="1:6" ht="14.25" customHeight="1" x14ac:dyDescent="0.25">
      <c r="A2220" s="15" t="s">
        <v>2360</v>
      </c>
      <c r="B2220" s="17">
        <v>1210</v>
      </c>
      <c r="C2220" s="17">
        <v>291726</v>
      </c>
      <c r="D2220" s="31">
        <v>44781</v>
      </c>
      <c r="E2220" s="17">
        <v>42</v>
      </c>
      <c r="F2220" s="15" t="str">
        <f t="shared" si="34"/>
        <v>1210-291726-44781</v>
      </c>
    </row>
    <row r="2221" spans="1:6" ht="14.25" customHeight="1" x14ac:dyDescent="0.25">
      <c r="A2221" s="15" t="s">
        <v>2361</v>
      </c>
      <c r="B2221" s="17">
        <v>1210</v>
      </c>
      <c r="C2221" s="17">
        <v>291726</v>
      </c>
      <c r="D2221" s="31">
        <v>44788</v>
      </c>
      <c r="E2221" s="17">
        <v>60</v>
      </c>
      <c r="F2221" s="15" t="str">
        <f t="shared" si="34"/>
        <v>1210-291726-44788</v>
      </c>
    </row>
    <row r="2222" spans="1:6" ht="14.25" customHeight="1" x14ac:dyDescent="0.25">
      <c r="A2222" s="15" t="s">
        <v>2362</v>
      </c>
      <c r="B2222" s="17">
        <v>1210</v>
      </c>
      <c r="C2222" s="17">
        <v>291728</v>
      </c>
      <c r="D2222" s="31">
        <v>44739</v>
      </c>
      <c r="E2222" s="17">
        <v>72</v>
      </c>
      <c r="F2222" s="15" t="str">
        <f t="shared" si="34"/>
        <v>1210-291728-44739</v>
      </c>
    </row>
    <row r="2223" spans="1:6" ht="14.25" customHeight="1" x14ac:dyDescent="0.25">
      <c r="A2223" s="15" t="s">
        <v>2363</v>
      </c>
      <c r="B2223" s="17">
        <v>1210</v>
      </c>
      <c r="C2223" s="17">
        <v>291728</v>
      </c>
      <c r="D2223" s="31">
        <v>44746</v>
      </c>
      <c r="E2223" s="17">
        <v>54</v>
      </c>
      <c r="F2223" s="15" t="str">
        <f t="shared" si="34"/>
        <v>1210-291728-44746</v>
      </c>
    </row>
    <row r="2224" spans="1:6" ht="14.25" customHeight="1" x14ac:dyDescent="0.25">
      <c r="A2224" s="15" t="s">
        <v>2364</v>
      </c>
      <c r="B2224" s="17">
        <v>1210</v>
      </c>
      <c r="C2224" s="17">
        <v>291728</v>
      </c>
      <c r="D2224" s="31">
        <v>44753</v>
      </c>
      <c r="E2224" s="17">
        <v>45</v>
      </c>
      <c r="F2224" s="15" t="str">
        <f t="shared" si="34"/>
        <v>1210-291728-44753</v>
      </c>
    </row>
    <row r="2225" spans="1:6" ht="14.25" customHeight="1" x14ac:dyDescent="0.25">
      <c r="A2225" s="15" t="s">
        <v>2365</v>
      </c>
      <c r="B2225" s="17">
        <v>1210</v>
      </c>
      <c r="C2225" s="17">
        <v>291728</v>
      </c>
      <c r="D2225" s="31">
        <v>44760</v>
      </c>
      <c r="E2225" s="17">
        <v>74</v>
      </c>
      <c r="F2225" s="15" t="str">
        <f t="shared" si="34"/>
        <v>1210-291728-44760</v>
      </c>
    </row>
    <row r="2226" spans="1:6" ht="14.25" customHeight="1" x14ac:dyDescent="0.25">
      <c r="A2226" s="15" t="s">
        <v>2366</v>
      </c>
      <c r="B2226" s="17">
        <v>1210</v>
      </c>
      <c r="C2226" s="17">
        <v>291728</v>
      </c>
      <c r="D2226" s="31">
        <v>44767</v>
      </c>
      <c r="E2226" s="17">
        <v>68</v>
      </c>
      <c r="F2226" s="15" t="str">
        <f t="shared" si="34"/>
        <v>1210-291728-44767</v>
      </c>
    </row>
    <row r="2227" spans="1:6" ht="14.25" customHeight="1" x14ac:dyDescent="0.25">
      <c r="A2227" s="15" t="s">
        <v>2367</v>
      </c>
      <c r="B2227" s="17">
        <v>1210</v>
      </c>
      <c r="C2227" s="17">
        <v>291728</v>
      </c>
      <c r="D2227" s="31">
        <v>44774</v>
      </c>
      <c r="E2227" s="17">
        <v>68</v>
      </c>
      <c r="F2227" s="15" t="str">
        <f t="shared" si="34"/>
        <v>1210-291728-44774</v>
      </c>
    </row>
    <row r="2228" spans="1:6" ht="14.25" customHeight="1" x14ac:dyDescent="0.25">
      <c r="A2228" s="15" t="s">
        <v>2368</v>
      </c>
      <c r="B2228" s="17">
        <v>1210</v>
      </c>
      <c r="C2228" s="17">
        <v>291728</v>
      </c>
      <c r="D2228" s="31">
        <v>44781</v>
      </c>
      <c r="E2228" s="17">
        <v>14</v>
      </c>
      <c r="F2228" s="15" t="str">
        <f t="shared" si="34"/>
        <v>1210-291728-44781</v>
      </c>
    </row>
    <row r="2229" spans="1:6" ht="14.25" customHeight="1" x14ac:dyDescent="0.25">
      <c r="A2229" s="15" t="s">
        <v>2369</v>
      </c>
      <c r="B2229" s="17">
        <v>1210</v>
      </c>
      <c r="C2229" s="17">
        <v>291728</v>
      </c>
      <c r="D2229" s="31">
        <v>44788</v>
      </c>
      <c r="E2229" s="17">
        <v>74</v>
      </c>
      <c r="F2229" s="15" t="str">
        <f t="shared" si="34"/>
        <v>1210-291728-44788</v>
      </c>
    </row>
    <row r="2230" spans="1:6" ht="14.25" customHeight="1" x14ac:dyDescent="0.25">
      <c r="A2230" s="15" t="s">
        <v>2370</v>
      </c>
      <c r="B2230" s="17">
        <v>1210</v>
      </c>
      <c r="C2230" s="17">
        <v>300380</v>
      </c>
      <c r="D2230" s="31">
        <v>32874</v>
      </c>
      <c r="E2230" s="17">
        <v>62</v>
      </c>
      <c r="F2230" s="15" t="str">
        <f t="shared" si="34"/>
        <v>1210-300380-32874</v>
      </c>
    </row>
    <row r="2231" spans="1:6" ht="14.25" customHeight="1" x14ac:dyDescent="0.25">
      <c r="A2231" s="15" t="s">
        <v>2371</v>
      </c>
      <c r="B2231" s="17">
        <v>1210</v>
      </c>
      <c r="C2231" s="17">
        <v>300380</v>
      </c>
      <c r="D2231" s="31">
        <v>44739</v>
      </c>
      <c r="E2231" s="17">
        <v>138</v>
      </c>
      <c r="F2231" s="15" t="str">
        <f t="shared" si="34"/>
        <v>1210-300380-44739</v>
      </c>
    </row>
    <row r="2232" spans="1:6" ht="14.25" customHeight="1" x14ac:dyDescent="0.25">
      <c r="A2232" s="15" t="s">
        <v>2372</v>
      </c>
      <c r="B2232" s="17">
        <v>1210</v>
      </c>
      <c r="C2232" s="17">
        <v>300380</v>
      </c>
      <c r="D2232" s="31">
        <v>44746</v>
      </c>
      <c r="E2232" s="17">
        <v>142</v>
      </c>
      <c r="F2232" s="15" t="str">
        <f t="shared" si="34"/>
        <v>1210-300380-44746</v>
      </c>
    </row>
    <row r="2233" spans="1:6" ht="14.25" customHeight="1" x14ac:dyDescent="0.25">
      <c r="A2233" s="15" t="s">
        <v>2373</v>
      </c>
      <c r="B2233" s="17">
        <v>1210</v>
      </c>
      <c r="C2233" s="17">
        <v>300380</v>
      </c>
      <c r="D2233" s="31">
        <v>44753</v>
      </c>
      <c r="E2233" s="17">
        <v>144</v>
      </c>
      <c r="F2233" s="15" t="str">
        <f t="shared" si="34"/>
        <v>1210-300380-44753</v>
      </c>
    </row>
    <row r="2234" spans="1:6" ht="14.25" customHeight="1" x14ac:dyDescent="0.25">
      <c r="A2234" s="15" t="s">
        <v>2374</v>
      </c>
      <c r="B2234" s="17">
        <v>1210</v>
      </c>
      <c r="C2234" s="17">
        <v>300380</v>
      </c>
      <c r="D2234" s="31">
        <v>44760</v>
      </c>
      <c r="E2234" s="17">
        <v>150</v>
      </c>
      <c r="F2234" s="15" t="str">
        <f t="shared" si="34"/>
        <v>1210-300380-44760</v>
      </c>
    </row>
    <row r="2235" spans="1:6" ht="14.25" customHeight="1" x14ac:dyDescent="0.25">
      <c r="A2235" s="15" t="s">
        <v>2375</v>
      </c>
      <c r="B2235" s="17">
        <v>1210</v>
      </c>
      <c r="C2235" s="17">
        <v>300380</v>
      </c>
      <c r="D2235" s="31">
        <v>44767</v>
      </c>
      <c r="E2235" s="17">
        <v>186</v>
      </c>
      <c r="F2235" s="15" t="str">
        <f t="shared" si="34"/>
        <v>1210-300380-44767</v>
      </c>
    </row>
    <row r="2236" spans="1:6" ht="14.25" customHeight="1" x14ac:dyDescent="0.25">
      <c r="A2236" s="15" t="s">
        <v>2376</v>
      </c>
      <c r="B2236" s="17">
        <v>1210</v>
      </c>
      <c r="C2236" s="17">
        <v>300380</v>
      </c>
      <c r="D2236" s="31">
        <v>44774</v>
      </c>
      <c r="E2236" s="17">
        <v>174</v>
      </c>
      <c r="F2236" s="15" t="str">
        <f t="shared" si="34"/>
        <v>1210-300380-44774</v>
      </c>
    </row>
    <row r="2237" spans="1:6" ht="14.25" customHeight="1" x14ac:dyDescent="0.25">
      <c r="A2237" s="15" t="s">
        <v>2377</v>
      </c>
      <c r="B2237" s="17">
        <v>1210</v>
      </c>
      <c r="C2237" s="17">
        <v>300380</v>
      </c>
      <c r="D2237" s="31">
        <v>44781</v>
      </c>
      <c r="E2237" s="17">
        <v>57</v>
      </c>
      <c r="F2237" s="15" t="str">
        <f t="shared" si="34"/>
        <v>1210-300380-44781</v>
      </c>
    </row>
    <row r="2238" spans="1:6" ht="14.25" customHeight="1" x14ac:dyDescent="0.25">
      <c r="A2238" s="15" t="s">
        <v>2378</v>
      </c>
      <c r="B2238" s="17">
        <v>1210</v>
      </c>
      <c r="C2238" s="17">
        <v>300380</v>
      </c>
      <c r="D2238" s="31">
        <v>44788</v>
      </c>
      <c r="E2238" s="17">
        <v>126</v>
      </c>
      <c r="F2238" s="15" t="str">
        <f t="shared" si="34"/>
        <v>1210-300380-44788</v>
      </c>
    </row>
    <row r="2239" spans="1:6" ht="14.25" customHeight="1" x14ac:dyDescent="0.25">
      <c r="A2239" s="15" t="s">
        <v>2379</v>
      </c>
      <c r="B2239" s="17">
        <v>1210</v>
      </c>
      <c r="C2239" s="17">
        <v>571521</v>
      </c>
      <c r="D2239" s="31">
        <v>44739</v>
      </c>
      <c r="E2239" s="17">
        <v>399</v>
      </c>
      <c r="F2239" s="15" t="str">
        <f t="shared" si="34"/>
        <v>1210-571521-44739</v>
      </c>
    </row>
    <row r="2240" spans="1:6" ht="14.25" customHeight="1" x14ac:dyDescent="0.25">
      <c r="A2240" s="15" t="s">
        <v>2380</v>
      </c>
      <c r="B2240" s="17">
        <v>1210</v>
      </c>
      <c r="C2240" s="17">
        <v>571521</v>
      </c>
      <c r="D2240" s="31">
        <v>44746</v>
      </c>
      <c r="E2240" s="17">
        <v>324</v>
      </c>
      <c r="F2240" s="15" t="str">
        <f t="shared" si="34"/>
        <v>1210-571521-44746</v>
      </c>
    </row>
    <row r="2241" spans="1:6" ht="14.25" customHeight="1" x14ac:dyDescent="0.25">
      <c r="A2241" s="15" t="s">
        <v>2381</v>
      </c>
      <c r="B2241" s="17">
        <v>1210</v>
      </c>
      <c r="C2241" s="17">
        <v>571521</v>
      </c>
      <c r="D2241" s="31">
        <v>44753</v>
      </c>
      <c r="E2241" s="17">
        <v>214</v>
      </c>
      <c r="F2241" s="15" t="str">
        <f t="shared" si="34"/>
        <v>1210-571521-44753</v>
      </c>
    </row>
    <row r="2242" spans="1:6" ht="14.25" customHeight="1" x14ac:dyDescent="0.25">
      <c r="A2242" s="15" t="s">
        <v>2382</v>
      </c>
      <c r="B2242" s="17">
        <v>1210</v>
      </c>
      <c r="C2242" s="17">
        <v>571521</v>
      </c>
      <c r="D2242" s="31">
        <v>44760</v>
      </c>
      <c r="E2242" s="17">
        <v>391</v>
      </c>
      <c r="F2242" s="15" t="str">
        <f t="shared" si="34"/>
        <v>1210-571521-44760</v>
      </c>
    </row>
    <row r="2243" spans="1:6" ht="14.25" customHeight="1" x14ac:dyDescent="0.25">
      <c r="A2243" s="15" t="s">
        <v>2383</v>
      </c>
      <c r="B2243" s="17">
        <v>1210</v>
      </c>
      <c r="C2243" s="17">
        <v>571521</v>
      </c>
      <c r="D2243" s="31">
        <v>44767</v>
      </c>
      <c r="E2243" s="17">
        <v>288</v>
      </c>
      <c r="F2243" s="15" t="str">
        <f t="shared" ref="F2243:F2306" si="35">B2243&amp;"-"&amp;C2243&amp;"-"&amp;INT(D2243)</f>
        <v>1210-571521-44767</v>
      </c>
    </row>
    <row r="2244" spans="1:6" ht="14.25" customHeight="1" x14ac:dyDescent="0.25">
      <c r="A2244" s="15" t="s">
        <v>2384</v>
      </c>
      <c r="B2244" s="17">
        <v>1210</v>
      </c>
      <c r="C2244" s="17">
        <v>571521</v>
      </c>
      <c r="D2244" s="31">
        <v>44774</v>
      </c>
      <c r="E2244" s="17">
        <v>392</v>
      </c>
      <c r="F2244" s="15" t="str">
        <f t="shared" si="35"/>
        <v>1210-571521-44774</v>
      </c>
    </row>
    <row r="2245" spans="1:6" ht="14.25" customHeight="1" x14ac:dyDescent="0.25">
      <c r="A2245" s="15" t="s">
        <v>2385</v>
      </c>
      <c r="B2245" s="17">
        <v>1210</v>
      </c>
      <c r="C2245" s="17">
        <v>571521</v>
      </c>
      <c r="D2245" s="31">
        <v>44781</v>
      </c>
      <c r="E2245" s="17">
        <v>411</v>
      </c>
      <c r="F2245" s="15" t="str">
        <f t="shared" si="35"/>
        <v>1210-571521-44781</v>
      </c>
    </row>
    <row r="2246" spans="1:6" ht="14.25" customHeight="1" x14ac:dyDescent="0.25">
      <c r="A2246" s="15" t="s">
        <v>2386</v>
      </c>
      <c r="B2246" s="17">
        <v>1210</v>
      </c>
      <c r="C2246" s="17">
        <v>571521</v>
      </c>
      <c r="D2246" s="31">
        <v>44788</v>
      </c>
      <c r="E2246" s="17">
        <v>343</v>
      </c>
      <c r="F2246" s="15" t="str">
        <f t="shared" si="35"/>
        <v>1210-571521-44788</v>
      </c>
    </row>
    <row r="2247" spans="1:6" ht="14.25" customHeight="1" x14ac:dyDescent="0.25">
      <c r="A2247" s="15" t="s">
        <v>2387</v>
      </c>
      <c r="B2247" s="17">
        <v>1210</v>
      </c>
      <c r="C2247" s="17">
        <v>614993</v>
      </c>
      <c r="D2247" s="31">
        <v>44739</v>
      </c>
      <c r="E2247" s="17">
        <v>18</v>
      </c>
      <c r="F2247" s="15" t="str">
        <f t="shared" si="35"/>
        <v>1210-614993-44739</v>
      </c>
    </row>
    <row r="2248" spans="1:6" ht="14.25" customHeight="1" x14ac:dyDescent="0.25">
      <c r="A2248" s="15" t="s">
        <v>2388</v>
      </c>
      <c r="B2248" s="17">
        <v>1210</v>
      </c>
      <c r="C2248" s="17">
        <v>614993</v>
      </c>
      <c r="D2248" s="31">
        <v>44746</v>
      </c>
      <c r="E2248" s="17">
        <v>18</v>
      </c>
      <c r="F2248" s="15" t="str">
        <f t="shared" si="35"/>
        <v>1210-614993-44746</v>
      </c>
    </row>
    <row r="2249" spans="1:6" ht="14.25" customHeight="1" x14ac:dyDescent="0.25">
      <c r="A2249" s="15" t="s">
        <v>2389</v>
      </c>
      <c r="B2249" s="17">
        <v>1210</v>
      </c>
      <c r="C2249" s="17">
        <v>614993</v>
      </c>
      <c r="D2249" s="31">
        <v>44753</v>
      </c>
      <c r="E2249" s="17">
        <v>18</v>
      </c>
      <c r="F2249" s="15" t="str">
        <f t="shared" si="35"/>
        <v>1210-614993-44753</v>
      </c>
    </row>
    <row r="2250" spans="1:6" ht="14.25" customHeight="1" x14ac:dyDescent="0.25">
      <c r="A2250" s="15" t="s">
        <v>2390</v>
      </c>
      <c r="B2250" s="17">
        <v>1210</v>
      </c>
      <c r="C2250" s="17">
        <v>614993</v>
      </c>
      <c r="D2250" s="31">
        <v>44760</v>
      </c>
      <c r="E2250" s="17">
        <v>18</v>
      </c>
      <c r="F2250" s="15" t="str">
        <f t="shared" si="35"/>
        <v>1210-614993-44760</v>
      </c>
    </row>
    <row r="2251" spans="1:6" ht="14.25" customHeight="1" x14ac:dyDescent="0.25">
      <c r="A2251" s="15" t="s">
        <v>2391</v>
      </c>
      <c r="B2251" s="17">
        <v>1210</v>
      </c>
      <c r="C2251" s="17">
        <v>614993</v>
      </c>
      <c r="D2251" s="31">
        <v>44767</v>
      </c>
      <c r="E2251" s="17">
        <v>18</v>
      </c>
      <c r="F2251" s="15" t="str">
        <f t="shared" si="35"/>
        <v>1210-614993-44767</v>
      </c>
    </row>
    <row r="2252" spans="1:6" ht="14.25" customHeight="1" x14ac:dyDescent="0.25">
      <c r="A2252" s="15" t="s">
        <v>2392</v>
      </c>
      <c r="B2252" s="17">
        <v>1210</v>
      </c>
      <c r="C2252" s="17">
        <v>614993</v>
      </c>
      <c r="D2252" s="31">
        <v>44774</v>
      </c>
      <c r="E2252" s="17">
        <v>18</v>
      </c>
      <c r="F2252" s="15" t="str">
        <f t="shared" si="35"/>
        <v>1210-614993-44774</v>
      </c>
    </row>
    <row r="2253" spans="1:6" ht="14.25" customHeight="1" x14ac:dyDescent="0.25">
      <c r="A2253" s="15" t="s">
        <v>2393</v>
      </c>
      <c r="B2253" s="17">
        <v>1210</v>
      </c>
      <c r="C2253" s="17">
        <v>614993</v>
      </c>
      <c r="D2253" s="31">
        <v>44781</v>
      </c>
      <c r="E2253" s="17">
        <v>18</v>
      </c>
      <c r="F2253" s="15" t="str">
        <f t="shared" si="35"/>
        <v>1210-614993-44781</v>
      </c>
    </row>
    <row r="2254" spans="1:6" ht="14.25" customHeight="1" x14ac:dyDescent="0.25">
      <c r="A2254" s="15" t="s">
        <v>2394</v>
      </c>
      <c r="B2254" s="17">
        <v>1210</v>
      </c>
      <c r="C2254" s="17">
        <v>614993</v>
      </c>
      <c r="D2254" s="31">
        <v>44788</v>
      </c>
      <c r="E2254" s="17">
        <v>18</v>
      </c>
      <c r="F2254" s="15" t="str">
        <f t="shared" si="35"/>
        <v>1210-614993-44788</v>
      </c>
    </row>
    <row r="2255" spans="1:6" ht="14.25" customHeight="1" x14ac:dyDescent="0.25">
      <c r="A2255" s="15" t="s">
        <v>2395</v>
      </c>
      <c r="B2255" s="17">
        <v>1211</v>
      </c>
      <c r="C2255" s="17">
        <v>23393</v>
      </c>
      <c r="D2255" s="31">
        <v>32874</v>
      </c>
      <c r="E2255" s="17">
        <v>415</v>
      </c>
      <c r="F2255" s="15" t="str">
        <f t="shared" si="35"/>
        <v>1211-23393-32874</v>
      </c>
    </row>
    <row r="2256" spans="1:6" ht="14.25" customHeight="1" x14ac:dyDescent="0.25">
      <c r="A2256" s="15" t="s">
        <v>2396</v>
      </c>
      <c r="B2256" s="17">
        <v>1211</v>
      </c>
      <c r="C2256" s="17">
        <v>23393</v>
      </c>
      <c r="D2256" s="31">
        <v>44739</v>
      </c>
      <c r="E2256" s="17">
        <v>412</v>
      </c>
      <c r="F2256" s="15" t="str">
        <f t="shared" si="35"/>
        <v>1211-23393-44739</v>
      </c>
    </row>
    <row r="2257" spans="1:6" ht="14.25" customHeight="1" x14ac:dyDescent="0.25">
      <c r="A2257" s="15" t="s">
        <v>2397</v>
      </c>
      <c r="B2257" s="17">
        <v>1211</v>
      </c>
      <c r="C2257" s="17">
        <v>23393</v>
      </c>
      <c r="D2257" s="31">
        <v>44746</v>
      </c>
      <c r="E2257" s="17">
        <v>413</v>
      </c>
      <c r="F2257" s="15" t="str">
        <f t="shared" si="35"/>
        <v>1211-23393-44746</v>
      </c>
    </row>
    <row r="2258" spans="1:6" ht="14.25" customHeight="1" x14ac:dyDescent="0.25">
      <c r="A2258" s="15" t="s">
        <v>2398</v>
      </c>
      <c r="B2258" s="17">
        <v>1211</v>
      </c>
      <c r="C2258" s="17">
        <v>23393</v>
      </c>
      <c r="D2258" s="31">
        <v>44753</v>
      </c>
      <c r="E2258" s="17">
        <v>576</v>
      </c>
      <c r="F2258" s="15" t="str">
        <f t="shared" si="35"/>
        <v>1211-23393-44753</v>
      </c>
    </row>
    <row r="2259" spans="1:6" ht="14.25" customHeight="1" x14ac:dyDescent="0.25">
      <c r="A2259" s="15" t="s">
        <v>2399</v>
      </c>
      <c r="B2259" s="17">
        <v>1211</v>
      </c>
      <c r="C2259" s="17">
        <v>23393</v>
      </c>
      <c r="D2259" s="31">
        <v>44760</v>
      </c>
      <c r="E2259" s="17">
        <v>885</v>
      </c>
      <c r="F2259" s="15" t="str">
        <f t="shared" si="35"/>
        <v>1211-23393-44760</v>
      </c>
    </row>
    <row r="2260" spans="1:6" ht="14.25" customHeight="1" x14ac:dyDescent="0.25">
      <c r="A2260" s="15" t="s">
        <v>2400</v>
      </c>
      <c r="B2260" s="17">
        <v>1211</v>
      </c>
      <c r="C2260" s="17">
        <v>23393</v>
      </c>
      <c r="D2260" s="31">
        <v>44767</v>
      </c>
      <c r="E2260" s="17">
        <v>946</v>
      </c>
      <c r="F2260" s="15" t="str">
        <f t="shared" si="35"/>
        <v>1211-23393-44767</v>
      </c>
    </row>
    <row r="2261" spans="1:6" ht="14.25" customHeight="1" x14ac:dyDescent="0.25">
      <c r="A2261" s="15" t="s">
        <v>2401</v>
      </c>
      <c r="B2261" s="17">
        <v>1211</v>
      </c>
      <c r="C2261" s="17">
        <v>23393</v>
      </c>
      <c r="D2261" s="31">
        <v>44774</v>
      </c>
      <c r="E2261" s="17">
        <v>411</v>
      </c>
      <c r="F2261" s="15" t="str">
        <f t="shared" si="35"/>
        <v>1211-23393-44774</v>
      </c>
    </row>
    <row r="2262" spans="1:6" ht="14.25" customHeight="1" x14ac:dyDescent="0.25">
      <c r="A2262" s="15" t="s">
        <v>2402</v>
      </c>
      <c r="B2262" s="17">
        <v>1211</v>
      </c>
      <c r="C2262" s="17">
        <v>23393</v>
      </c>
      <c r="D2262" s="31">
        <v>44781</v>
      </c>
      <c r="E2262" s="17">
        <v>540</v>
      </c>
      <c r="F2262" s="15" t="str">
        <f t="shared" si="35"/>
        <v>1211-23393-44781</v>
      </c>
    </row>
    <row r="2263" spans="1:6" ht="14.25" customHeight="1" x14ac:dyDescent="0.25">
      <c r="A2263" s="15" t="s">
        <v>2403</v>
      </c>
      <c r="B2263" s="17">
        <v>1211</v>
      </c>
      <c r="C2263" s="17">
        <v>23393</v>
      </c>
      <c r="D2263" s="31">
        <v>44788</v>
      </c>
      <c r="E2263" s="17">
        <v>960</v>
      </c>
      <c r="F2263" s="15" t="str">
        <f t="shared" si="35"/>
        <v>1211-23393-44788</v>
      </c>
    </row>
    <row r="2264" spans="1:6" ht="14.25" customHeight="1" x14ac:dyDescent="0.25">
      <c r="A2264" s="15" t="s">
        <v>2404</v>
      </c>
      <c r="B2264" s="17">
        <v>1211</v>
      </c>
      <c r="C2264" s="17">
        <v>26764</v>
      </c>
      <c r="D2264" s="31">
        <v>44739</v>
      </c>
      <c r="E2264" s="17">
        <v>21</v>
      </c>
      <c r="F2264" s="15" t="str">
        <f t="shared" si="35"/>
        <v>1211-26764-44739</v>
      </c>
    </row>
    <row r="2265" spans="1:6" ht="14.25" customHeight="1" x14ac:dyDescent="0.25">
      <c r="A2265" s="15" t="s">
        <v>2405</v>
      </c>
      <c r="B2265" s="17">
        <v>1211</v>
      </c>
      <c r="C2265" s="17">
        <v>26764</v>
      </c>
      <c r="D2265" s="31">
        <v>44746</v>
      </c>
      <c r="E2265" s="17">
        <v>136</v>
      </c>
      <c r="F2265" s="15" t="str">
        <f t="shared" si="35"/>
        <v>1211-26764-44746</v>
      </c>
    </row>
    <row r="2266" spans="1:6" ht="14.25" customHeight="1" x14ac:dyDescent="0.25">
      <c r="A2266" s="15" t="s">
        <v>2406</v>
      </c>
      <c r="B2266" s="17">
        <v>1211</v>
      </c>
      <c r="C2266" s="17">
        <v>26764</v>
      </c>
      <c r="D2266" s="31">
        <v>44753</v>
      </c>
      <c r="E2266" s="17">
        <v>145</v>
      </c>
      <c r="F2266" s="15" t="str">
        <f t="shared" si="35"/>
        <v>1211-26764-44753</v>
      </c>
    </row>
    <row r="2267" spans="1:6" ht="14.25" customHeight="1" x14ac:dyDescent="0.25">
      <c r="A2267" s="15" t="s">
        <v>2407</v>
      </c>
      <c r="B2267" s="17">
        <v>1211</v>
      </c>
      <c r="C2267" s="17">
        <v>26764</v>
      </c>
      <c r="D2267" s="31">
        <v>44760</v>
      </c>
      <c r="E2267" s="17">
        <v>26</v>
      </c>
      <c r="F2267" s="15" t="str">
        <f t="shared" si="35"/>
        <v>1211-26764-44760</v>
      </c>
    </row>
    <row r="2268" spans="1:6" ht="14.25" customHeight="1" x14ac:dyDescent="0.25">
      <c r="A2268" s="15" t="s">
        <v>2408</v>
      </c>
      <c r="B2268" s="17">
        <v>1211</v>
      </c>
      <c r="C2268" s="17">
        <v>26764</v>
      </c>
      <c r="D2268" s="31">
        <v>44767</v>
      </c>
      <c r="E2268" s="17">
        <v>28</v>
      </c>
      <c r="F2268" s="15" t="str">
        <f t="shared" si="35"/>
        <v>1211-26764-44767</v>
      </c>
    </row>
    <row r="2269" spans="1:6" ht="14.25" customHeight="1" x14ac:dyDescent="0.25">
      <c r="A2269" s="15" t="s">
        <v>2409</v>
      </c>
      <c r="B2269" s="17">
        <v>1211</v>
      </c>
      <c r="C2269" s="17">
        <v>26764</v>
      </c>
      <c r="D2269" s="31">
        <v>44774</v>
      </c>
      <c r="E2269" s="17">
        <v>118</v>
      </c>
      <c r="F2269" s="15" t="str">
        <f t="shared" si="35"/>
        <v>1211-26764-44774</v>
      </c>
    </row>
    <row r="2270" spans="1:6" ht="14.25" customHeight="1" x14ac:dyDescent="0.25">
      <c r="A2270" s="15" t="s">
        <v>2410</v>
      </c>
      <c r="B2270" s="17">
        <v>1211</v>
      </c>
      <c r="C2270" s="17">
        <v>26764</v>
      </c>
      <c r="D2270" s="31">
        <v>44781</v>
      </c>
      <c r="E2270" s="17">
        <v>96</v>
      </c>
      <c r="F2270" s="15" t="str">
        <f t="shared" si="35"/>
        <v>1211-26764-44781</v>
      </c>
    </row>
    <row r="2271" spans="1:6" ht="14.25" customHeight="1" x14ac:dyDescent="0.25">
      <c r="A2271" s="15" t="s">
        <v>2411</v>
      </c>
      <c r="B2271" s="17">
        <v>1211</v>
      </c>
      <c r="C2271" s="17">
        <v>26764</v>
      </c>
      <c r="D2271" s="31">
        <v>44788</v>
      </c>
      <c r="E2271" s="17">
        <v>104</v>
      </c>
      <c r="F2271" s="15" t="str">
        <f t="shared" si="35"/>
        <v>1211-26764-44788</v>
      </c>
    </row>
    <row r="2272" spans="1:6" ht="14.25" customHeight="1" x14ac:dyDescent="0.25">
      <c r="A2272" s="15" t="s">
        <v>2412</v>
      </c>
      <c r="B2272" s="17">
        <v>1211</v>
      </c>
      <c r="C2272" s="17">
        <v>53934</v>
      </c>
      <c r="D2272" s="31">
        <v>44739</v>
      </c>
      <c r="E2272" s="17">
        <v>375</v>
      </c>
      <c r="F2272" s="15" t="str">
        <f t="shared" si="35"/>
        <v>1211-53934-44739</v>
      </c>
    </row>
    <row r="2273" spans="1:6" ht="14.25" customHeight="1" x14ac:dyDescent="0.25">
      <c r="A2273" s="15" t="s">
        <v>2413</v>
      </c>
      <c r="B2273" s="17">
        <v>1211</v>
      </c>
      <c r="C2273" s="17">
        <v>53934</v>
      </c>
      <c r="D2273" s="31">
        <v>44746</v>
      </c>
      <c r="E2273" s="17">
        <v>1193</v>
      </c>
      <c r="F2273" s="15" t="str">
        <f t="shared" si="35"/>
        <v>1211-53934-44746</v>
      </c>
    </row>
    <row r="2274" spans="1:6" ht="14.25" customHeight="1" x14ac:dyDescent="0.25">
      <c r="A2274" s="15" t="s">
        <v>2414</v>
      </c>
      <c r="B2274" s="17">
        <v>1211</v>
      </c>
      <c r="C2274" s="17">
        <v>53934</v>
      </c>
      <c r="D2274" s="31">
        <v>44753</v>
      </c>
      <c r="E2274" s="17">
        <v>474</v>
      </c>
      <c r="F2274" s="15" t="str">
        <f t="shared" si="35"/>
        <v>1211-53934-44753</v>
      </c>
    </row>
    <row r="2275" spans="1:6" ht="14.25" customHeight="1" x14ac:dyDescent="0.25">
      <c r="A2275" s="15" t="s">
        <v>2415</v>
      </c>
      <c r="B2275" s="17">
        <v>1211</v>
      </c>
      <c r="C2275" s="17">
        <v>53934</v>
      </c>
      <c r="D2275" s="31">
        <v>44760</v>
      </c>
      <c r="E2275" s="17">
        <v>1452</v>
      </c>
      <c r="F2275" s="15" t="str">
        <f t="shared" si="35"/>
        <v>1211-53934-44760</v>
      </c>
    </row>
    <row r="2276" spans="1:6" ht="14.25" customHeight="1" x14ac:dyDescent="0.25">
      <c r="A2276" s="15" t="s">
        <v>2416</v>
      </c>
      <c r="B2276" s="17">
        <v>1211</v>
      </c>
      <c r="C2276" s="17">
        <v>53934</v>
      </c>
      <c r="D2276" s="31">
        <v>44767</v>
      </c>
      <c r="E2276" s="17">
        <v>1052</v>
      </c>
      <c r="F2276" s="15" t="str">
        <f t="shared" si="35"/>
        <v>1211-53934-44767</v>
      </c>
    </row>
    <row r="2277" spans="1:6" ht="14.25" customHeight="1" x14ac:dyDescent="0.25">
      <c r="A2277" s="15" t="s">
        <v>2417</v>
      </c>
      <c r="B2277" s="17">
        <v>1211</v>
      </c>
      <c r="C2277" s="17">
        <v>53934</v>
      </c>
      <c r="D2277" s="31">
        <v>44774</v>
      </c>
      <c r="E2277" s="17">
        <v>1432</v>
      </c>
      <c r="F2277" s="15" t="str">
        <f t="shared" si="35"/>
        <v>1211-53934-44774</v>
      </c>
    </row>
    <row r="2278" spans="1:6" ht="14.25" customHeight="1" x14ac:dyDescent="0.25">
      <c r="A2278" s="15" t="s">
        <v>2418</v>
      </c>
      <c r="B2278" s="17">
        <v>1211</v>
      </c>
      <c r="C2278" s="17">
        <v>53934</v>
      </c>
      <c r="D2278" s="31">
        <v>44781</v>
      </c>
      <c r="E2278" s="17">
        <v>1008</v>
      </c>
      <c r="F2278" s="15" t="str">
        <f t="shared" si="35"/>
        <v>1211-53934-44781</v>
      </c>
    </row>
    <row r="2279" spans="1:6" ht="14.25" customHeight="1" x14ac:dyDescent="0.25">
      <c r="A2279" s="15" t="s">
        <v>2419</v>
      </c>
      <c r="B2279" s="17">
        <v>1211</v>
      </c>
      <c r="C2279" s="17">
        <v>53934</v>
      </c>
      <c r="D2279" s="31">
        <v>44788</v>
      </c>
      <c r="E2279" s="17">
        <v>1085</v>
      </c>
      <c r="F2279" s="15" t="str">
        <f t="shared" si="35"/>
        <v>1211-53934-44788</v>
      </c>
    </row>
    <row r="2280" spans="1:6" ht="14.25" customHeight="1" x14ac:dyDescent="0.25">
      <c r="A2280" s="15" t="s">
        <v>2420</v>
      </c>
      <c r="B2280" s="17">
        <v>1211</v>
      </c>
      <c r="C2280" s="17">
        <v>78699</v>
      </c>
      <c r="D2280" s="31">
        <v>44739</v>
      </c>
      <c r="E2280" s="17">
        <v>19</v>
      </c>
      <c r="F2280" s="15" t="str">
        <f t="shared" si="35"/>
        <v>1211-78699-44739</v>
      </c>
    </row>
    <row r="2281" spans="1:6" ht="14.25" customHeight="1" x14ac:dyDescent="0.25">
      <c r="A2281" s="15" t="s">
        <v>2421</v>
      </c>
      <c r="B2281" s="17">
        <v>1211</v>
      </c>
      <c r="C2281" s="17">
        <v>78699</v>
      </c>
      <c r="D2281" s="31">
        <v>44746</v>
      </c>
      <c r="E2281" s="17">
        <v>-1</v>
      </c>
      <c r="F2281" s="15" t="str">
        <f t="shared" si="35"/>
        <v>1211-78699-44746</v>
      </c>
    </row>
    <row r="2282" spans="1:6" ht="14.25" customHeight="1" x14ac:dyDescent="0.25">
      <c r="A2282" s="15" t="s">
        <v>2422</v>
      </c>
      <c r="B2282" s="17">
        <v>1211</v>
      </c>
      <c r="C2282" s="17">
        <v>78699</v>
      </c>
      <c r="D2282" s="31">
        <v>44753</v>
      </c>
      <c r="E2282" s="17">
        <v>16</v>
      </c>
      <c r="F2282" s="15" t="str">
        <f t="shared" si="35"/>
        <v>1211-78699-44753</v>
      </c>
    </row>
    <row r="2283" spans="1:6" ht="14.25" customHeight="1" x14ac:dyDescent="0.25">
      <c r="A2283" s="15" t="s">
        <v>2423</v>
      </c>
      <c r="B2283" s="17">
        <v>1211</v>
      </c>
      <c r="C2283" s="17">
        <v>78699</v>
      </c>
      <c r="D2283" s="31">
        <v>44760</v>
      </c>
      <c r="E2283" s="17">
        <v>9</v>
      </c>
      <c r="F2283" s="15" t="str">
        <f t="shared" si="35"/>
        <v>1211-78699-44760</v>
      </c>
    </row>
    <row r="2284" spans="1:6" ht="14.25" customHeight="1" x14ac:dyDescent="0.25">
      <c r="A2284" s="15" t="s">
        <v>2424</v>
      </c>
      <c r="B2284" s="17">
        <v>1211</v>
      </c>
      <c r="C2284" s="17">
        <v>78699</v>
      </c>
      <c r="D2284" s="31">
        <v>44767</v>
      </c>
      <c r="E2284" s="17">
        <v>11</v>
      </c>
      <c r="F2284" s="15" t="str">
        <f t="shared" si="35"/>
        <v>1211-78699-44767</v>
      </c>
    </row>
    <row r="2285" spans="1:6" ht="14.25" customHeight="1" x14ac:dyDescent="0.25">
      <c r="A2285" s="15" t="s">
        <v>2425</v>
      </c>
      <c r="B2285" s="17">
        <v>1211</v>
      </c>
      <c r="C2285" s="17">
        <v>78699</v>
      </c>
      <c r="D2285" s="31">
        <v>44774</v>
      </c>
      <c r="E2285" s="17">
        <v>9</v>
      </c>
      <c r="F2285" s="15" t="str">
        <f t="shared" si="35"/>
        <v>1211-78699-44774</v>
      </c>
    </row>
    <row r="2286" spans="1:6" ht="14.25" customHeight="1" x14ac:dyDescent="0.25">
      <c r="A2286" s="15" t="s">
        <v>2426</v>
      </c>
      <c r="B2286" s="17">
        <v>1211</v>
      </c>
      <c r="C2286" s="17">
        <v>78699</v>
      </c>
      <c r="D2286" s="31">
        <v>44781</v>
      </c>
      <c r="E2286" s="17">
        <v>12</v>
      </c>
      <c r="F2286" s="15" t="str">
        <f t="shared" si="35"/>
        <v>1211-78699-44781</v>
      </c>
    </row>
    <row r="2287" spans="1:6" ht="14.25" customHeight="1" x14ac:dyDescent="0.25">
      <c r="A2287" s="15" t="s">
        <v>2427</v>
      </c>
      <c r="B2287" s="17">
        <v>1211</v>
      </c>
      <c r="C2287" s="17">
        <v>78699</v>
      </c>
      <c r="D2287" s="31">
        <v>44788</v>
      </c>
      <c r="E2287" s="17">
        <v>10</v>
      </c>
      <c r="F2287" s="15" t="str">
        <f t="shared" si="35"/>
        <v>1211-78699-44788</v>
      </c>
    </row>
    <row r="2288" spans="1:6" ht="14.25" customHeight="1" x14ac:dyDescent="0.25">
      <c r="A2288" s="15" t="s">
        <v>2428</v>
      </c>
      <c r="B2288" s="17">
        <v>1211</v>
      </c>
      <c r="C2288" s="17">
        <v>78869</v>
      </c>
      <c r="D2288" s="31">
        <v>44739</v>
      </c>
      <c r="E2288" s="17">
        <v>24</v>
      </c>
      <c r="F2288" s="15" t="str">
        <f t="shared" si="35"/>
        <v>1211-78869-44739</v>
      </c>
    </row>
    <row r="2289" spans="1:6" ht="14.25" customHeight="1" x14ac:dyDescent="0.25">
      <c r="A2289" s="15" t="s">
        <v>2429</v>
      </c>
      <c r="B2289" s="17">
        <v>1211</v>
      </c>
      <c r="C2289" s="17">
        <v>78869</v>
      </c>
      <c r="D2289" s="31">
        <v>44746</v>
      </c>
      <c r="E2289" s="17">
        <v>12</v>
      </c>
      <c r="F2289" s="15" t="str">
        <f t="shared" si="35"/>
        <v>1211-78869-44746</v>
      </c>
    </row>
    <row r="2290" spans="1:6" ht="14.25" customHeight="1" x14ac:dyDescent="0.25">
      <c r="A2290" s="15" t="s">
        <v>2430</v>
      </c>
      <c r="B2290" s="17">
        <v>1211</v>
      </c>
      <c r="C2290" s="17">
        <v>78869</v>
      </c>
      <c r="D2290" s="31">
        <v>44753</v>
      </c>
      <c r="E2290" s="17">
        <v>30</v>
      </c>
      <c r="F2290" s="15" t="str">
        <f t="shared" si="35"/>
        <v>1211-78869-44753</v>
      </c>
    </row>
    <row r="2291" spans="1:6" ht="14.25" customHeight="1" x14ac:dyDescent="0.25">
      <c r="A2291" s="15" t="s">
        <v>2431</v>
      </c>
      <c r="B2291" s="17">
        <v>1211</v>
      </c>
      <c r="C2291" s="17">
        <v>78869</v>
      </c>
      <c r="D2291" s="31">
        <v>44760</v>
      </c>
      <c r="E2291" s="17">
        <v>36</v>
      </c>
      <c r="F2291" s="15" t="str">
        <f t="shared" si="35"/>
        <v>1211-78869-44760</v>
      </c>
    </row>
    <row r="2292" spans="1:6" ht="14.25" customHeight="1" x14ac:dyDescent="0.25">
      <c r="A2292" s="15" t="s">
        <v>2432</v>
      </c>
      <c r="B2292" s="17">
        <v>1211</v>
      </c>
      <c r="C2292" s="17">
        <v>78869</v>
      </c>
      <c r="D2292" s="31">
        <v>44767</v>
      </c>
      <c r="E2292" s="17">
        <v>24</v>
      </c>
      <c r="F2292" s="15" t="str">
        <f t="shared" si="35"/>
        <v>1211-78869-44767</v>
      </c>
    </row>
    <row r="2293" spans="1:6" ht="14.25" customHeight="1" x14ac:dyDescent="0.25">
      <c r="A2293" s="15" t="s">
        <v>2433</v>
      </c>
      <c r="B2293" s="17">
        <v>1211</v>
      </c>
      <c r="C2293" s="17">
        <v>78869</v>
      </c>
      <c r="D2293" s="31">
        <v>44774</v>
      </c>
      <c r="E2293" s="17">
        <v>28</v>
      </c>
      <c r="F2293" s="15" t="str">
        <f t="shared" si="35"/>
        <v>1211-78869-44774</v>
      </c>
    </row>
    <row r="2294" spans="1:6" ht="14.25" customHeight="1" x14ac:dyDescent="0.25">
      <c r="A2294" s="15" t="s">
        <v>2434</v>
      </c>
      <c r="B2294" s="17">
        <v>1211</v>
      </c>
      <c r="C2294" s="17">
        <v>78869</v>
      </c>
      <c r="D2294" s="31">
        <v>44781</v>
      </c>
      <c r="E2294" s="17">
        <v>31</v>
      </c>
      <c r="F2294" s="15" t="str">
        <f t="shared" si="35"/>
        <v>1211-78869-44781</v>
      </c>
    </row>
    <row r="2295" spans="1:6" ht="14.25" customHeight="1" x14ac:dyDescent="0.25">
      <c r="A2295" s="15" t="s">
        <v>2435</v>
      </c>
      <c r="B2295" s="17">
        <v>1211</v>
      </c>
      <c r="C2295" s="17">
        <v>78869</v>
      </c>
      <c r="D2295" s="31">
        <v>44788</v>
      </c>
      <c r="E2295" s="17">
        <v>26</v>
      </c>
      <c r="F2295" s="15" t="str">
        <f t="shared" si="35"/>
        <v>1211-78869-44788</v>
      </c>
    </row>
    <row r="2296" spans="1:6" ht="14.25" customHeight="1" x14ac:dyDescent="0.25">
      <c r="A2296" s="15" t="s">
        <v>2436</v>
      </c>
      <c r="B2296" s="17">
        <v>1211</v>
      </c>
      <c r="C2296" s="17">
        <v>115600</v>
      </c>
      <c r="D2296" s="31">
        <v>44739</v>
      </c>
      <c r="E2296" s="17">
        <v>25</v>
      </c>
      <c r="F2296" s="15" t="str">
        <f t="shared" si="35"/>
        <v>1211-115600-44739</v>
      </c>
    </row>
    <row r="2297" spans="1:6" ht="14.25" customHeight="1" x14ac:dyDescent="0.25">
      <c r="A2297" s="15" t="s">
        <v>2437</v>
      </c>
      <c r="B2297" s="17">
        <v>1211</v>
      </c>
      <c r="C2297" s="17">
        <v>115600</v>
      </c>
      <c r="D2297" s="31">
        <v>44746</v>
      </c>
      <c r="E2297" s="17">
        <v>27</v>
      </c>
      <c r="F2297" s="15" t="str">
        <f t="shared" si="35"/>
        <v>1211-115600-44746</v>
      </c>
    </row>
    <row r="2298" spans="1:6" ht="14.25" customHeight="1" x14ac:dyDescent="0.25">
      <c r="A2298" s="15" t="s">
        <v>2438</v>
      </c>
      <c r="B2298" s="17">
        <v>1211</v>
      </c>
      <c r="C2298" s="17">
        <v>115600</v>
      </c>
      <c r="D2298" s="31">
        <v>44753</v>
      </c>
      <c r="E2298" s="17">
        <v>32</v>
      </c>
      <c r="F2298" s="15" t="str">
        <f t="shared" si="35"/>
        <v>1211-115600-44753</v>
      </c>
    </row>
    <row r="2299" spans="1:6" ht="14.25" customHeight="1" x14ac:dyDescent="0.25">
      <c r="A2299" s="15" t="s">
        <v>2439</v>
      </c>
      <c r="B2299" s="17">
        <v>1211</v>
      </c>
      <c r="C2299" s="17">
        <v>115600</v>
      </c>
      <c r="D2299" s="31">
        <v>44760</v>
      </c>
      <c r="E2299" s="17">
        <v>32</v>
      </c>
      <c r="F2299" s="15" t="str">
        <f t="shared" si="35"/>
        <v>1211-115600-44760</v>
      </c>
    </row>
    <row r="2300" spans="1:6" ht="14.25" customHeight="1" x14ac:dyDescent="0.25">
      <c r="A2300" s="15" t="s">
        <v>2440</v>
      </c>
      <c r="B2300" s="17">
        <v>1211</v>
      </c>
      <c r="C2300" s="17">
        <v>115600</v>
      </c>
      <c r="D2300" s="31">
        <v>44767</v>
      </c>
      <c r="E2300" s="17">
        <v>13</v>
      </c>
      <c r="F2300" s="15" t="str">
        <f t="shared" si="35"/>
        <v>1211-115600-44767</v>
      </c>
    </row>
    <row r="2301" spans="1:6" ht="14.25" customHeight="1" x14ac:dyDescent="0.25">
      <c r="A2301" s="15" t="s">
        <v>2441</v>
      </c>
      <c r="B2301" s="17">
        <v>1211</v>
      </c>
      <c r="C2301" s="17">
        <v>115600</v>
      </c>
      <c r="D2301" s="31">
        <v>44774</v>
      </c>
      <c r="E2301" s="17">
        <v>18</v>
      </c>
      <c r="F2301" s="15" t="str">
        <f t="shared" si="35"/>
        <v>1211-115600-44774</v>
      </c>
    </row>
    <row r="2302" spans="1:6" ht="14.25" customHeight="1" x14ac:dyDescent="0.25">
      <c r="A2302" s="15" t="s">
        <v>2442</v>
      </c>
      <c r="B2302" s="17">
        <v>1211</v>
      </c>
      <c r="C2302" s="17">
        <v>115600</v>
      </c>
      <c r="D2302" s="31">
        <v>44781</v>
      </c>
      <c r="E2302" s="17">
        <v>18</v>
      </c>
      <c r="F2302" s="15" t="str">
        <f t="shared" si="35"/>
        <v>1211-115600-44781</v>
      </c>
    </row>
    <row r="2303" spans="1:6" ht="14.25" customHeight="1" x14ac:dyDescent="0.25">
      <c r="A2303" s="15" t="s">
        <v>2443</v>
      </c>
      <c r="B2303" s="17">
        <v>1211</v>
      </c>
      <c r="C2303" s="17">
        <v>115600</v>
      </c>
      <c r="D2303" s="31">
        <v>44788</v>
      </c>
      <c r="E2303" s="17">
        <v>26</v>
      </c>
      <c r="F2303" s="15" t="str">
        <f t="shared" si="35"/>
        <v>1211-115600-44788</v>
      </c>
    </row>
    <row r="2304" spans="1:6" ht="14.25" customHeight="1" x14ac:dyDescent="0.25">
      <c r="A2304" s="15" t="s">
        <v>2444</v>
      </c>
      <c r="B2304" s="17">
        <v>1211</v>
      </c>
      <c r="C2304" s="17">
        <v>129208</v>
      </c>
      <c r="D2304" s="31">
        <v>32874</v>
      </c>
      <c r="E2304" s="17">
        <v>19</v>
      </c>
      <c r="F2304" s="15" t="str">
        <f t="shared" si="35"/>
        <v>1211-129208-32874</v>
      </c>
    </row>
    <row r="2305" spans="1:6" ht="14.25" customHeight="1" x14ac:dyDescent="0.25">
      <c r="A2305" s="15" t="s">
        <v>2445</v>
      </c>
      <c r="B2305" s="17">
        <v>1211</v>
      </c>
      <c r="C2305" s="17">
        <v>129208</v>
      </c>
      <c r="D2305" s="31">
        <v>44739</v>
      </c>
      <c r="E2305" s="17">
        <v>80</v>
      </c>
      <c r="F2305" s="15" t="str">
        <f t="shared" si="35"/>
        <v>1211-129208-44739</v>
      </c>
    </row>
    <row r="2306" spans="1:6" ht="14.25" customHeight="1" x14ac:dyDescent="0.25">
      <c r="A2306" s="15" t="s">
        <v>2446</v>
      </c>
      <c r="B2306" s="17">
        <v>1211</v>
      </c>
      <c r="C2306" s="17">
        <v>129208</v>
      </c>
      <c r="D2306" s="31">
        <v>44746</v>
      </c>
      <c r="E2306" s="17">
        <v>54</v>
      </c>
      <c r="F2306" s="15" t="str">
        <f t="shared" si="35"/>
        <v>1211-129208-44746</v>
      </c>
    </row>
    <row r="2307" spans="1:6" ht="14.25" customHeight="1" x14ac:dyDescent="0.25">
      <c r="A2307" s="15" t="s">
        <v>2447</v>
      </c>
      <c r="B2307" s="17">
        <v>1211</v>
      </c>
      <c r="C2307" s="17">
        <v>129208</v>
      </c>
      <c r="D2307" s="31">
        <v>44753</v>
      </c>
      <c r="E2307" s="17">
        <v>75</v>
      </c>
      <c r="F2307" s="15" t="str">
        <f t="shared" ref="F2307:F2370" si="36">B2307&amp;"-"&amp;C2307&amp;"-"&amp;INT(D2307)</f>
        <v>1211-129208-44753</v>
      </c>
    </row>
    <row r="2308" spans="1:6" ht="14.25" customHeight="1" x14ac:dyDescent="0.25">
      <c r="A2308" s="15" t="s">
        <v>2448</v>
      </c>
      <c r="B2308" s="17">
        <v>1211</v>
      </c>
      <c r="C2308" s="17">
        <v>129208</v>
      </c>
      <c r="D2308" s="31">
        <v>44760</v>
      </c>
      <c r="E2308" s="17">
        <v>54</v>
      </c>
      <c r="F2308" s="15" t="str">
        <f t="shared" si="36"/>
        <v>1211-129208-44760</v>
      </c>
    </row>
    <row r="2309" spans="1:6" ht="14.25" customHeight="1" x14ac:dyDescent="0.25">
      <c r="A2309" s="15" t="s">
        <v>2449</v>
      </c>
      <c r="B2309" s="17">
        <v>1211</v>
      </c>
      <c r="C2309" s="17">
        <v>129208</v>
      </c>
      <c r="D2309" s="31">
        <v>44767</v>
      </c>
      <c r="E2309" s="17">
        <v>14</v>
      </c>
      <c r="F2309" s="15" t="str">
        <f t="shared" si="36"/>
        <v>1211-129208-44767</v>
      </c>
    </row>
    <row r="2310" spans="1:6" ht="14.25" customHeight="1" x14ac:dyDescent="0.25">
      <c r="A2310" s="15" t="s">
        <v>2450</v>
      </c>
      <c r="B2310" s="17">
        <v>1211</v>
      </c>
      <c r="C2310" s="17">
        <v>129208</v>
      </c>
      <c r="D2310" s="31">
        <v>44774</v>
      </c>
      <c r="E2310" s="17">
        <v>71</v>
      </c>
      <c r="F2310" s="15" t="str">
        <f t="shared" si="36"/>
        <v>1211-129208-44774</v>
      </c>
    </row>
    <row r="2311" spans="1:6" ht="14.25" customHeight="1" x14ac:dyDescent="0.25">
      <c r="A2311" s="15" t="s">
        <v>2451</v>
      </c>
      <c r="B2311" s="17">
        <v>1211</v>
      </c>
      <c r="C2311" s="17">
        <v>129208</v>
      </c>
      <c r="D2311" s="31">
        <v>44781</v>
      </c>
      <c r="E2311" s="17">
        <v>74</v>
      </c>
      <c r="F2311" s="15" t="str">
        <f t="shared" si="36"/>
        <v>1211-129208-44781</v>
      </c>
    </row>
    <row r="2312" spans="1:6" ht="14.25" customHeight="1" x14ac:dyDescent="0.25">
      <c r="A2312" s="15" t="s">
        <v>2452</v>
      </c>
      <c r="B2312" s="17">
        <v>1211</v>
      </c>
      <c r="C2312" s="17">
        <v>129208</v>
      </c>
      <c r="D2312" s="31">
        <v>44788</v>
      </c>
      <c r="E2312" s="17">
        <v>15</v>
      </c>
      <c r="F2312" s="15" t="str">
        <f t="shared" si="36"/>
        <v>1211-129208-44788</v>
      </c>
    </row>
    <row r="2313" spans="1:6" ht="14.25" customHeight="1" x14ac:dyDescent="0.25">
      <c r="A2313" s="15" t="s">
        <v>2453</v>
      </c>
      <c r="B2313" s="17">
        <v>1211</v>
      </c>
      <c r="C2313" s="17">
        <v>141622</v>
      </c>
      <c r="D2313" s="31">
        <v>44739</v>
      </c>
      <c r="E2313" s="17">
        <v>25</v>
      </c>
      <c r="F2313" s="15" t="str">
        <f t="shared" si="36"/>
        <v>1211-141622-44739</v>
      </c>
    </row>
    <row r="2314" spans="1:6" ht="14.25" customHeight="1" x14ac:dyDescent="0.25">
      <c r="A2314" s="15" t="s">
        <v>2454</v>
      </c>
      <c r="B2314" s="17">
        <v>1211</v>
      </c>
      <c r="C2314" s="17">
        <v>141622</v>
      </c>
      <c r="D2314" s="31">
        <v>44746</v>
      </c>
      <c r="E2314" s="17">
        <v>18</v>
      </c>
      <c r="F2314" s="15" t="str">
        <f t="shared" si="36"/>
        <v>1211-141622-44746</v>
      </c>
    </row>
    <row r="2315" spans="1:6" ht="14.25" customHeight="1" x14ac:dyDescent="0.25">
      <c r="A2315" s="15" t="s">
        <v>2455</v>
      </c>
      <c r="B2315" s="17">
        <v>1211</v>
      </c>
      <c r="C2315" s="17">
        <v>141622</v>
      </c>
      <c r="D2315" s="31">
        <v>44753</v>
      </c>
      <c r="E2315" s="17">
        <v>22</v>
      </c>
      <c r="F2315" s="15" t="str">
        <f t="shared" si="36"/>
        <v>1211-141622-44753</v>
      </c>
    </row>
    <row r="2316" spans="1:6" ht="14.25" customHeight="1" x14ac:dyDescent="0.25">
      <c r="A2316" s="15" t="s">
        <v>2456</v>
      </c>
      <c r="B2316" s="17">
        <v>1211</v>
      </c>
      <c r="C2316" s="17">
        <v>141622</v>
      </c>
      <c r="D2316" s="31">
        <v>44760</v>
      </c>
      <c r="E2316" s="17">
        <v>14</v>
      </c>
      <c r="F2316" s="15" t="str">
        <f t="shared" si="36"/>
        <v>1211-141622-44760</v>
      </c>
    </row>
    <row r="2317" spans="1:6" ht="14.25" customHeight="1" x14ac:dyDescent="0.25">
      <c r="A2317" s="15" t="s">
        <v>2457</v>
      </c>
      <c r="B2317" s="16">
        <v>1211</v>
      </c>
      <c r="C2317" s="16">
        <v>141622</v>
      </c>
      <c r="D2317" s="31">
        <v>44767</v>
      </c>
      <c r="E2317" s="16">
        <v>24</v>
      </c>
      <c r="F2317" s="15" t="str">
        <f t="shared" si="36"/>
        <v>1211-141622-44767</v>
      </c>
    </row>
    <row r="2318" spans="1:6" ht="14.25" customHeight="1" x14ac:dyDescent="0.25">
      <c r="A2318" s="15" t="s">
        <v>2458</v>
      </c>
      <c r="B2318" s="16">
        <v>1211</v>
      </c>
      <c r="C2318" s="16">
        <v>141622</v>
      </c>
      <c r="D2318" s="31">
        <v>44774</v>
      </c>
      <c r="E2318" s="16">
        <v>22</v>
      </c>
      <c r="F2318" s="15" t="str">
        <f t="shared" si="36"/>
        <v>1211-141622-44774</v>
      </c>
    </row>
    <row r="2319" spans="1:6" ht="14.25" customHeight="1" x14ac:dyDescent="0.25">
      <c r="A2319" s="15" t="s">
        <v>2459</v>
      </c>
      <c r="B2319" s="16">
        <v>1211</v>
      </c>
      <c r="C2319" s="16">
        <v>141622</v>
      </c>
      <c r="D2319" s="31">
        <v>44781</v>
      </c>
      <c r="E2319" s="16">
        <v>16</v>
      </c>
      <c r="F2319" s="15" t="str">
        <f t="shared" si="36"/>
        <v>1211-141622-44781</v>
      </c>
    </row>
    <row r="2320" spans="1:6" ht="14.25" customHeight="1" x14ac:dyDescent="0.25">
      <c r="A2320" s="15" t="s">
        <v>2460</v>
      </c>
      <c r="B2320" s="16">
        <v>1211</v>
      </c>
      <c r="C2320" s="16">
        <v>141622</v>
      </c>
      <c r="D2320" s="31">
        <v>44788</v>
      </c>
      <c r="E2320" s="16">
        <v>23</v>
      </c>
      <c r="F2320" s="15" t="str">
        <f t="shared" si="36"/>
        <v>1211-141622-44788</v>
      </c>
    </row>
    <row r="2321" spans="1:6" ht="14.25" customHeight="1" x14ac:dyDescent="0.25">
      <c r="A2321" s="15" t="s">
        <v>2461</v>
      </c>
      <c r="B2321" s="16">
        <v>1211</v>
      </c>
      <c r="C2321" s="16">
        <v>141626</v>
      </c>
      <c r="D2321" s="31">
        <v>44739</v>
      </c>
      <c r="E2321" s="16">
        <v>110</v>
      </c>
      <c r="F2321" s="15" t="str">
        <f t="shared" si="36"/>
        <v>1211-141626-44739</v>
      </c>
    </row>
    <row r="2322" spans="1:6" ht="14.25" customHeight="1" x14ac:dyDescent="0.25">
      <c r="A2322" s="15" t="s">
        <v>2462</v>
      </c>
      <c r="B2322" s="16">
        <v>1211</v>
      </c>
      <c r="C2322" s="16">
        <v>141626</v>
      </c>
      <c r="D2322" s="31">
        <v>44746</v>
      </c>
      <c r="E2322" s="16">
        <v>138</v>
      </c>
      <c r="F2322" s="15" t="str">
        <f t="shared" si="36"/>
        <v>1211-141626-44746</v>
      </c>
    </row>
    <row r="2323" spans="1:6" ht="14.25" customHeight="1" x14ac:dyDescent="0.25">
      <c r="A2323" s="15" t="s">
        <v>2463</v>
      </c>
      <c r="B2323" s="16">
        <v>1211</v>
      </c>
      <c r="C2323" s="16">
        <v>141626</v>
      </c>
      <c r="D2323" s="31">
        <v>44753</v>
      </c>
      <c r="E2323" s="16">
        <v>112</v>
      </c>
      <c r="F2323" s="15" t="str">
        <f t="shared" si="36"/>
        <v>1211-141626-44753</v>
      </c>
    </row>
    <row r="2324" spans="1:6" ht="14.25" customHeight="1" x14ac:dyDescent="0.25">
      <c r="A2324" s="15" t="s">
        <v>2464</v>
      </c>
      <c r="B2324" s="16">
        <v>1211</v>
      </c>
      <c r="C2324" s="16">
        <v>141626</v>
      </c>
      <c r="D2324" s="31">
        <v>44760</v>
      </c>
      <c r="E2324" s="16">
        <v>96</v>
      </c>
      <c r="F2324" s="15" t="str">
        <f t="shared" si="36"/>
        <v>1211-141626-44760</v>
      </c>
    </row>
    <row r="2325" spans="1:6" ht="14.25" customHeight="1" x14ac:dyDescent="0.25">
      <c r="A2325" s="15" t="s">
        <v>2465</v>
      </c>
      <c r="B2325" s="16">
        <v>1211</v>
      </c>
      <c r="C2325" s="16">
        <v>141626</v>
      </c>
      <c r="D2325" s="31">
        <v>44767</v>
      </c>
      <c r="E2325" s="16">
        <v>53</v>
      </c>
      <c r="F2325" s="15" t="str">
        <f t="shared" si="36"/>
        <v>1211-141626-44767</v>
      </c>
    </row>
    <row r="2326" spans="1:6" ht="14.25" customHeight="1" x14ac:dyDescent="0.25">
      <c r="A2326" s="15" t="s">
        <v>2466</v>
      </c>
      <c r="B2326" s="16">
        <v>1211</v>
      </c>
      <c r="C2326" s="16">
        <v>141626</v>
      </c>
      <c r="D2326" s="31">
        <v>44774</v>
      </c>
      <c r="E2326" s="16">
        <v>116</v>
      </c>
      <c r="F2326" s="15" t="str">
        <f t="shared" si="36"/>
        <v>1211-141626-44774</v>
      </c>
    </row>
    <row r="2327" spans="1:6" ht="14.25" customHeight="1" x14ac:dyDescent="0.25">
      <c r="A2327" s="15" t="s">
        <v>2467</v>
      </c>
      <c r="B2327" s="16">
        <v>1211</v>
      </c>
      <c r="C2327" s="16">
        <v>141626</v>
      </c>
      <c r="D2327" s="31">
        <v>44781</v>
      </c>
      <c r="E2327" s="16">
        <v>124</v>
      </c>
      <c r="F2327" s="15" t="str">
        <f t="shared" si="36"/>
        <v>1211-141626-44781</v>
      </c>
    </row>
    <row r="2328" spans="1:6" ht="14.25" customHeight="1" x14ac:dyDescent="0.25">
      <c r="A2328" s="15" t="s">
        <v>2468</v>
      </c>
      <c r="B2328" s="16">
        <v>1211</v>
      </c>
      <c r="C2328" s="16">
        <v>141626</v>
      </c>
      <c r="D2328" s="31">
        <v>44788</v>
      </c>
      <c r="E2328" s="16">
        <v>102</v>
      </c>
      <c r="F2328" s="15" t="str">
        <f t="shared" si="36"/>
        <v>1211-141626-44788</v>
      </c>
    </row>
    <row r="2329" spans="1:6" ht="14.25" customHeight="1" x14ac:dyDescent="0.25">
      <c r="A2329" s="15" t="s">
        <v>2469</v>
      </c>
      <c r="B2329" s="16">
        <v>1211</v>
      </c>
      <c r="C2329" s="16">
        <v>141791</v>
      </c>
      <c r="D2329" s="31">
        <v>44739</v>
      </c>
      <c r="E2329" s="16">
        <v>6</v>
      </c>
      <c r="F2329" s="15" t="str">
        <f t="shared" si="36"/>
        <v>1211-141791-44739</v>
      </c>
    </row>
    <row r="2330" spans="1:6" ht="14.25" customHeight="1" x14ac:dyDescent="0.25">
      <c r="A2330" s="15" t="s">
        <v>2470</v>
      </c>
      <c r="B2330" s="16">
        <v>1211</v>
      </c>
      <c r="C2330" s="16">
        <v>141791</v>
      </c>
      <c r="D2330" s="31">
        <v>44746</v>
      </c>
      <c r="E2330" s="16">
        <v>6</v>
      </c>
      <c r="F2330" s="15" t="str">
        <f t="shared" si="36"/>
        <v>1211-141791-44746</v>
      </c>
    </row>
    <row r="2331" spans="1:6" ht="14.25" customHeight="1" x14ac:dyDescent="0.25">
      <c r="A2331" s="15" t="s">
        <v>2471</v>
      </c>
      <c r="B2331" s="16">
        <v>1211</v>
      </c>
      <c r="C2331" s="16">
        <v>141791</v>
      </c>
      <c r="D2331" s="31">
        <v>44753</v>
      </c>
      <c r="E2331" s="16">
        <v>6</v>
      </c>
      <c r="F2331" s="15" t="str">
        <f t="shared" si="36"/>
        <v>1211-141791-44753</v>
      </c>
    </row>
    <row r="2332" spans="1:6" ht="14.25" customHeight="1" x14ac:dyDescent="0.25">
      <c r="A2332" s="15" t="s">
        <v>2472</v>
      </c>
      <c r="B2332" s="16">
        <v>1211</v>
      </c>
      <c r="C2332" s="16">
        <v>141791</v>
      </c>
      <c r="D2332" s="31">
        <v>44760</v>
      </c>
      <c r="E2332" s="16">
        <v>6</v>
      </c>
      <c r="F2332" s="15" t="str">
        <f t="shared" si="36"/>
        <v>1211-141791-44760</v>
      </c>
    </row>
    <row r="2333" spans="1:6" ht="14.25" customHeight="1" x14ac:dyDescent="0.25">
      <c r="A2333" s="15" t="s">
        <v>2473</v>
      </c>
      <c r="B2333" s="16">
        <v>1211</v>
      </c>
      <c r="C2333" s="16">
        <v>141791</v>
      </c>
      <c r="D2333" s="31">
        <v>44767</v>
      </c>
      <c r="E2333" s="16">
        <v>6</v>
      </c>
      <c r="F2333" s="15" t="str">
        <f t="shared" si="36"/>
        <v>1211-141791-44767</v>
      </c>
    </row>
    <row r="2334" spans="1:6" ht="14.25" customHeight="1" x14ac:dyDescent="0.25">
      <c r="A2334" s="15" t="s">
        <v>2474</v>
      </c>
      <c r="B2334" s="16">
        <v>1211</v>
      </c>
      <c r="C2334" s="16">
        <v>141791</v>
      </c>
      <c r="D2334" s="31">
        <v>44774</v>
      </c>
      <c r="E2334" s="16">
        <v>6</v>
      </c>
      <c r="F2334" s="15" t="str">
        <f t="shared" si="36"/>
        <v>1211-141791-44774</v>
      </c>
    </row>
    <row r="2335" spans="1:6" ht="14.25" customHeight="1" x14ac:dyDescent="0.25">
      <c r="A2335" s="15" t="s">
        <v>2475</v>
      </c>
      <c r="B2335" s="16">
        <v>1211</v>
      </c>
      <c r="C2335" s="16">
        <v>141791</v>
      </c>
      <c r="D2335" s="31">
        <v>44781</v>
      </c>
      <c r="E2335" s="16">
        <v>6</v>
      </c>
      <c r="F2335" s="15" t="str">
        <f t="shared" si="36"/>
        <v>1211-141791-44781</v>
      </c>
    </row>
    <row r="2336" spans="1:6" ht="14.25" customHeight="1" x14ac:dyDescent="0.25">
      <c r="A2336" s="15" t="s">
        <v>2476</v>
      </c>
      <c r="B2336" s="16">
        <v>1211</v>
      </c>
      <c r="C2336" s="16">
        <v>141791</v>
      </c>
      <c r="D2336" s="31">
        <v>44788</v>
      </c>
      <c r="E2336" s="16">
        <v>6</v>
      </c>
      <c r="F2336" s="15" t="str">
        <f t="shared" si="36"/>
        <v>1211-141791-44788</v>
      </c>
    </row>
    <row r="2337" spans="1:6" ht="14.25" customHeight="1" x14ac:dyDescent="0.25">
      <c r="A2337" s="15" t="s">
        <v>2477</v>
      </c>
      <c r="B2337" s="16">
        <v>1211</v>
      </c>
      <c r="C2337" s="16">
        <v>141846</v>
      </c>
      <c r="D2337" s="31">
        <v>44739</v>
      </c>
      <c r="E2337" s="16">
        <v>8</v>
      </c>
      <c r="F2337" s="15" t="str">
        <f t="shared" si="36"/>
        <v>1211-141846-44739</v>
      </c>
    </row>
    <row r="2338" spans="1:6" ht="14.25" customHeight="1" x14ac:dyDescent="0.25">
      <c r="A2338" s="15" t="s">
        <v>2478</v>
      </c>
      <c r="B2338" s="16">
        <v>1211</v>
      </c>
      <c r="C2338" s="16">
        <v>141846</v>
      </c>
      <c r="D2338" s="31">
        <v>44746</v>
      </c>
      <c r="E2338" s="16">
        <v>10</v>
      </c>
      <c r="F2338" s="15" t="str">
        <f t="shared" si="36"/>
        <v>1211-141846-44746</v>
      </c>
    </row>
    <row r="2339" spans="1:6" ht="14.25" customHeight="1" x14ac:dyDescent="0.25">
      <c r="A2339" s="15" t="s">
        <v>2479</v>
      </c>
      <c r="B2339" s="16">
        <v>1211</v>
      </c>
      <c r="C2339" s="16">
        <v>141846</v>
      </c>
      <c r="D2339" s="31">
        <v>44753</v>
      </c>
      <c r="E2339" s="16">
        <v>9</v>
      </c>
      <c r="F2339" s="15" t="str">
        <f t="shared" si="36"/>
        <v>1211-141846-44753</v>
      </c>
    </row>
    <row r="2340" spans="1:6" ht="14.25" customHeight="1" x14ac:dyDescent="0.25">
      <c r="A2340" s="15" t="s">
        <v>2480</v>
      </c>
      <c r="B2340" s="16">
        <v>1211</v>
      </c>
      <c r="C2340" s="16">
        <v>141846</v>
      </c>
      <c r="D2340" s="31">
        <v>44760</v>
      </c>
      <c r="E2340" s="16">
        <v>8</v>
      </c>
      <c r="F2340" s="15" t="str">
        <f t="shared" si="36"/>
        <v>1211-141846-44760</v>
      </c>
    </row>
    <row r="2341" spans="1:6" ht="14.25" customHeight="1" x14ac:dyDescent="0.25">
      <c r="A2341" s="15" t="s">
        <v>2481</v>
      </c>
      <c r="B2341" s="16">
        <v>1211</v>
      </c>
      <c r="C2341" s="16">
        <v>141846</v>
      </c>
      <c r="D2341" s="31">
        <v>44767</v>
      </c>
      <c r="E2341" s="16">
        <v>6</v>
      </c>
      <c r="F2341" s="15" t="str">
        <f t="shared" si="36"/>
        <v>1211-141846-44767</v>
      </c>
    </row>
    <row r="2342" spans="1:6" ht="14.25" customHeight="1" x14ac:dyDescent="0.25">
      <c r="A2342" s="15" t="s">
        <v>2482</v>
      </c>
      <c r="B2342" s="16">
        <v>1211</v>
      </c>
      <c r="C2342" s="16">
        <v>141846</v>
      </c>
      <c r="D2342" s="31">
        <v>44774</v>
      </c>
      <c r="E2342" s="16">
        <v>5</v>
      </c>
      <c r="F2342" s="15" t="str">
        <f t="shared" si="36"/>
        <v>1211-141846-44774</v>
      </c>
    </row>
    <row r="2343" spans="1:6" ht="14.25" customHeight="1" x14ac:dyDescent="0.25">
      <c r="A2343" s="15" t="s">
        <v>2483</v>
      </c>
      <c r="B2343" s="16">
        <v>1211</v>
      </c>
      <c r="C2343" s="16">
        <v>141846</v>
      </c>
      <c r="D2343" s="31">
        <v>44781</v>
      </c>
      <c r="E2343" s="16">
        <v>5</v>
      </c>
      <c r="F2343" s="15" t="str">
        <f t="shared" si="36"/>
        <v>1211-141846-44781</v>
      </c>
    </row>
    <row r="2344" spans="1:6" ht="14.25" customHeight="1" x14ac:dyDescent="0.25">
      <c r="A2344" s="15" t="s">
        <v>2484</v>
      </c>
      <c r="B2344" s="16">
        <v>1211</v>
      </c>
      <c r="C2344" s="16">
        <v>141846</v>
      </c>
      <c r="D2344" s="31">
        <v>44788</v>
      </c>
      <c r="E2344" s="16">
        <v>8</v>
      </c>
      <c r="F2344" s="15" t="str">
        <f t="shared" si="36"/>
        <v>1211-141846-44788</v>
      </c>
    </row>
    <row r="2345" spans="1:6" ht="14.25" customHeight="1" x14ac:dyDescent="0.25">
      <c r="A2345" s="15" t="s">
        <v>2485</v>
      </c>
      <c r="B2345" s="16">
        <v>1211</v>
      </c>
      <c r="C2345" s="16">
        <v>141967</v>
      </c>
      <c r="D2345" s="31">
        <v>44739</v>
      </c>
      <c r="E2345" s="16">
        <v>1</v>
      </c>
      <c r="F2345" s="15" t="str">
        <f t="shared" si="36"/>
        <v>1211-141967-44739</v>
      </c>
    </row>
    <row r="2346" spans="1:6" ht="14.25" customHeight="1" x14ac:dyDescent="0.25">
      <c r="A2346" s="15" t="s">
        <v>2486</v>
      </c>
      <c r="B2346" s="16">
        <v>1211</v>
      </c>
      <c r="C2346" s="16">
        <v>141967</v>
      </c>
      <c r="D2346" s="31">
        <v>44746</v>
      </c>
      <c r="E2346" s="16">
        <v>12</v>
      </c>
      <c r="F2346" s="15" t="str">
        <f t="shared" si="36"/>
        <v>1211-141967-44746</v>
      </c>
    </row>
    <row r="2347" spans="1:6" ht="14.25" customHeight="1" x14ac:dyDescent="0.25">
      <c r="A2347" s="15" t="s">
        <v>2487</v>
      </c>
      <c r="B2347" s="16">
        <v>1211</v>
      </c>
      <c r="C2347" s="16">
        <v>141967</v>
      </c>
      <c r="D2347" s="31">
        <v>44753</v>
      </c>
      <c r="E2347" s="16">
        <v>19</v>
      </c>
      <c r="F2347" s="15" t="str">
        <f t="shared" si="36"/>
        <v>1211-141967-44753</v>
      </c>
    </row>
    <row r="2348" spans="1:6" ht="14.25" customHeight="1" x14ac:dyDescent="0.25">
      <c r="A2348" s="15" t="s">
        <v>2488</v>
      </c>
      <c r="B2348" s="16">
        <v>1211</v>
      </c>
      <c r="C2348" s="16">
        <v>141967</v>
      </c>
      <c r="D2348" s="31">
        <v>44760</v>
      </c>
      <c r="E2348" s="16">
        <v>16</v>
      </c>
      <c r="F2348" s="15" t="str">
        <f t="shared" si="36"/>
        <v>1211-141967-44760</v>
      </c>
    </row>
    <row r="2349" spans="1:6" ht="14.25" customHeight="1" x14ac:dyDescent="0.25">
      <c r="A2349" s="15" t="s">
        <v>2489</v>
      </c>
      <c r="B2349" s="16">
        <v>1211</v>
      </c>
      <c r="C2349" s="16">
        <v>141967</v>
      </c>
      <c r="D2349" s="31">
        <v>44767</v>
      </c>
      <c r="E2349" s="16">
        <v>1</v>
      </c>
      <c r="F2349" s="15" t="str">
        <f t="shared" si="36"/>
        <v>1211-141967-44767</v>
      </c>
    </row>
    <row r="2350" spans="1:6" ht="14.25" customHeight="1" x14ac:dyDescent="0.25">
      <c r="A2350" s="15" t="s">
        <v>2490</v>
      </c>
      <c r="B2350" s="16">
        <v>1211</v>
      </c>
      <c r="C2350" s="16">
        <v>141967</v>
      </c>
      <c r="D2350" s="31">
        <v>44774</v>
      </c>
      <c r="E2350" s="16">
        <v>19</v>
      </c>
      <c r="F2350" s="15" t="str">
        <f t="shared" si="36"/>
        <v>1211-141967-44774</v>
      </c>
    </row>
    <row r="2351" spans="1:6" ht="14.25" customHeight="1" x14ac:dyDescent="0.25">
      <c r="A2351" s="15" t="s">
        <v>2491</v>
      </c>
      <c r="B2351" s="16">
        <v>1211</v>
      </c>
      <c r="C2351" s="16">
        <v>141967</v>
      </c>
      <c r="D2351" s="31">
        <v>44781</v>
      </c>
      <c r="E2351" s="16">
        <v>12</v>
      </c>
      <c r="F2351" s="15" t="str">
        <f t="shared" si="36"/>
        <v>1211-141967-44781</v>
      </c>
    </row>
    <row r="2352" spans="1:6" ht="14.25" customHeight="1" x14ac:dyDescent="0.25">
      <c r="A2352" s="15" t="s">
        <v>2492</v>
      </c>
      <c r="B2352" s="16">
        <v>1211</v>
      </c>
      <c r="C2352" s="16">
        <v>141967</v>
      </c>
      <c r="D2352" s="31">
        <v>44788</v>
      </c>
      <c r="E2352" s="16">
        <v>12</v>
      </c>
      <c r="F2352" s="15" t="str">
        <f t="shared" si="36"/>
        <v>1211-141967-44788</v>
      </c>
    </row>
    <row r="2353" spans="1:6" ht="14.25" customHeight="1" x14ac:dyDescent="0.25">
      <c r="A2353" s="15" t="s">
        <v>2493</v>
      </c>
      <c r="B2353" s="16">
        <v>1211</v>
      </c>
      <c r="C2353" s="16">
        <v>142194</v>
      </c>
      <c r="D2353" s="31">
        <v>44739</v>
      </c>
      <c r="E2353" s="16">
        <v>6</v>
      </c>
      <c r="F2353" s="15" t="str">
        <f t="shared" si="36"/>
        <v>1211-142194-44739</v>
      </c>
    </row>
    <row r="2354" spans="1:6" ht="14.25" customHeight="1" x14ac:dyDescent="0.25">
      <c r="A2354" s="15" t="s">
        <v>2494</v>
      </c>
      <c r="B2354" s="16">
        <v>1211</v>
      </c>
      <c r="C2354" s="16">
        <v>142194</v>
      </c>
      <c r="D2354" s="31">
        <v>44746</v>
      </c>
      <c r="E2354" s="16">
        <v>6</v>
      </c>
      <c r="F2354" s="15" t="str">
        <f t="shared" si="36"/>
        <v>1211-142194-44746</v>
      </c>
    </row>
    <row r="2355" spans="1:6" ht="14.25" customHeight="1" x14ac:dyDescent="0.25">
      <c r="A2355" s="15" t="s">
        <v>2495</v>
      </c>
      <c r="B2355" s="16">
        <v>1211</v>
      </c>
      <c r="C2355" s="16">
        <v>142194</v>
      </c>
      <c r="D2355" s="31">
        <v>44753</v>
      </c>
      <c r="E2355" s="16">
        <v>6</v>
      </c>
      <c r="F2355" s="15" t="str">
        <f t="shared" si="36"/>
        <v>1211-142194-44753</v>
      </c>
    </row>
    <row r="2356" spans="1:6" ht="14.25" customHeight="1" x14ac:dyDescent="0.25">
      <c r="A2356" s="15" t="s">
        <v>2496</v>
      </c>
      <c r="B2356" s="16">
        <v>1211</v>
      </c>
      <c r="C2356" s="16">
        <v>142194</v>
      </c>
      <c r="D2356" s="31">
        <v>44760</v>
      </c>
      <c r="E2356" s="16">
        <v>6</v>
      </c>
      <c r="F2356" s="15" t="str">
        <f t="shared" si="36"/>
        <v>1211-142194-44760</v>
      </c>
    </row>
    <row r="2357" spans="1:6" ht="14.25" customHeight="1" x14ac:dyDescent="0.25">
      <c r="A2357" s="15" t="s">
        <v>2497</v>
      </c>
      <c r="B2357" s="16">
        <v>1211</v>
      </c>
      <c r="C2357" s="16">
        <v>142194</v>
      </c>
      <c r="D2357" s="31">
        <v>44767</v>
      </c>
      <c r="E2357" s="16">
        <v>6</v>
      </c>
      <c r="F2357" s="15" t="str">
        <f t="shared" si="36"/>
        <v>1211-142194-44767</v>
      </c>
    </row>
    <row r="2358" spans="1:6" ht="14.25" customHeight="1" x14ac:dyDescent="0.25">
      <c r="A2358" s="15" t="s">
        <v>2498</v>
      </c>
      <c r="B2358" s="16">
        <v>1211</v>
      </c>
      <c r="C2358" s="16">
        <v>142194</v>
      </c>
      <c r="D2358" s="31">
        <v>44774</v>
      </c>
      <c r="E2358" s="16">
        <v>6</v>
      </c>
      <c r="F2358" s="15" t="str">
        <f t="shared" si="36"/>
        <v>1211-142194-44774</v>
      </c>
    </row>
    <row r="2359" spans="1:6" ht="14.25" customHeight="1" x14ac:dyDescent="0.25">
      <c r="A2359" s="15" t="s">
        <v>2499</v>
      </c>
      <c r="B2359" s="16">
        <v>1211</v>
      </c>
      <c r="C2359" s="16">
        <v>142194</v>
      </c>
      <c r="D2359" s="31">
        <v>44781</v>
      </c>
      <c r="E2359" s="16">
        <v>6</v>
      </c>
      <c r="F2359" s="15" t="str">
        <f t="shared" si="36"/>
        <v>1211-142194-44781</v>
      </c>
    </row>
    <row r="2360" spans="1:6" ht="14.25" customHeight="1" x14ac:dyDescent="0.25">
      <c r="A2360" s="15" t="s">
        <v>2500</v>
      </c>
      <c r="B2360" s="16">
        <v>1211</v>
      </c>
      <c r="C2360" s="16">
        <v>142194</v>
      </c>
      <c r="D2360" s="31">
        <v>44788</v>
      </c>
      <c r="E2360" s="16">
        <v>6</v>
      </c>
      <c r="F2360" s="15" t="str">
        <f t="shared" si="36"/>
        <v>1211-142194-44788</v>
      </c>
    </row>
    <row r="2361" spans="1:6" ht="14.25" customHeight="1" x14ac:dyDescent="0.25">
      <c r="A2361" s="15" t="s">
        <v>2501</v>
      </c>
      <c r="B2361" s="16">
        <v>1211</v>
      </c>
      <c r="C2361" s="16">
        <v>149729</v>
      </c>
      <c r="D2361" s="31">
        <v>44739</v>
      </c>
      <c r="E2361" s="16">
        <v>14</v>
      </c>
      <c r="F2361" s="15" t="str">
        <f t="shared" si="36"/>
        <v>1211-149729-44739</v>
      </c>
    </row>
    <row r="2362" spans="1:6" ht="14.25" customHeight="1" x14ac:dyDescent="0.25">
      <c r="A2362" s="15" t="s">
        <v>2502</v>
      </c>
      <c r="B2362" s="16">
        <v>1211</v>
      </c>
      <c r="C2362" s="16">
        <v>149729</v>
      </c>
      <c r="D2362" s="31">
        <v>44746</v>
      </c>
      <c r="E2362" s="16">
        <v>31</v>
      </c>
      <c r="F2362" s="15" t="str">
        <f t="shared" si="36"/>
        <v>1211-149729-44746</v>
      </c>
    </row>
    <row r="2363" spans="1:6" ht="14.25" customHeight="1" x14ac:dyDescent="0.25">
      <c r="A2363" s="15" t="s">
        <v>2503</v>
      </c>
      <c r="B2363" s="16">
        <v>1211</v>
      </c>
      <c r="C2363" s="16">
        <v>149729</v>
      </c>
      <c r="D2363" s="31">
        <v>44753</v>
      </c>
      <c r="E2363" s="16">
        <v>30</v>
      </c>
      <c r="F2363" s="15" t="str">
        <f t="shared" si="36"/>
        <v>1211-149729-44753</v>
      </c>
    </row>
    <row r="2364" spans="1:6" ht="14.25" customHeight="1" x14ac:dyDescent="0.25">
      <c r="A2364" s="15" t="s">
        <v>2504</v>
      </c>
      <c r="B2364" s="16">
        <v>1211</v>
      </c>
      <c r="C2364" s="16">
        <v>149729</v>
      </c>
      <c r="D2364" s="31">
        <v>44760</v>
      </c>
      <c r="E2364" s="16">
        <v>33</v>
      </c>
      <c r="F2364" s="15" t="str">
        <f t="shared" si="36"/>
        <v>1211-149729-44760</v>
      </c>
    </row>
    <row r="2365" spans="1:6" ht="14.25" customHeight="1" x14ac:dyDescent="0.25">
      <c r="A2365" s="15" t="s">
        <v>2505</v>
      </c>
      <c r="B2365" s="16">
        <v>1211</v>
      </c>
      <c r="C2365" s="16">
        <v>149729</v>
      </c>
      <c r="D2365" s="31">
        <v>44767</v>
      </c>
      <c r="E2365" s="16">
        <v>16</v>
      </c>
      <c r="F2365" s="15" t="str">
        <f t="shared" si="36"/>
        <v>1211-149729-44767</v>
      </c>
    </row>
    <row r="2366" spans="1:6" ht="14.25" customHeight="1" x14ac:dyDescent="0.25">
      <c r="A2366" s="15" t="s">
        <v>2506</v>
      </c>
      <c r="B2366" s="16">
        <v>1211</v>
      </c>
      <c r="C2366" s="16">
        <v>149729</v>
      </c>
      <c r="D2366" s="31">
        <v>44774</v>
      </c>
      <c r="E2366" s="16">
        <v>17</v>
      </c>
      <c r="F2366" s="15" t="str">
        <f t="shared" si="36"/>
        <v>1211-149729-44774</v>
      </c>
    </row>
    <row r="2367" spans="1:6" ht="14.25" customHeight="1" x14ac:dyDescent="0.25">
      <c r="A2367" s="15" t="s">
        <v>2507</v>
      </c>
      <c r="B2367" s="16">
        <v>1211</v>
      </c>
      <c r="C2367" s="16">
        <v>149729</v>
      </c>
      <c r="D2367" s="31">
        <v>44781</v>
      </c>
      <c r="E2367" s="16">
        <v>33</v>
      </c>
      <c r="F2367" s="15" t="str">
        <f t="shared" si="36"/>
        <v>1211-149729-44781</v>
      </c>
    </row>
    <row r="2368" spans="1:6" ht="14.25" customHeight="1" x14ac:dyDescent="0.25">
      <c r="A2368" s="15" t="s">
        <v>2508</v>
      </c>
      <c r="B2368" s="16">
        <v>1211</v>
      </c>
      <c r="C2368" s="16">
        <v>149729</v>
      </c>
      <c r="D2368" s="31">
        <v>44788</v>
      </c>
      <c r="E2368" s="16">
        <v>33</v>
      </c>
      <c r="F2368" s="15" t="str">
        <f t="shared" si="36"/>
        <v>1211-149729-44788</v>
      </c>
    </row>
    <row r="2369" spans="1:6" ht="14.25" customHeight="1" x14ac:dyDescent="0.25">
      <c r="A2369" s="15" t="s">
        <v>2509</v>
      </c>
      <c r="B2369" s="16">
        <v>1211</v>
      </c>
      <c r="C2369" s="16">
        <v>149779</v>
      </c>
      <c r="D2369" s="31">
        <v>44739</v>
      </c>
      <c r="E2369" s="16">
        <v>15</v>
      </c>
      <c r="F2369" s="15" t="str">
        <f t="shared" si="36"/>
        <v>1211-149779-44739</v>
      </c>
    </row>
    <row r="2370" spans="1:6" ht="14.25" customHeight="1" x14ac:dyDescent="0.25">
      <c r="A2370" s="15" t="s">
        <v>2510</v>
      </c>
      <c r="B2370" s="16">
        <v>1211</v>
      </c>
      <c r="C2370" s="16">
        <v>149779</v>
      </c>
      <c r="D2370" s="31">
        <v>44746</v>
      </c>
      <c r="E2370" s="16">
        <v>58</v>
      </c>
      <c r="F2370" s="15" t="str">
        <f t="shared" si="36"/>
        <v>1211-149779-44746</v>
      </c>
    </row>
    <row r="2371" spans="1:6" ht="14.25" customHeight="1" x14ac:dyDescent="0.25">
      <c r="A2371" s="15" t="s">
        <v>2511</v>
      </c>
      <c r="B2371" s="16">
        <v>1211</v>
      </c>
      <c r="C2371" s="16">
        <v>149779</v>
      </c>
      <c r="D2371" s="31">
        <v>44753</v>
      </c>
      <c r="E2371" s="16">
        <v>15</v>
      </c>
      <c r="F2371" s="15" t="str">
        <f t="shared" ref="F2371:F2434" si="37">B2371&amp;"-"&amp;C2371&amp;"-"&amp;INT(D2371)</f>
        <v>1211-149779-44753</v>
      </c>
    </row>
    <row r="2372" spans="1:6" ht="14.25" customHeight="1" x14ac:dyDescent="0.25">
      <c r="A2372" s="15" t="s">
        <v>2512</v>
      </c>
      <c r="B2372" s="16">
        <v>1211</v>
      </c>
      <c r="C2372" s="16">
        <v>149779</v>
      </c>
      <c r="D2372" s="31">
        <v>44760</v>
      </c>
      <c r="E2372" s="16">
        <v>24</v>
      </c>
      <c r="F2372" s="15" t="str">
        <f t="shared" si="37"/>
        <v>1211-149779-44760</v>
      </c>
    </row>
    <row r="2373" spans="1:6" ht="14.25" customHeight="1" x14ac:dyDescent="0.25">
      <c r="A2373" s="15" t="s">
        <v>2513</v>
      </c>
      <c r="B2373" s="16">
        <v>1211</v>
      </c>
      <c r="C2373" s="16">
        <v>149779</v>
      </c>
      <c r="D2373" s="31">
        <v>44767</v>
      </c>
      <c r="E2373" s="16">
        <v>50</v>
      </c>
      <c r="F2373" s="15" t="str">
        <f t="shared" si="37"/>
        <v>1211-149779-44767</v>
      </c>
    </row>
    <row r="2374" spans="1:6" ht="14.25" customHeight="1" x14ac:dyDescent="0.25">
      <c r="A2374" s="15" t="s">
        <v>2514</v>
      </c>
      <c r="B2374" s="16">
        <v>1211</v>
      </c>
      <c r="C2374" s="16">
        <v>149779</v>
      </c>
      <c r="D2374" s="31">
        <v>44774</v>
      </c>
      <c r="E2374" s="16">
        <v>56</v>
      </c>
      <c r="F2374" s="15" t="str">
        <f t="shared" si="37"/>
        <v>1211-149779-44774</v>
      </c>
    </row>
    <row r="2375" spans="1:6" ht="14.25" customHeight="1" x14ac:dyDescent="0.25">
      <c r="A2375" s="15" t="s">
        <v>2515</v>
      </c>
      <c r="B2375" s="16">
        <v>1211</v>
      </c>
      <c r="C2375" s="16">
        <v>149779</v>
      </c>
      <c r="D2375" s="31">
        <v>44781</v>
      </c>
      <c r="E2375" s="16">
        <v>54</v>
      </c>
      <c r="F2375" s="15" t="str">
        <f t="shared" si="37"/>
        <v>1211-149779-44781</v>
      </c>
    </row>
    <row r="2376" spans="1:6" ht="14.25" customHeight="1" x14ac:dyDescent="0.25">
      <c r="A2376" s="15" t="s">
        <v>2516</v>
      </c>
      <c r="B2376" s="16">
        <v>1211</v>
      </c>
      <c r="C2376" s="16">
        <v>149779</v>
      </c>
      <c r="D2376" s="31">
        <v>44788</v>
      </c>
      <c r="E2376" s="16">
        <v>48</v>
      </c>
      <c r="F2376" s="15" t="str">
        <f t="shared" si="37"/>
        <v>1211-149779-44788</v>
      </c>
    </row>
    <row r="2377" spans="1:6" ht="14.25" customHeight="1" x14ac:dyDescent="0.25">
      <c r="A2377" s="15" t="s">
        <v>2517</v>
      </c>
      <c r="B2377" s="16">
        <v>1211</v>
      </c>
      <c r="C2377" s="16">
        <v>189933</v>
      </c>
      <c r="D2377" s="31">
        <v>44739</v>
      </c>
      <c r="E2377" s="16">
        <v>41</v>
      </c>
      <c r="F2377" s="15" t="str">
        <f t="shared" si="37"/>
        <v>1211-189933-44739</v>
      </c>
    </row>
    <row r="2378" spans="1:6" ht="14.25" customHeight="1" x14ac:dyDescent="0.25">
      <c r="A2378" s="15" t="s">
        <v>2518</v>
      </c>
      <c r="B2378" s="16">
        <v>1211</v>
      </c>
      <c r="C2378" s="16">
        <v>189933</v>
      </c>
      <c r="D2378" s="31">
        <v>44746</v>
      </c>
      <c r="E2378" s="16">
        <v>40</v>
      </c>
      <c r="F2378" s="15" t="str">
        <f t="shared" si="37"/>
        <v>1211-189933-44746</v>
      </c>
    </row>
    <row r="2379" spans="1:6" ht="14.25" customHeight="1" x14ac:dyDescent="0.25">
      <c r="A2379" s="15" t="s">
        <v>2519</v>
      </c>
      <c r="B2379" s="16">
        <v>1211</v>
      </c>
      <c r="C2379" s="16">
        <v>189933</v>
      </c>
      <c r="D2379" s="31">
        <v>44753</v>
      </c>
      <c r="E2379" s="16">
        <v>20</v>
      </c>
      <c r="F2379" s="15" t="str">
        <f t="shared" si="37"/>
        <v>1211-189933-44753</v>
      </c>
    </row>
    <row r="2380" spans="1:6" ht="14.25" customHeight="1" x14ac:dyDescent="0.25">
      <c r="A2380" s="15" t="s">
        <v>2520</v>
      </c>
      <c r="B2380" s="16">
        <v>1211</v>
      </c>
      <c r="C2380" s="16">
        <v>189933</v>
      </c>
      <c r="D2380" s="31">
        <v>44760</v>
      </c>
      <c r="E2380" s="16">
        <v>54</v>
      </c>
      <c r="F2380" s="15" t="str">
        <f t="shared" si="37"/>
        <v>1211-189933-44760</v>
      </c>
    </row>
    <row r="2381" spans="1:6" ht="14.25" customHeight="1" x14ac:dyDescent="0.25">
      <c r="A2381" s="15" t="s">
        <v>2521</v>
      </c>
      <c r="B2381" s="16">
        <v>1211</v>
      </c>
      <c r="C2381" s="16">
        <v>189933</v>
      </c>
      <c r="D2381" s="31">
        <v>44767</v>
      </c>
      <c r="E2381" s="16">
        <v>52</v>
      </c>
      <c r="F2381" s="15" t="str">
        <f t="shared" si="37"/>
        <v>1211-189933-44767</v>
      </c>
    </row>
    <row r="2382" spans="1:6" ht="14.25" customHeight="1" x14ac:dyDescent="0.25">
      <c r="A2382" s="15" t="s">
        <v>2522</v>
      </c>
      <c r="B2382" s="16">
        <v>1211</v>
      </c>
      <c r="C2382" s="16">
        <v>189933</v>
      </c>
      <c r="D2382" s="31">
        <v>44774</v>
      </c>
      <c r="E2382" s="16">
        <v>55</v>
      </c>
      <c r="F2382" s="15" t="str">
        <f t="shared" si="37"/>
        <v>1211-189933-44774</v>
      </c>
    </row>
    <row r="2383" spans="1:6" ht="14.25" customHeight="1" x14ac:dyDescent="0.25">
      <c r="A2383" s="15" t="s">
        <v>2523</v>
      </c>
      <c r="B2383" s="16">
        <v>1211</v>
      </c>
      <c r="C2383" s="16">
        <v>189933</v>
      </c>
      <c r="D2383" s="31">
        <v>44781</v>
      </c>
      <c r="E2383" s="16">
        <v>42</v>
      </c>
      <c r="F2383" s="15" t="str">
        <f t="shared" si="37"/>
        <v>1211-189933-44781</v>
      </c>
    </row>
    <row r="2384" spans="1:6" ht="14.25" customHeight="1" x14ac:dyDescent="0.25">
      <c r="A2384" s="15" t="s">
        <v>2524</v>
      </c>
      <c r="B2384" s="16">
        <v>1211</v>
      </c>
      <c r="C2384" s="16">
        <v>189933</v>
      </c>
      <c r="D2384" s="31">
        <v>44788</v>
      </c>
      <c r="E2384" s="16">
        <v>17</v>
      </c>
      <c r="F2384" s="15" t="str">
        <f t="shared" si="37"/>
        <v>1211-189933-44788</v>
      </c>
    </row>
    <row r="2385" spans="1:6" ht="14.25" customHeight="1" x14ac:dyDescent="0.25">
      <c r="A2385" s="15" t="s">
        <v>2525</v>
      </c>
      <c r="B2385" s="16">
        <v>1211</v>
      </c>
      <c r="C2385" s="16">
        <v>202577</v>
      </c>
      <c r="D2385" s="31">
        <v>44739</v>
      </c>
      <c r="E2385" s="16">
        <v>15</v>
      </c>
      <c r="F2385" s="15" t="str">
        <f t="shared" si="37"/>
        <v>1211-202577-44739</v>
      </c>
    </row>
    <row r="2386" spans="1:6" ht="14.25" customHeight="1" x14ac:dyDescent="0.25">
      <c r="A2386" s="15" t="s">
        <v>2526</v>
      </c>
      <c r="B2386" s="16">
        <v>1211</v>
      </c>
      <c r="C2386" s="16">
        <v>202577</v>
      </c>
      <c r="D2386" s="31">
        <v>44746</v>
      </c>
      <c r="E2386" s="16">
        <v>15</v>
      </c>
      <c r="F2386" s="15" t="str">
        <f t="shared" si="37"/>
        <v>1211-202577-44746</v>
      </c>
    </row>
    <row r="2387" spans="1:6" ht="14.25" customHeight="1" x14ac:dyDescent="0.25">
      <c r="A2387" s="15" t="s">
        <v>2527</v>
      </c>
      <c r="B2387" s="16">
        <v>1211</v>
      </c>
      <c r="C2387" s="16">
        <v>202577</v>
      </c>
      <c r="D2387" s="31">
        <v>44753</v>
      </c>
      <c r="E2387" s="16">
        <v>15</v>
      </c>
      <c r="F2387" s="15" t="str">
        <f t="shared" si="37"/>
        <v>1211-202577-44753</v>
      </c>
    </row>
    <row r="2388" spans="1:6" ht="14.25" customHeight="1" x14ac:dyDescent="0.25">
      <c r="A2388" s="15" t="s">
        <v>2528</v>
      </c>
      <c r="B2388" s="16">
        <v>1211</v>
      </c>
      <c r="C2388" s="16">
        <v>202577</v>
      </c>
      <c r="D2388" s="31">
        <v>44760</v>
      </c>
      <c r="E2388" s="16">
        <v>15</v>
      </c>
      <c r="F2388" s="15" t="str">
        <f t="shared" si="37"/>
        <v>1211-202577-44760</v>
      </c>
    </row>
    <row r="2389" spans="1:6" ht="14.25" customHeight="1" x14ac:dyDescent="0.25">
      <c r="A2389" s="15" t="s">
        <v>2529</v>
      </c>
      <c r="B2389" s="16">
        <v>1211</v>
      </c>
      <c r="C2389" s="16">
        <v>202577</v>
      </c>
      <c r="D2389" s="31">
        <v>44767</v>
      </c>
      <c r="E2389" s="16">
        <v>15</v>
      </c>
      <c r="F2389" s="15" t="str">
        <f t="shared" si="37"/>
        <v>1211-202577-44767</v>
      </c>
    </row>
    <row r="2390" spans="1:6" ht="14.25" customHeight="1" x14ac:dyDescent="0.25">
      <c r="A2390" s="15" t="s">
        <v>2530</v>
      </c>
      <c r="B2390" s="16">
        <v>1211</v>
      </c>
      <c r="C2390" s="16">
        <v>202577</v>
      </c>
      <c r="D2390" s="31">
        <v>44774</v>
      </c>
      <c r="E2390" s="16">
        <v>15</v>
      </c>
      <c r="F2390" s="15" t="str">
        <f t="shared" si="37"/>
        <v>1211-202577-44774</v>
      </c>
    </row>
    <row r="2391" spans="1:6" ht="14.25" customHeight="1" x14ac:dyDescent="0.25">
      <c r="A2391" s="15" t="s">
        <v>2531</v>
      </c>
      <c r="B2391" s="16">
        <v>1211</v>
      </c>
      <c r="C2391" s="16">
        <v>202577</v>
      </c>
      <c r="D2391" s="31">
        <v>44781</v>
      </c>
      <c r="E2391" s="16">
        <v>15</v>
      </c>
      <c r="F2391" s="15" t="str">
        <f t="shared" si="37"/>
        <v>1211-202577-44781</v>
      </c>
    </row>
    <row r="2392" spans="1:6" ht="14.25" customHeight="1" x14ac:dyDescent="0.25">
      <c r="A2392" s="15" t="s">
        <v>2532</v>
      </c>
      <c r="B2392" s="16">
        <v>1211</v>
      </c>
      <c r="C2392" s="16">
        <v>202577</v>
      </c>
      <c r="D2392" s="31">
        <v>44788</v>
      </c>
      <c r="E2392" s="16">
        <v>15</v>
      </c>
      <c r="F2392" s="15" t="str">
        <f t="shared" si="37"/>
        <v>1211-202577-44788</v>
      </c>
    </row>
    <row r="2393" spans="1:6" ht="14.25" customHeight="1" x14ac:dyDescent="0.25">
      <c r="A2393" s="15" t="s">
        <v>2533</v>
      </c>
      <c r="B2393" s="16">
        <v>1211</v>
      </c>
      <c r="C2393" s="16">
        <v>234334</v>
      </c>
      <c r="D2393" s="31">
        <v>44739</v>
      </c>
      <c r="E2393" s="16">
        <v>24</v>
      </c>
      <c r="F2393" s="15" t="str">
        <f t="shared" si="37"/>
        <v>1211-234334-44739</v>
      </c>
    </row>
    <row r="2394" spans="1:6" ht="14.25" customHeight="1" x14ac:dyDescent="0.25">
      <c r="A2394" s="15" t="s">
        <v>2534</v>
      </c>
      <c r="B2394" s="16">
        <v>1211</v>
      </c>
      <c r="C2394" s="16">
        <v>234334</v>
      </c>
      <c r="D2394" s="31">
        <v>44746</v>
      </c>
      <c r="E2394" s="16">
        <v>30</v>
      </c>
      <c r="F2394" s="15" t="str">
        <f t="shared" si="37"/>
        <v>1211-234334-44746</v>
      </c>
    </row>
    <row r="2395" spans="1:6" ht="14.25" customHeight="1" x14ac:dyDescent="0.25">
      <c r="A2395" s="15" t="s">
        <v>2535</v>
      </c>
      <c r="B2395" s="16">
        <v>1211</v>
      </c>
      <c r="C2395" s="16">
        <v>234334</v>
      </c>
      <c r="D2395" s="31">
        <v>44753</v>
      </c>
      <c r="E2395" s="16">
        <v>30</v>
      </c>
      <c r="F2395" s="15" t="str">
        <f t="shared" si="37"/>
        <v>1211-234334-44753</v>
      </c>
    </row>
    <row r="2396" spans="1:6" ht="14.25" customHeight="1" x14ac:dyDescent="0.25">
      <c r="A2396" s="15" t="s">
        <v>2536</v>
      </c>
      <c r="B2396" s="16">
        <v>1211</v>
      </c>
      <c r="C2396" s="16">
        <v>234334</v>
      </c>
      <c r="D2396" s="31">
        <v>44760</v>
      </c>
      <c r="E2396" s="16">
        <v>4</v>
      </c>
      <c r="F2396" s="15" t="str">
        <f t="shared" si="37"/>
        <v>1211-234334-44760</v>
      </c>
    </row>
    <row r="2397" spans="1:6" ht="14.25" customHeight="1" x14ac:dyDescent="0.25">
      <c r="A2397" s="15" t="s">
        <v>2537</v>
      </c>
      <c r="B2397" s="16">
        <v>1211</v>
      </c>
      <c r="C2397" s="16">
        <v>234334</v>
      </c>
      <c r="D2397" s="31">
        <v>44767</v>
      </c>
      <c r="E2397" s="16">
        <v>10</v>
      </c>
      <c r="F2397" s="15" t="str">
        <f t="shared" si="37"/>
        <v>1211-234334-44767</v>
      </c>
    </row>
    <row r="2398" spans="1:6" ht="14.25" customHeight="1" x14ac:dyDescent="0.25">
      <c r="A2398" s="15" t="s">
        <v>2538</v>
      </c>
      <c r="B2398" s="16">
        <v>1211</v>
      </c>
      <c r="C2398" s="16">
        <v>234334</v>
      </c>
      <c r="D2398" s="31">
        <v>44774</v>
      </c>
      <c r="E2398" s="16">
        <v>22</v>
      </c>
      <c r="F2398" s="15" t="str">
        <f t="shared" si="37"/>
        <v>1211-234334-44774</v>
      </c>
    </row>
    <row r="2399" spans="1:6" ht="14.25" customHeight="1" x14ac:dyDescent="0.25">
      <c r="A2399" s="15" t="s">
        <v>2539</v>
      </c>
      <c r="B2399" s="16">
        <v>1211</v>
      </c>
      <c r="C2399" s="16">
        <v>234334</v>
      </c>
      <c r="D2399" s="31">
        <v>44781</v>
      </c>
      <c r="E2399" s="16">
        <v>21</v>
      </c>
      <c r="F2399" s="15" t="str">
        <f t="shared" si="37"/>
        <v>1211-234334-44781</v>
      </c>
    </row>
    <row r="2400" spans="1:6" ht="14.25" customHeight="1" x14ac:dyDescent="0.25">
      <c r="A2400" s="15" t="s">
        <v>2540</v>
      </c>
      <c r="B2400" s="16">
        <v>1211</v>
      </c>
      <c r="C2400" s="16">
        <v>234334</v>
      </c>
      <c r="D2400" s="31">
        <v>44788</v>
      </c>
      <c r="E2400" s="16">
        <v>15</v>
      </c>
      <c r="F2400" s="15" t="str">
        <f t="shared" si="37"/>
        <v>1211-234334-44788</v>
      </c>
    </row>
    <row r="2401" spans="1:6" ht="14.25" customHeight="1" x14ac:dyDescent="0.25">
      <c r="A2401" s="15" t="s">
        <v>2541</v>
      </c>
      <c r="B2401" s="16">
        <v>1211</v>
      </c>
      <c r="C2401" s="16">
        <v>249444</v>
      </c>
      <c r="D2401" s="31">
        <v>44739</v>
      </c>
      <c r="E2401" s="16">
        <v>53</v>
      </c>
      <c r="F2401" s="15" t="str">
        <f t="shared" si="37"/>
        <v>1211-249444-44739</v>
      </c>
    </row>
    <row r="2402" spans="1:6" ht="14.25" customHeight="1" x14ac:dyDescent="0.25">
      <c r="A2402" s="15" t="s">
        <v>2542</v>
      </c>
      <c r="B2402" s="16">
        <v>1211</v>
      </c>
      <c r="C2402" s="16">
        <v>249444</v>
      </c>
      <c r="D2402" s="31">
        <v>44746</v>
      </c>
      <c r="E2402" s="16">
        <v>69</v>
      </c>
      <c r="F2402" s="15" t="str">
        <f t="shared" si="37"/>
        <v>1211-249444-44746</v>
      </c>
    </row>
    <row r="2403" spans="1:6" ht="14.25" customHeight="1" x14ac:dyDescent="0.25">
      <c r="A2403" s="15" t="s">
        <v>2543</v>
      </c>
      <c r="B2403" s="16">
        <v>1211</v>
      </c>
      <c r="C2403" s="16">
        <v>249444</v>
      </c>
      <c r="D2403" s="31">
        <v>44753</v>
      </c>
      <c r="E2403" s="16">
        <v>56</v>
      </c>
      <c r="F2403" s="15" t="str">
        <f t="shared" si="37"/>
        <v>1211-249444-44753</v>
      </c>
    </row>
    <row r="2404" spans="1:6" ht="14.25" customHeight="1" x14ac:dyDescent="0.25">
      <c r="A2404" s="15" t="s">
        <v>2544</v>
      </c>
      <c r="B2404" s="16">
        <v>1211</v>
      </c>
      <c r="C2404" s="16">
        <v>249444</v>
      </c>
      <c r="D2404" s="31">
        <v>44760</v>
      </c>
      <c r="E2404" s="16">
        <v>66</v>
      </c>
      <c r="F2404" s="15" t="str">
        <f t="shared" si="37"/>
        <v>1211-249444-44760</v>
      </c>
    </row>
    <row r="2405" spans="1:6" ht="14.25" customHeight="1" x14ac:dyDescent="0.25">
      <c r="A2405" s="15" t="s">
        <v>2545</v>
      </c>
      <c r="B2405" s="16">
        <v>1211</v>
      </c>
      <c r="C2405" s="16">
        <v>249444</v>
      </c>
      <c r="D2405" s="31">
        <v>44767</v>
      </c>
      <c r="E2405" s="16">
        <v>30</v>
      </c>
      <c r="F2405" s="15" t="str">
        <f t="shared" si="37"/>
        <v>1211-249444-44767</v>
      </c>
    </row>
    <row r="2406" spans="1:6" ht="14.25" customHeight="1" x14ac:dyDescent="0.25">
      <c r="A2406" s="15" t="s">
        <v>2546</v>
      </c>
      <c r="B2406" s="16">
        <v>1211</v>
      </c>
      <c r="C2406" s="16">
        <v>249444</v>
      </c>
      <c r="D2406" s="31">
        <v>44774</v>
      </c>
      <c r="E2406" s="16">
        <v>33</v>
      </c>
      <c r="F2406" s="15" t="str">
        <f t="shared" si="37"/>
        <v>1211-249444-44774</v>
      </c>
    </row>
    <row r="2407" spans="1:6" ht="14.25" customHeight="1" x14ac:dyDescent="0.25">
      <c r="A2407" s="15" t="s">
        <v>2547</v>
      </c>
      <c r="B2407" s="16">
        <v>1211</v>
      </c>
      <c r="C2407" s="16">
        <v>249444</v>
      </c>
      <c r="D2407" s="31">
        <v>44781</v>
      </c>
      <c r="E2407" s="16">
        <v>54</v>
      </c>
      <c r="F2407" s="15" t="str">
        <f t="shared" si="37"/>
        <v>1211-249444-44781</v>
      </c>
    </row>
    <row r="2408" spans="1:6" ht="14.25" customHeight="1" x14ac:dyDescent="0.25">
      <c r="A2408" s="15" t="s">
        <v>2548</v>
      </c>
      <c r="B2408" s="16">
        <v>1211</v>
      </c>
      <c r="C2408" s="16">
        <v>249444</v>
      </c>
      <c r="D2408" s="31">
        <v>44788</v>
      </c>
      <c r="E2408" s="16">
        <v>64</v>
      </c>
      <c r="F2408" s="15" t="str">
        <f t="shared" si="37"/>
        <v>1211-249444-44788</v>
      </c>
    </row>
    <row r="2409" spans="1:6" ht="14.25" customHeight="1" x14ac:dyDescent="0.25">
      <c r="A2409" s="15" t="s">
        <v>2549</v>
      </c>
      <c r="B2409" s="16">
        <v>1211</v>
      </c>
      <c r="C2409" s="16">
        <v>249795</v>
      </c>
      <c r="D2409" s="31">
        <v>44739</v>
      </c>
      <c r="E2409" s="16">
        <v>57</v>
      </c>
      <c r="F2409" s="15" t="str">
        <f t="shared" si="37"/>
        <v>1211-249795-44739</v>
      </c>
    </row>
    <row r="2410" spans="1:6" ht="14.25" customHeight="1" x14ac:dyDescent="0.25">
      <c r="A2410" s="15" t="s">
        <v>2550</v>
      </c>
      <c r="B2410" s="16">
        <v>1211</v>
      </c>
      <c r="C2410" s="16">
        <v>249795</v>
      </c>
      <c r="D2410" s="31">
        <v>44746</v>
      </c>
      <c r="E2410" s="16">
        <v>42</v>
      </c>
      <c r="F2410" s="15" t="str">
        <f t="shared" si="37"/>
        <v>1211-249795-44746</v>
      </c>
    </row>
    <row r="2411" spans="1:6" ht="14.25" customHeight="1" x14ac:dyDescent="0.25">
      <c r="A2411" s="15" t="s">
        <v>2551</v>
      </c>
      <c r="B2411" s="16">
        <v>1211</v>
      </c>
      <c r="C2411" s="16">
        <v>249795</v>
      </c>
      <c r="D2411" s="31">
        <v>44753</v>
      </c>
      <c r="E2411" s="16">
        <v>51</v>
      </c>
      <c r="F2411" s="15" t="str">
        <f t="shared" si="37"/>
        <v>1211-249795-44753</v>
      </c>
    </row>
    <row r="2412" spans="1:6" ht="14.25" customHeight="1" x14ac:dyDescent="0.25">
      <c r="A2412" s="15" t="s">
        <v>2552</v>
      </c>
      <c r="B2412" s="16">
        <v>1211</v>
      </c>
      <c r="C2412" s="16">
        <v>249795</v>
      </c>
      <c r="D2412" s="31">
        <v>44760</v>
      </c>
      <c r="E2412" s="16">
        <v>24</v>
      </c>
      <c r="F2412" s="15" t="str">
        <f t="shared" si="37"/>
        <v>1211-249795-44760</v>
      </c>
    </row>
    <row r="2413" spans="1:6" ht="14.25" customHeight="1" x14ac:dyDescent="0.25">
      <c r="A2413" s="15" t="s">
        <v>2553</v>
      </c>
      <c r="B2413" s="16">
        <v>1211</v>
      </c>
      <c r="C2413" s="16">
        <v>249795</v>
      </c>
      <c r="D2413" s="31">
        <v>44767</v>
      </c>
      <c r="E2413" s="16">
        <v>39</v>
      </c>
      <c r="F2413" s="15" t="str">
        <f t="shared" si="37"/>
        <v>1211-249795-44767</v>
      </c>
    </row>
    <row r="2414" spans="1:6" ht="14.25" customHeight="1" x14ac:dyDescent="0.25">
      <c r="A2414" s="15" t="s">
        <v>2554</v>
      </c>
      <c r="B2414" s="16">
        <v>1211</v>
      </c>
      <c r="C2414" s="16">
        <v>249795</v>
      </c>
      <c r="D2414" s="31">
        <v>44774</v>
      </c>
      <c r="E2414" s="16">
        <v>59</v>
      </c>
      <c r="F2414" s="15" t="str">
        <f t="shared" si="37"/>
        <v>1211-249795-44774</v>
      </c>
    </row>
    <row r="2415" spans="1:6" ht="14.25" customHeight="1" x14ac:dyDescent="0.25">
      <c r="A2415" s="15" t="s">
        <v>2555</v>
      </c>
      <c r="B2415" s="16">
        <v>1211</v>
      </c>
      <c r="C2415" s="16">
        <v>249795</v>
      </c>
      <c r="D2415" s="31">
        <v>44781</v>
      </c>
      <c r="E2415" s="16">
        <v>51</v>
      </c>
      <c r="F2415" s="15" t="str">
        <f t="shared" si="37"/>
        <v>1211-249795-44781</v>
      </c>
    </row>
    <row r="2416" spans="1:6" ht="14.25" customHeight="1" x14ac:dyDescent="0.25">
      <c r="A2416" s="15" t="s">
        <v>2556</v>
      </c>
      <c r="B2416" s="16">
        <v>1211</v>
      </c>
      <c r="C2416" s="16">
        <v>249795</v>
      </c>
      <c r="D2416" s="31">
        <v>44788</v>
      </c>
      <c r="E2416" s="16">
        <v>50</v>
      </c>
      <c r="F2416" s="15" t="str">
        <f t="shared" si="37"/>
        <v>1211-249795-44788</v>
      </c>
    </row>
    <row r="2417" spans="1:6" ht="14.25" customHeight="1" x14ac:dyDescent="0.25">
      <c r="A2417" s="15" t="s">
        <v>2557</v>
      </c>
      <c r="B2417" s="16">
        <v>1211</v>
      </c>
      <c r="C2417" s="16">
        <v>250979</v>
      </c>
      <c r="D2417" s="31">
        <v>44739</v>
      </c>
      <c r="E2417" s="16">
        <v>6</v>
      </c>
      <c r="F2417" s="15" t="str">
        <f t="shared" si="37"/>
        <v>1211-250979-44739</v>
      </c>
    </row>
    <row r="2418" spans="1:6" ht="14.25" customHeight="1" x14ac:dyDescent="0.25">
      <c r="A2418" s="15" t="s">
        <v>2558</v>
      </c>
      <c r="B2418" s="16">
        <v>1211</v>
      </c>
      <c r="C2418" s="16">
        <v>250979</v>
      </c>
      <c r="D2418" s="31">
        <v>44746</v>
      </c>
      <c r="E2418" s="16">
        <v>6</v>
      </c>
      <c r="F2418" s="15" t="str">
        <f t="shared" si="37"/>
        <v>1211-250979-44746</v>
      </c>
    </row>
    <row r="2419" spans="1:6" ht="14.25" customHeight="1" x14ac:dyDescent="0.25">
      <c r="A2419" s="15" t="s">
        <v>2559</v>
      </c>
      <c r="B2419" s="16">
        <v>1211</v>
      </c>
      <c r="C2419" s="16">
        <v>250979</v>
      </c>
      <c r="D2419" s="31">
        <v>44753</v>
      </c>
      <c r="E2419" s="16">
        <v>6</v>
      </c>
      <c r="F2419" s="15" t="str">
        <f t="shared" si="37"/>
        <v>1211-250979-44753</v>
      </c>
    </row>
    <row r="2420" spans="1:6" ht="14.25" customHeight="1" x14ac:dyDescent="0.25">
      <c r="A2420" s="15" t="s">
        <v>2560</v>
      </c>
      <c r="B2420" s="16">
        <v>1211</v>
      </c>
      <c r="C2420" s="16">
        <v>250979</v>
      </c>
      <c r="D2420" s="31">
        <v>44760</v>
      </c>
      <c r="E2420" s="16">
        <v>6</v>
      </c>
      <c r="F2420" s="15" t="str">
        <f t="shared" si="37"/>
        <v>1211-250979-44760</v>
      </c>
    </row>
    <row r="2421" spans="1:6" ht="14.25" customHeight="1" x14ac:dyDescent="0.25">
      <c r="A2421" s="15" t="s">
        <v>2561</v>
      </c>
      <c r="B2421" s="16">
        <v>1211</v>
      </c>
      <c r="C2421" s="16">
        <v>250979</v>
      </c>
      <c r="D2421" s="31">
        <v>44767</v>
      </c>
      <c r="E2421" s="16">
        <v>6</v>
      </c>
      <c r="F2421" s="15" t="str">
        <f t="shared" si="37"/>
        <v>1211-250979-44767</v>
      </c>
    </row>
    <row r="2422" spans="1:6" ht="14.25" customHeight="1" x14ac:dyDescent="0.25">
      <c r="A2422" s="15" t="s">
        <v>2562</v>
      </c>
      <c r="B2422" s="16">
        <v>1211</v>
      </c>
      <c r="C2422" s="16">
        <v>250979</v>
      </c>
      <c r="D2422" s="31">
        <v>44774</v>
      </c>
      <c r="E2422" s="16">
        <v>6</v>
      </c>
      <c r="F2422" s="15" t="str">
        <f t="shared" si="37"/>
        <v>1211-250979-44774</v>
      </c>
    </row>
    <row r="2423" spans="1:6" ht="14.25" customHeight="1" x14ac:dyDescent="0.25">
      <c r="A2423" s="15" t="s">
        <v>2563</v>
      </c>
      <c r="B2423" s="16">
        <v>1211</v>
      </c>
      <c r="C2423" s="16">
        <v>250979</v>
      </c>
      <c r="D2423" s="31">
        <v>44781</v>
      </c>
      <c r="E2423" s="16">
        <v>6</v>
      </c>
      <c r="F2423" s="15" t="str">
        <f t="shared" si="37"/>
        <v>1211-250979-44781</v>
      </c>
    </row>
    <row r="2424" spans="1:6" ht="14.25" customHeight="1" x14ac:dyDescent="0.25">
      <c r="A2424" s="15" t="s">
        <v>2564</v>
      </c>
      <c r="B2424" s="16">
        <v>1211</v>
      </c>
      <c r="C2424" s="16">
        <v>250979</v>
      </c>
      <c r="D2424" s="31">
        <v>44788</v>
      </c>
      <c r="E2424" s="16">
        <v>6</v>
      </c>
      <c r="F2424" s="15" t="str">
        <f t="shared" si="37"/>
        <v>1211-250979-44788</v>
      </c>
    </row>
    <row r="2425" spans="1:6" ht="14.25" customHeight="1" x14ac:dyDescent="0.25">
      <c r="A2425" s="15" t="s">
        <v>2565</v>
      </c>
      <c r="B2425" s="16">
        <v>1211</v>
      </c>
      <c r="C2425" s="16">
        <v>250981</v>
      </c>
      <c r="D2425" s="31">
        <v>44739</v>
      </c>
      <c r="E2425" s="16">
        <v>13</v>
      </c>
      <c r="F2425" s="15" t="str">
        <f t="shared" si="37"/>
        <v>1211-250981-44739</v>
      </c>
    </row>
    <row r="2426" spans="1:6" ht="14.25" customHeight="1" x14ac:dyDescent="0.25">
      <c r="A2426" s="15" t="s">
        <v>2566</v>
      </c>
      <c r="B2426" s="16">
        <v>1211</v>
      </c>
      <c r="C2426" s="16">
        <v>250981</v>
      </c>
      <c r="D2426" s="31">
        <v>44746</v>
      </c>
      <c r="E2426" s="16">
        <v>12</v>
      </c>
      <c r="F2426" s="15" t="str">
        <f t="shared" si="37"/>
        <v>1211-250981-44746</v>
      </c>
    </row>
    <row r="2427" spans="1:6" ht="14.25" customHeight="1" x14ac:dyDescent="0.25">
      <c r="A2427" s="15" t="s">
        <v>2567</v>
      </c>
      <c r="B2427" s="16">
        <v>1211</v>
      </c>
      <c r="C2427" s="16">
        <v>250981</v>
      </c>
      <c r="D2427" s="31">
        <v>44753</v>
      </c>
      <c r="E2427" s="16">
        <v>14</v>
      </c>
      <c r="F2427" s="15" t="str">
        <f t="shared" si="37"/>
        <v>1211-250981-44753</v>
      </c>
    </row>
    <row r="2428" spans="1:6" ht="14.25" customHeight="1" x14ac:dyDescent="0.25">
      <c r="A2428" s="15" t="s">
        <v>2568</v>
      </c>
      <c r="B2428" s="16">
        <v>1211</v>
      </c>
      <c r="C2428" s="16">
        <v>250981</v>
      </c>
      <c r="D2428" s="31">
        <v>44760</v>
      </c>
      <c r="E2428" s="16">
        <v>9</v>
      </c>
      <c r="F2428" s="15" t="str">
        <f t="shared" si="37"/>
        <v>1211-250981-44760</v>
      </c>
    </row>
    <row r="2429" spans="1:6" ht="14.25" customHeight="1" x14ac:dyDescent="0.25">
      <c r="A2429" s="15" t="s">
        <v>2569</v>
      </c>
      <c r="B2429" s="16">
        <v>1211</v>
      </c>
      <c r="C2429" s="16">
        <v>250981</v>
      </c>
      <c r="D2429" s="31">
        <v>44767</v>
      </c>
      <c r="E2429" s="16">
        <v>9</v>
      </c>
      <c r="F2429" s="15" t="str">
        <f t="shared" si="37"/>
        <v>1211-250981-44767</v>
      </c>
    </row>
    <row r="2430" spans="1:6" ht="14.25" customHeight="1" x14ac:dyDescent="0.25">
      <c r="A2430" s="15" t="s">
        <v>2570</v>
      </c>
      <c r="B2430" s="16">
        <v>1211</v>
      </c>
      <c r="C2430" s="16">
        <v>250981</v>
      </c>
      <c r="D2430" s="31">
        <v>44774</v>
      </c>
      <c r="E2430" s="16">
        <v>9</v>
      </c>
      <c r="F2430" s="15" t="str">
        <f t="shared" si="37"/>
        <v>1211-250981-44774</v>
      </c>
    </row>
    <row r="2431" spans="1:6" ht="14.25" customHeight="1" x14ac:dyDescent="0.25">
      <c r="A2431" s="15" t="s">
        <v>2571</v>
      </c>
      <c r="B2431" s="16">
        <v>1211</v>
      </c>
      <c r="C2431" s="16">
        <v>250981</v>
      </c>
      <c r="D2431" s="31">
        <v>44781</v>
      </c>
      <c r="E2431" s="16">
        <v>6</v>
      </c>
      <c r="F2431" s="15" t="str">
        <f t="shared" si="37"/>
        <v>1211-250981-44781</v>
      </c>
    </row>
    <row r="2432" spans="1:6" ht="14.25" customHeight="1" x14ac:dyDescent="0.25">
      <c r="A2432" s="15" t="s">
        <v>2572</v>
      </c>
      <c r="B2432" s="16">
        <v>1211</v>
      </c>
      <c r="C2432" s="16">
        <v>250981</v>
      </c>
      <c r="D2432" s="31">
        <v>44788</v>
      </c>
      <c r="E2432" s="16">
        <v>2</v>
      </c>
      <c r="F2432" s="15" t="str">
        <f t="shared" si="37"/>
        <v>1211-250981-44788</v>
      </c>
    </row>
    <row r="2433" spans="1:6" ht="14.25" customHeight="1" x14ac:dyDescent="0.25">
      <c r="A2433" s="15" t="s">
        <v>2573</v>
      </c>
      <c r="B2433" s="16">
        <v>1211</v>
      </c>
      <c r="C2433" s="16">
        <v>262294</v>
      </c>
      <c r="D2433" s="31">
        <v>44739</v>
      </c>
      <c r="E2433" s="16">
        <v>22</v>
      </c>
      <c r="F2433" s="15" t="str">
        <f t="shared" si="37"/>
        <v>1211-262294-44739</v>
      </c>
    </row>
    <row r="2434" spans="1:6" ht="14.25" customHeight="1" x14ac:dyDescent="0.25">
      <c r="A2434" s="15" t="s">
        <v>2574</v>
      </c>
      <c r="B2434" s="16">
        <v>1211</v>
      </c>
      <c r="C2434" s="16">
        <v>262294</v>
      </c>
      <c r="D2434" s="31">
        <v>44746</v>
      </c>
      <c r="E2434" s="16">
        <v>21</v>
      </c>
      <c r="F2434" s="15" t="str">
        <f t="shared" si="37"/>
        <v>1211-262294-44746</v>
      </c>
    </row>
    <row r="2435" spans="1:6" ht="14.25" customHeight="1" x14ac:dyDescent="0.25">
      <c r="A2435" s="15" t="s">
        <v>2575</v>
      </c>
      <c r="B2435" s="16">
        <v>1211</v>
      </c>
      <c r="C2435" s="16">
        <v>262294</v>
      </c>
      <c r="D2435" s="31">
        <v>44753</v>
      </c>
      <c r="E2435" s="16">
        <v>0</v>
      </c>
      <c r="F2435" s="15" t="str">
        <f t="shared" ref="F2435:F2498" si="38">B2435&amp;"-"&amp;C2435&amp;"-"&amp;INT(D2435)</f>
        <v>1211-262294-44753</v>
      </c>
    </row>
    <row r="2436" spans="1:6" ht="14.25" customHeight="1" x14ac:dyDescent="0.25">
      <c r="A2436" s="15" t="s">
        <v>2576</v>
      </c>
      <c r="B2436" s="16">
        <v>1211</v>
      </c>
      <c r="C2436" s="16">
        <v>262294</v>
      </c>
      <c r="D2436" s="31">
        <v>44760</v>
      </c>
      <c r="E2436" s="16">
        <v>20</v>
      </c>
      <c r="F2436" s="15" t="str">
        <f t="shared" si="38"/>
        <v>1211-262294-44760</v>
      </c>
    </row>
    <row r="2437" spans="1:6" ht="14.25" customHeight="1" x14ac:dyDescent="0.25">
      <c r="A2437" s="15" t="s">
        <v>2577</v>
      </c>
      <c r="B2437" s="16">
        <v>1211</v>
      </c>
      <c r="C2437" s="16">
        <v>262294</v>
      </c>
      <c r="D2437" s="31">
        <v>44767</v>
      </c>
      <c r="E2437" s="16">
        <v>19</v>
      </c>
      <c r="F2437" s="15" t="str">
        <f t="shared" si="38"/>
        <v>1211-262294-44767</v>
      </c>
    </row>
    <row r="2438" spans="1:6" ht="14.25" customHeight="1" x14ac:dyDescent="0.25">
      <c r="A2438" s="15" t="s">
        <v>2578</v>
      </c>
      <c r="B2438" s="16">
        <v>1211</v>
      </c>
      <c r="C2438" s="16">
        <v>262294</v>
      </c>
      <c r="D2438" s="31">
        <v>44774</v>
      </c>
      <c r="E2438" s="16">
        <v>18</v>
      </c>
      <c r="F2438" s="15" t="str">
        <f t="shared" si="38"/>
        <v>1211-262294-44774</v>
      </c>
    </row>
    <row r="2439" spans="1:6" ht="14.25" customHeight="1" x14ac:dyDescent="0.25">
      <c r="A2439" s="15" t="s">
        <v>2579</v>
      </c>
      <c r="B2439" s="16">
        <v>1211</v>
      </c>
      <c r="C2439" s="16">
        <v>262294</v>
      </c>
      <c r="D2439" s="31">
        <v>44781</v>
      </c>
      <c r="E2439" s="16">
        <v>15</v>
      </c>
      <c r="F2439" s="15" t="str">
        <f t="shared" si="38"/>
        <v>1211-262294-44781</v>
      </c>
    </row>
    <row r="2440" spans="1:6" ht="14.25" customHeight="1" x14ac:dyDescent="0.25">
      <c r="A2440" s="15" t="s">
        <v>2580</v>
      </c>
      <c r="B2440" s="16">
        <v>1211</v>
      </c>
      <c r="C2440" s="16">
        <v>262294</v>
      </c>
      <c r="D2440" s="31">
        <v>44788</v>
      </c>
      <c r="E2440" s="16">
        <v>6</v>
      </c>
      <c r="F2440" s="15" t="str">
        <f t="shared" si="38"/>
        <v>1211-262294-44788</v>
      </c>
    </row>
    <row r="2441" spans="1:6" ht="14.25" customHeight="1" x14ac:dyDescent="0.25">
      <c r="A2441" s="15" t="s">
        <v>2581</v>
      </c>
      <c r="B2441" s="16">
        <v>1211</v>
      </c>
      <c r="C2441" s="16">
        <v>268831</v>
      </c>
      <c r="D2441" s="31">
        <v>44739</v>
      </c>
      <c r="E2441" s="16">
        <v>22</v>
      </c>
      <c r="F2441" s="15" t="str">
        <f t="shared" si="38"/>
        <v>1211-268831-44739</v>
      </c>
    </row>
    <row r="2442" spans="1:6" ht="14.25" customHeight="1" x14ac:dyDescent="0.25">
      <c r="A2442" s="15" t="s">
        <v>2582</v>
      </c>
      <c r="B2442" s="16">
        <v>1211</v>
      </c>
      <c r="C2442" s="16">
        <v>268831</v>
      </c>
      <c r="D2442" s="31">
        <v>44746</v>
      </c>
      <c r="E2442" s="16">
        <v>12</v>
      </c>
      <c r="F2442" s="15" t="str">
        <f t="shared" si="38"/>
        <v>1211-268831-44746</v>
      </c>
    </row>
    <row r="2443" spans="1:6" ht="14.25" customHeight="1" x14ac:dyDescent="0.25">
      <c r="A2443" s="15" t="s">
        <v>2583</v>
      </c>
      <c r="B2443" s="16">
        <v>1211</v>
      </c>
      <c r="C2443" s="16">
        <v>268831</v>
      </c>
      <c r="D2443" s="31">
        <v>44753</v>
      </c>
      <c r="E2443" s="16">
        <v>22</v>
      </c>
      <c r="F2443" s="15" t="str">
        <f t="shared" si="38"/>
        <v>1211-268831-44753</v>
      </c>
    </row>
    <row r="2444" spans="1:6" ht="14.25" customHeight="1" x14ac:dyDescent="0.25">
      <c r="A2444" s="15" t="s">
        <v>2584</v>
      </c>
      <c r="B2444" s="16">
        <v>1211</v>
      </c>
      <c r="C2444" s="16">
        <v>268831</v>
      </c>
      <c r="D2444" s="31">
        <v>44760</v>
      </c>
      <c r="E2444" s="16">
        <v>22</v>
      </c>
      <c r="F2444" s="15" t="str">
        <f t="shared" si="38"/>
        <v>1211-268831-44760</v>
      </c>
    </row>
    <row r="2445" spans="1:6" ht="14.25" customHeight="1" x14ac:dyDescent="0.25">
      <c r="A2445" s="15" t="s">
        <v>2585</v>
      </c>
      <c r="B2445" s="16">
        <v>1211</v>
      </c>
      <c r="C2445" s="16">
        <v>268831</v>
      </c>
      <c r="D2445" s="31">
        <v>44767</v>
      </c>
      <c r="E2445" s="16">
        <v>22</v>
      </c>
      <c r="F2445" s="15" t="str">
        <f t="shared" si="38"/>
        <v>1211-268831-44767</v>
      </c>
    </row>
    <row r="2446" spans="1:6" ht="14.25" customHeight="1" x14ac:dyDescent="0.25">
      <c r="A2446" s="15" t="s">
        <v>2586</v>
      </c>
      <c r="B2446" s="16">
        <v>1211</v>
      </c>
      <c r="C2446" s="16">
        <v>268831</v>
      </c>
      <c r="D2446" s="31">
        <v>44774</v>
      </c>
      <c r="E2446" s="16">
        <v>20</v>
      </c>
      <c r="F2446" s="15" t="str">
        <f t="shared" si="38"/>
        <v>1211-268831-44774</v>
      </c>
    </row>
    <row r="2447" spans="1:6" ht="14.25" customHeight="1" x14ac:dyDescent="0.25">
      <c r="A2447" s="15" t="s">
        <v>2587</v>
      </c>
      <c r="B2447" s="16">
        <v>1211</v>
      </c>
      <c r="C2447" s="16">
        <v>268831</v>
      </c>
      <c r="D2447" s="31">
        <v>44781</v>
      </c>
      <c r="E2447" s="16">
        <v>18</v>
      </c>
      <c r="F2447" s="15" t="str">
        <f t="shared" si="38"/>
        <v>1211-268831-44781</v>
      </c>
    </row>
    <row r="2448" spans="1:6" ht="14.25" customHeight="1" x14ac:dyDescent="0.25">
      <c r="A2448" s="15" t="s">
        <v>2588</v>
      </c>
      <c r="B2448" s="16">
        <v>1211</v>
      </c>
      <c r="C2448" s="16">
        <v>268831</v>
      </c>
      <c r="D2448" s="31">
        <v>44788</v>
      </c>
      <c r="E2448" s="16">
        <v>23</v>
      </c>
      <c r="F2448" s="15" t="str">
        <f t="shared" si="38"/>
        <v>1211-268831-44788</v>
      </c>
    </row>
    <row r="2449" spans="1:6" ht="14.25" customHeight="1" x14ac:dyDescent="0.25">
      <c r="A2449" s="15" t="s">
        <v>2589</v>
      </c>
      <c r="B2449" s="16">
        <v>1211</v>
      </c>
      <c r="C2449" s="16">
        <v>273701</v>
      </c>
      <c r="D2449" s="31">
        <v>44739</v>
      </c>
      <c r="E2449" s="16">
        <v>41</v>
      </c>
      <c r="F2449" s="15" t="str">
        <f t="shared" si="38"/>
        <v>1211-273701-44739</v>
      </c>
    </row>
    <row r="2450" spans="1:6" ht="14.25" customHeight="1" x14ac:dyDescent="0.25">
      <c r="A2450" s="15" t="s">
        <v>2590</v>
      </c>
      <c r="B2450" s="16">
        <v>1211</v>
      </c>
      <c r="C2450" s="16">
        <v>273701</v>
      </c>
      <c r="D2450" s="31">
        <v>44746</v>
      </c>
      <c r="E2450" s="16">
        <v>30</v>
      </c>
      <c r="F2450" s="15" t="str">
        <f t="shared" si="38"/>
        <v>1211-273701-44746</v>
      </c>
    </row>
    <row r="2451" spans="1:6" ht="14.25" customHeight="1" x14ac:dyDescent="0.25">
      <c r="A2451" s="15" t="s">
        <v>2591</v>
      </c>
      <c r="B2451" s="16">
        <v>1211</v>
      </c>
      <c r="C2451" s="16">
        <v>273701</v>
      </c>
      <c r="D2451" s="31">
        <v>44753</v>
      </c>
      <c r="E2451" s="16">
        <v>40</v>
      </c>
      <c r="F2451" s="15" t="str">
        <f t="shared" si="38"/>
        <v>1211-273701-44753</v>
      </c>
    </row>
    <row r="2452" spans="1:6" ht="14.25" customHeight="1" x14ac:dyDescent="0.25">
      <c r="A2452" s="15" t="s">
        <v>2592</v>
      </c>
      <c r="B2452" s="16">
        <v>1211</v>
      </c>
      <c r="C2452" s="16">
        <v>273701</v>
      </c>
      <c r="D2452" s="31">
        <v>44760</v>
      </c>
      <c r="E2452" s="16">
        <v>28</v>
      </c>
      <c r="F2452" s="15" t="str">
        <f t="shared" si="38"/>
        <v>1211-273701-44760</v>
      </c>
    </row>
    <row r="2453" spans="1:6" ht="14.25" customHeight="1" x14ac:dyDescent="0.25">
      <c r="A2453" s="15" t="s">
        <v>2593</v>
      </c>
      <c r="B2453" s="16">
        <v>1211</v>
      </c>
      <c r="C2453" s="16">
        <v>273701</v>
      </c>
      <c r="D2453" s="31">
        <v>44767</v>
      </c>
      <c r="E2453" s="16">
        <v>28</v>
      </c>
      <c r="F2453" s="15" t="str">
        <f t="shared" si="38"/>
        <v>1211-273701-44767</v>
      </c>
    </row>
    <row r="2454" spans="1:6" ht="14.25" customHeight="1" x14ac:dyDescent="0.25">
      <c r="A2454" s="15" t="s">
        <v>2594</v>
      </c>
      <c r="B2454" s="16">
        <v>1211</v>
      </c>
      <c r="C2454" s="16">
        <v>273701</v>
      </c>
      <c r="D2454" s="31">
        <v>44774</v>
      </c>
      <c r="E2454" s="16">
        <v>34</v>
      </c>
      <c r="F2454" s="15" t="str">
        <f t="shared" si="38"/>
        <v>1211-273701-44774</v>
      </c>
    </row>
    <row r="2455" spans="1:6" ht="14.25" customHeight="1" x14ac:dyDescent="0.25">
      <c r="A2455" s="15" t="s">
        <v>2595</v>
      </c>
      <c r="B2455" s="16">
        <v>1211</v>
      </c>
      <c r="C2455" s="16">
        <v>273701</v>
      </c>
      <c r="D2455" s="31">
        <v>44781</v>
      </c>
      <c r="E2455" s="16">
        <v>10</v>
      </c>
      <c r="F2455" s="15" t="str">
        <f t="shared" si="38"/>
        <v>1211-273701-44781</v>
      </c>
    </row>
    <row r="2456" spans="1:6" ht="14.25" customHeight="1" x14ac:dyDescent="0.25">
      <c r="A2456" s="15" t="s">
        <v>2596</v>
      </c>
      <c r="B2456" s="16">
        <v>1211</v>
      </c>
      <c r="C2456" s="16">
        <v>273701</v>
      </c>
      <c r="D2456" s="31">
        <v>44788</v>
      </c>
      <c r="E2456" s="16">
        <v>18</v>
      </c>
      <c r="F2456" s="15" t="str">
        <f t="shared" si="38"/>
        <v>1211-273701-44788</v>
      </c>
    </row>
    <row r="2457" spans="1:6" ht="14.25" customHeight="1" x14ac:dyDescent="0.25">
      <c r="A2457" s="15" t="s">
        <v>2597</v>
      </c>
      <c r="B2457" s="16">
        <v>1211</v>
      </c>
      <c r="C2457" s="16">
        <v>291726</v>
      </c>
      <c r="D2457" s="31">
        <v>44739</v>
      </c>
      <c r="E2457" s="16">
        <v>9</v>
      </c>
      <c r="F2457" s="15" t="str">
        <f t="shared" si="38"/>
        <v>1211-291726-44739</v>
      </c>
    </row>
    <row r="2458" spans="1:6" ht="14.25" customHeight="1" x14ac:dyDescent="0.25">
      <c r="A2458" s="15" t="s">
        <v>2598</v>
      </c>
      <c r="B2458" s="16">
        <v>1211</v>
      </c>
      <c r="C2458" s="16">
        <v>291726</v>
      </c>
      <c r="D2458" s="31">
        <v>44746</v>
      </c>
      <c r="E2458" s="16">
        <v>9</v>
      </c>
      <c r="F2458" s="15" t="str">
        <f t="shared" si="38"/>
        <v>1211-291726-44746</v>
      </c>
    </row>
    <row r="2459" spans="1:6" ht="14.25" customHeight="1" x14ac:dyDescent="0.25">
      <c r="A2459" s="15" t="s">
        <v>2599</v>
      </c>
      <c r="B2459" s="16">
        <v>1211</v>
      </c>
      <c r="C2459" s="16">
        <v>291726</v>
      </c>
      <c r="D2459" s="31">
        <v>44753</v>
      </c>
      <c r="E2459" s="16">
        <v>9</v>
      </c>
      <c r="F2459" s="15" t="str">
        <f t="shared" si="38"/>
        <v>1211-291726-44753</v>
      </c>
    </row>
    <row r="2460" spans="1:6" ht="14.25" customHeight="1" x14ac:dyDescent="0.25">
      <c r="A2460" s="15" t="s">
        <v>2600</v>
      </c>
      <c r="B2460" s="16">
        <v>1211</v>
      </c>
      <c r="C2460" s="16">
        <v>291726</v>
      </c>
      <c r="D2460" s="31">
        <v>44760</v>
      </c>
      <c r="E2460" s="16">
        <v>9</v>
      </c>
      <c r="F2460" s="15" t="str">
        <f t="shared" si="38"/>
        <v>1211-291726-44760</v>
      </c>
    </row>
    <row r="2461" spans="1:6" ht="14.25" customHeight="1" x14ac:dyDescent="0.25">
      <c r="A2461" s="15" t="s">
        <v>2601</v>
      </c>
      <c r="B2461" s="16">
        <v>1211</v>
      </c>
      <c r="C2461" s="16">
        <v>291726</v>
      </c>
      <c r="D2461" s="31">
        <v>44767</v>
      </c>
      <c r="E2461" s="16">
        <v>9</v>
      </c>
      <c r="F2461" s="15" t="str">
        <f t="shared" si="38"/>
        <v>1211-291726-44767</v>
      </c>
    </row>
    <row r="2462" spans="1:6" ht="14.25" customHeight="1" x14ac:dyDescent="0.25">
      <c r="A2462" s="15" t="s">
        <v>2602</v>
      </c>
      <c r="B2462" s="16">
        <v>1211</v>
      </c>
      <c r="C2462" s="16">
        <v>291726</v>
      </c>
      <c r="D2462" s="31">
        <v>44774</v>
      </c>
      <c r="E2462" s="16">
        <v>9</v>
      </c>
      <c r="F2462" s="15" t="str">
        <f t="shared" si="38"/>
        <v>1211-291726-44774</v>
      </c>
    </row>
    <row r="2463" spans="1:6" ht="14.25" customHeight="1" x14ac:dyDescent="0.25">
      <c r="A2463" s="15" t="s">
        <v>2603</v>
      </c>
      <c r="B2463" s="16">
        <v>1211</v>
      </c>
      <c r="C2463" s="16">
        <v>291726</v>
      </c>
      <c r="D2463" s="31">
        <v>44781</v>
      </c>
      <c r="E2463" s="16">
        <v>9</v>
      </c>
      <c r="F2463" s="15" t="str">
        <f t="shared" si="38"/>
        <v>1211-291726-44781</v>
      </c>
    </row>
    <row r="2464" spans="1:6" ht="14.25" customHeight="1" x14ac:dyDescent="0.25">
      <c r="A2464" s="15" t="s">
        <v>2604</v>
      </c>
      <c r="B2464" s="16">
        <v>1211</v>
      </c>
      <c r="C2464" s="16">
        <v>291726</v>
      </c>
      <c r="D2464" s="31">
        <v>44788</v>
      </c>
      <c r="E2464" s="16">
        <v>9</v>
      </c>
      <c r="F2464" s="15" t="str">
        <f t="shared" si="38"/>
        <v>1211-291726-44788</v>
      </c>
    </row>
    <row r="2465" spans="1:6" ht="14.25" customHeight="1" x14ac:dyDescent="0.25">
      <c r="A2465" s="15" t="s">
        <v>2605</v>
      </c>
      <c r="B2465" s="16">
        <v>1211</v>
      </c>
      <c r="C2465" s="16">
        <v>291728</v>
      </c>
      <c r="D2465" s="31">
        <v>44739</v>
      </c>
      <c r="E2465" s="16">
        <v>4</v>
      </c>
      <c r="F2465" s="15" t="str">
        <f t="shared" si="38"/>
        <v>1211-291728-44739</v>
      </c>
    </row>
    <row r="2466" spans="1:6" ht="14.25" customHeight="1" x14ac:dyDescent="0.25">
      <c r="A2466" s="15" t="s">
        <v>2606</v>
      </c>
      <c r="B2466" s="16">
        <v>1211</v>
      </c>
      <c r="C2466" s="16">
        <v>291728</v>
      </c>
      <c r="D2466" s="31">
        <v>44746</v>
      </c>
      <c r="E2466" s="16">
        <v>18</v>
      </c>
      <c r="F2466" s="15" t="str">
        <f t="shared" si="38"/>
        <v>1211-291728-44746</v>
      </c>
    </row>
    <row r="2467" spans="1:6" ht="14.25" customHeight="1" x14ac:dyDescent="0.25">
      <c r="A2467" s="15" t="s">
        <v>2607</v>
      </c>
      <c r="B2467" s="16">
        <v>1211</v>
      </c>
      <c r="C2467" s="16">
        <v>291728</v>
      </c>
      <c r="D2467" s="31">
        <v>44753</v>
      </c>
      <c r="E2467" s="16">
        <v>28</v>
      </c>
      <c r="F2467" s="15" t="str">
        <f t="shared" si="38"/>
        <v>1211-291728-44753</v>
      </c>
    </row>
    <row r="2468" spans="1:6" ht="14.25" customHeight="1" x14ac:dyDescent="0.25">
      <c r="A2468" s="15" t="s">
        <v>2608</v>
      </c>
      <c r="B2468" s="16">
        <v>1211</v>
      </c>
      <c r="C2468" s="16">
        <v>291728</v>
      </c>
      <c r="D2468" s="31">
        <v>44760</v>
      </c>
      <c r="E2468" s="16">
        <v>27</v>
      </c>
      <c r="F2468" s="15" t="str">
        <f t="shared" si="38"/>
        <v>1211-291728-44760</v>
      </c>
    </row>
    <row r="2469" spans="1:6" ht="14.25" customHeight="1" x14ac:dyDescent="0.25">
      <c r="A2469" s="15" t="s">
        <v>2609</v>
      </c>
      <c r="B2469" s="16">
        <v>1211</v>
      </c>
      <c r="C2469" s="16">
        <v>291728</v>
      </c>
      <c r="D2469" s="31">
        <v>44767</v>
      </c>
      <c r="E2469" s="16">
        <v>23</v>
      </c>
      <c r="F2469" s="15" t="str">
        <f t="shared" si="38"/>
        <v>1211-291728-44767</v>
      </c>
    </row>
    <row r="2470" spans="1:6" ht="14.25" customHeight="1" x14ac:dyDescent="0.25">
      <c r="A2470" s="15" t="s">
        <v>2610</v>
      </c>
      <c r="B2470" s="16">
        <v>1211</v>
      </c>
      <c r="C2470" s="16">
        <v>291728</v>
      </c>
      <c r="D2470" s="31">
        <v>44774</v>
      </c>
      <c r="E2470" s="16">
        <v>16</v>
      </c>
      <c r="F2470" s="15" t="str">
        <f t="shared" si="38"/>
        <v>1211-291728-44774</v>
      </c>
    </row>
    <row r="2471" spans="1:6" ht="14.25" customHeight="1" x14ac:dyDescent="0.25">
      <c r="A2471" s="15" t="s">
        <v>2611</v>
      </c>
      <c r="B2471" s="16">
        <v>1211</v>
      </c>
      <c r="C2471" s="16">
        <v>291728</v>
      </c>
      <c r="D2471" s="31">
        <v>44781</v>
      </c>
      <c r="E2471" s="16">
        <v>0</v>
      </c>
      <c r="F2471" s="15" t="str">
        <f t="shared" si="38"/>
        <v>1211-291728-44781</v>
      </c>
    </row>
    <row r="2472" spans="1:6" ht="14.25" customHeight="1" x14ac:dyDescent="0.25">
      <c r="A2472" s="15" t="s">
        <v>2612</v>
      </c>
      <c r="B2472" s="16">
        <v>1211</v>
      </c>
      <c r="C2472" s="16">
        <v>291728</v>
      </c>
      <c r="D2472" s="31">
        <v>44788</v>
      </c>
      <c r="E2472" s="16">
        <v>18</v>
      </c>
      <c r="F2472" s="15" t="str">
        <f t="shared" si="38"/>
        <v>1211-291728-44788</v>
      </c>
    </row>
    <row r="2473" spans="1:6" ht="14.25" customHeight="1" x14ac:dyDescent="0.25">
      <c r="A2473" s="15" t="s">
        <v>2613</v>
      </c>
      <c r="B2473" s="16">
        <v>1211</v>
      </c>
      <c r="C2473" s="16">
        <v>300380</v>
      </c>
      <c r="D2473" s="31">
        <v>44739</v>
      </c>
      <c r="E2473" s="16">
        <v>26</v>
      </c>
      <c r="F2473" s="15" t="str">
        <f t="shared" si="38"/>
        <v>1211-300380-44739</v>
      </c>
    </row>
    <row r="2474" spans="1:6" ht="14.25" customHeight="1" x14ac:dyDescent="0.25">
      <c r="A2474" s="15" t="s">
        <v>2614</v>
      </c>
      <c r="B2474" s="16">
        <v>1211</v>
      </c>
      <c r="C2474" s="16">
        <v>300380</v>
      </c>
      <c r="D2474" s="31">
        <v>44746</v>
      </c>
      <c r="E2474" s="16">
        <v>37</v>
      </c>
      <c r="F2474" s="15" t="str">
        <f t="shared" si="38"/>
        <v>1211-300380-44746</v>
      </c>
    </row>
    <row r="2475" spans="1:6" ht="14.25" customHeight="1" x14ac:dyDescent="0.25">
      <c r="A2475" s="15" t="s">
        <v>2615</v>
      </c>
      <c r="B2475" s="16">
        <v>1211</v>
      </c>
      <c r="C2475" s="16">
        <v>300380</v>
      </c>
      <c r="D2475" s="31">
        <v>44753</v>
      </c>
      <c r="E2475" s="16">
        <v>9</v>
      </c>
      <c r="F2475" s="15" t="str">
        <f t="shared" si="38"/>
        <v>1211-300380-44753</v>
      </c>
    </row>
    <row r="2476" spans="1:6" ht="14.25" customHeight="1" x14ac:dyDescent="0.25">
      <c r="A2476" s="15" t="s">
        <v>2616</v>
      </c>
      <c r="B2476" s="16">
        <v>1211</v>
      </c>
      <c r="C2476" s="16">
        <v>300380</v>
      </c>
      <c r="D2476" s="31">
        <v>44760</v>
      </c>
      <c r="E2476" s="16">
        <v>23</v>
      </c>
      <c r="F2476" s="15" t="str">
        <f t="shared" si="38"/>
        <v>1211-300380-44760</v>
      </c>
    </row>
    <row r="2477" spans="1:6" ht="14.25" customHeight="1" x14ac:dyDescent="0.25">
      <c r="A2477" s="15" t="s">
        <v>2617</v>
      </c>
      <c r="B2477" s="16">
        <v>1211</v>
      </c>
      <c r="C2477" s="16">
        <v>300380</v>
      </c>
      <c r="D2477" s="31">
        <v>44767</v>
      </c>
      <c r="E2477" s="16">
        <v>40</v>
      </c>
      <c r="F2477" s="15" t="str">
        <f t="shared" si="38"/>
        <v>1211-300380-44767</v>
      </c>
    </row>
    <row r="2478" spans="1:6" ht="14.25" customHeight="1" x14ac:dyDescent="0.25">
      <c r="A2478" s="15" t="s">
        <v>2618</v>
      </c>
      <c r="B2478" s="16">
        <v>1211</v>
      </c>
      <c r="C2478" s="16">
        <v>300380</v>
      </c>
      <c r="D2478" s="31">
        <v>44774</v>
      </c>
      <c r="E2478" s="16">
        <v>34</v>
      </c>
      <c r="F2478" s="15" t="str">
        <f t="shared" si="38"/>
        <v>1211-300380-44774</v>
      </c>
    </row>
    <row r="2479" spans="1:6" ht="14.25" customHeight="1" x14ac:dyDescent="0.25">
      <c r="A2479" s="15" t="s">
        <v>2619</v>
      </c>
      <c r="B2479" s="16">
        <v>1211</v>
      </c>
      <c r="C2479" s="16">
        <v>300380</v>
      </c>
      <c r="D2479" s="31">
        <v>44781</v>
      </c>
      <c r="E2479" s="16">
        <v>6</v>
      </c>
      <c r="F2479" s="15" t="str">
        <f t="shared" si="38"/>
        <v>1211-300380-44781</v>
      </c>
    </row>
    <row r="2480" spans="1:6" ht="14.25" customHeight="1" x14ac:dyDescent="0.25">
      <c r="A2480" s="15" t="s">
        <v>2620</v>
      </c>
      <c r="B2480" s="16">
        <v>1211</v>
      </c>
      <c r="C2480" s="16">
        <v>300380</v>
      </c>
      <c r="D2480" s="31">
        <v>44788</v>
      </c>
      <c r="E2480" s="16">
        <v>36</v>
      </c>
      <c r="F2480" s="15" t="str">
        <f t="shared" si="38"/>
        <v>1211-300380-44788</v>
      </c>
    </row>
    <row r="2481" spans="1:6" ht="14.25" customHeight="1" x14ac:dyDescent="0.25">
      <c r="A2481" s="15" t="s">
        <v>2621</v>
      </c>
      <c r="B2481" s="16">
        <v>1211</v>
      </c>
      <c r="C2481" s="16">
        <v>571521</v>
      </c>
      <c r="D2481" s="31">
        <v>44739</v>
      </c>
      <c r="E2481" s="16">
        <v>31</v>
      </c>
      <c r="F2481" s="15" t="str">
        <f t="shared" si="38"/>
        <v>1211-571521-44739</v>
      </c>
    </row>
    <row r="2482" spans="1:6" ht="14.25" customHeight="1" x14ac:dyDescent="0.25">
      <c r="A2482" s="15" t="s">
        <v>2622</v>
      </c>
      <c r="B2482" s="16">
        <v>1211</v>
      </c>
      <c r="C2482" s="16">
        <v>571521</v>
      </c>
      <c r="D2482" s="31">
        <v>44746</v>
      </c>
      <c r="E2482" s="16">
        <v>25</v>
      </c>
      <c r="F2482" s="15" t="str">
        <f t="shared" si="38"/>
        <v>1211-571521-44746</v>
      </c>
    </row>
    <row r="2483" spans="1:6" ht="14.25" customHeight="1" x14ac:dyDescent="0.25">
      <c r="A2483" s="15" t="s">
        <v>2623</v>
      </c>
      <c r="B2483" s="16">
        <v>1211</v>
      </c>
      <c r="C2483" s="16">
        <v>571521</v>
      </c>
      <c r="D2483" s="31">
        <v>44753</v>
      </c>
      <c r="E2483" s="16">
        <v>86</v>
      </c>
      <c r="F2483" s="15" t="str">
        <f t="shared" si="38"/>
        <v>1211-571521-44753</v>
      </c>
    </row>
    <row r="2484" spans="1:6" ht="14.25" customHeight="1" x14ac:dyDescent="0.25">
      <c r="A2484" s="15" t="s">
        <v>2624</v>
      </c>
      <c r="B2484" s="16">
        <v>1211</v>
      </c>
      <c r="C2484" s="16">
        <v>571521</v>
      </c>
      <c r="D2484" s="31">
        <v>44760</v>
      </c>
      <c r="E2484" s="16">
        <v>31</v>
      </c>
      <c r="F2484" s="15" t="str">
        <f t="shared" si="38"/>
        <v>1211-571521-44760</v>
      </c>
    </row>
    <row r="2485" spans="1:6" ht="14.25" customHeight="1" x14ac:dyDescent="0.25">
      <c r="A2485" s="15" t="s">
        <v>2625</v>
      </c>
      <c r="B2485" s="16">
        <v>1211</v>
      </c>
      <c r="C2485" s="16">
        <v>571521</v>
      </c>
      <c r="D2485" s="31">
        <v>44767</v>
      </c>
      <c r="E2485" s="16">
        <v>82</v>
      </c>
      <c r="F2485" s="15" t="str">
        <f t="shared" si="38"/>
        <v>1211-571521-44767</v>
      </c>
    </row>
    <row r="2486" spans="1:6" ht="14.25" customHeight="1" x14ac:dyDescent="0.25">
      <c r="A2486" s="15" t="s">
        <v>2626</v>
      </c>
      <c r="B2486" s="16">
        <v>1211</v>
      </c>
      <c r="C2486" s="16">
        <v>571521</v>
      </c>
      <c r="D2486" s="31">
        <v>44774</v>
      </c>
      <c r="E2486" s="16">
        <v>82</v>
      </c>
      <c r="F2486" s="15" t="str">
        <f t="shared" si="38"/>
        <v>1211-571521-44774</v>
      </c>
    </row>
    <row r="2487" spans="1:6" ht="14.25" customHeight="1" x14ac:dyDescent="0.25">
      <c r="A2487" s="15" t="s">
        <v>2627</v>
      </c>
      <c r="B2487" s="16">
        <v>1211</v>
      </c>
      <c r="C2487" s="16">
        <v>571521</v>
      </c>
      <c r="D2487" s="31">
        <v>44781</v>
      </c>
      <c r="E2487" s="16">
        <v>24</v>
      </c>
      <c r="F2487" s="15" t="str">
        <f t="shared" si="38"/>
        <v>1211-571521-44781</v>
      </c>
    </row>
    <row r="2488" spans="1:6" ht="14.25" customHeight="1" x14ac:dyDescent="0.25">
      <c r="A2488" s="15" t="s">
        <v>2628</v>
      </c>
      <c r="B2488" s="16">
        <v>1211</v>
      </c>
      <c r="C2488" s="16">
        <v>571521</v>
      </c>
      <c r="D2488" s="31">
        <v>44788</v>
      </c>
      <c r="E2488" s="16">
        <v>27</v>
      </c>
      <c r="F2488" s="15" t="str">
        <f t="shared" si="38"/>
        <v>1211-571521-44788</v>
      </c>
    </row>
    <row r="2489" spans="1:6" ht="14.25" customHeight="1" x14ac:dyDescent="0.25">
      <c r="A2489" s="15" t="s">
        <v>2629</v>
      </c>
      <c r="B2489" s="16">
        <v>1211</v>
      </c>
      <c r="C2489" s="16">
        <v>614993</v>
      </c>
      <c r="D2489" s="31">
        <v>44739</v>
      </c>
      <c r="E2489" s="16">
        <v>16</v>
      </c>
      <c r="F2489" s="15" t="str">
        <f t="shared" si="38"/>
        <v>1211-614993-44739</v>
      </c>
    </row>
    <row r="2490" spans="1:6" ht="14.25" customHeight="1" x14ac:dyDescent="0.25">
      <c r="A2490" s="15" t="s">
        <v>2630</v>
      </c>
      <c r="B2490" s="16">
        <v>1211</v>
      </c>
      <c r="C2490" s="16">
        <v>614993</v>
      </c>
      <c r="D2490" s="31">
        <v>44746</v>
      </c>
      <c r="E2490" s="16">
        <v>15</v>
      </c>
      <c r="F2490" s="15" t="str">
        <f t="shared" si="38"/>
        <v>1211-614993-44746</v>
      </c>
    </row>
    <row r="2491" spans="1:6" ht="14.25" customHeight="1" x14ac:dyDescent="0.25">
      <c r="A2491" s="15" t="s">
        <v>2631</v>
      </c>
      <c r="B2491" s="16">
        <v>1211</v>
      </c>
      <c r="C2491" s="16">
        <v>614993</v>
      </c>
      <c r="D2491" s="31">
        <v>44753</v>
      </c>
      <c r="E2491" s="16">
        <v>15</v>
      </c>
      <c r="F2491" s="15" t="str">
        <f t="shared" si="38"/>
        <v>1211-614993-44753</v>
      </c>
    </row>
    <row r="2492" spans="1:6" ht="14.25" customHeight="1" x14ac:dyDescent="0.25">
      <c r="A2492" s="15" t="s">
        <v>2632</v>
      </c>
      <c r="B2492" s="16">
        <v>1211</v>
      </c>
      <c r="C2492" s="16">
        <v>614993</v>
      </c>
      <c r="D2492" s="31">
        <v>44760</v>
      </c>
      <c r="E2492" s="16">
        <v>21</v>
      </c>
      <c r="F2492" s="15" t="str">
        <f t="shared" si="38"/>
        <v>1211-614993-44760</v>
      </c>
    </row>
    <row r="2493" spans="1:6" ht="14.25" customHeight="1" x14ac:dyDescent="0.25">
      <c r="A2493" s="15" t="s">
        <v>2633</v>
      </c>
      <c r="B2493" s="16">
        <v>1211</v>
      </c>
      <c r="C2493" s="16">
        <v>614993</v>
      </c>
      <c r="D2493" s="31">
        <v>44767</v>
      </c>
      <c r="E2493" s="16">
        <v>20</v>
      </c>
      <c r="F2493" s="15" t="str">
        <f t="shared" si="38"/>
        <v>1211-614993-44767</v>
      </c>
    </row>
    <row r="2494" spans="1:6" ht="14.25" customHeight="1" x14ac:dyDescent="0.25">
      <c r="A2494" s="15" t="s">
        <v>2634</v>
      </c>
      <c r="B2494" s="16">
        <v>1211</v>
      </c>
      <c r="C2494" s="16">
        <v>614993</v>
      </c>
      <c r="D2494" s="31">
        <v>44774</v>
      </c>
      <c r="E2494" s="16">
        <v>7</v>
      </c>
      <c r="F2494" s="15" t="str">
        <f t="shared" si="38"/>
        <v>1211-614993-44774</v>
      </c>
    </row>
    <row r="2495" spans="1:6" ht="14.25" customHeight="1" x14ac:dyDescent="0.25">
      <c r="A2495" s="15" t="s">
        <v>2635</v>
      </c>
      <c r="B2495" s="16">
        <v>1211</v>
      </c>
      <c r="C2495" s="16">
        <v>614993</v>
      </c>
      <c r="D2495" s="31">
        <v>44781</v>
      </c>
      <c r="E2495" s="16">
        <v>20</v>
      </c>
      <c r="F2495" s="15" t="str">
        <f t="shared" si="38"/>
        <v>1211-614993-44781</v>
      </c>
    </row>
    <row r="2496" spans="1:6" ht="14.25" customHeight="1" x14ac:dyDescent="0.25">
      <c r="A2496" s="15" t="s">
        <v>2636</v>
      </c>
      <c r="B2496" s="16">
        <v>1211</v>
      </c>
      <c r="C2496" s="16">
        <v>614993</v>
      </c>
      <c r="D2496" s="31">
        <v>44788</v>
      </c>
      <c r="E2496" s="16">
        <v>20</v>
      </c>
      <c r="F2496" s="15" t="str">
        <f t="shared" si="38"/>
        <v>1211-614993-44788</v>
      </c>
    </row>
    <row r="2497" spans="1:6" ht="14.25" customHeight="1" x14ac:dyDescent="0.25">
      <c r="A2497" s="15" t="s">
        <v>2637</v>
      </c>
      <c r="B2497" s="16">
        <v>1212</v>
      </c>
      <c r="C2497" s="16">
        <v>23393</v>
      </c>
      <c r="D2497" s="31">
        <v>44739</v>
      </c>
      <c r="E2497" s="16">
        <v>42</v>
      </c>
      <c r="F2497" s="15" t="str">
        <f t="shared" si="38"/>
        <v>1212-23393-44739</v>
      </c>
    </row>
    <row r="2498" spans="1:6" ht="14.25" customHeight="1" x14ac:dyDescent="0.25">
      <c r="A2498" s="15" t="s">
        <v>2638</v>
      </c>
      <c r="B2498" s="16">
        <v>1212</v>
      </c>
      <c r="C2498" s="16">
        <v>23393</v>
      </c>
      <c r="D2498" s="31">
        <v>44746</v>
      </c>
      <c r="E2498" s="16">
        <v>36</v>
      </c>
      <c r="F2498" s="15" t="str">
        <f t="shared" si="38"/>
        <v>1212-23393-44746</v>
      </c>
    </row>
    <row r="2499" spans="1:6" ht="14.25" customHeight="1" x14ac:dyDescent="0.25">
      <c r="A2499" s="15" t="s">
        <v>2639</v>
      </c>
      <c r="B2499" s="16">
        <v>1212</v>
      </c>
      <c r="C2499" s="16">
        <v>23393</v>
      </c>
      <c r="D2499" s="31">
        <v>44753</v>
      </c>
      <c r="E2499" s="16">
        <v>42</v>
      </c>
      <c r="F2499" s="15" t="str">
        <f t="shared" ref="F2499:F2562" si="39">B2499&amp;"-"&amp;C2499&amp;"-"&amp;INT(D2499)</f>
        <v>1212-23393-44753</v>
      </c>
    </row>
    <row r="2500" spans="1:6" ht="14.25" customHeight="1" x14ac:dyDescent="0.25">
      <c r="A2500" s="15" t="s">
        <v>2640</v>
      </c>
      <c r="B2500" s="16">
        <v>1212</v>
      </c>
      <c r="C2500" s="16">
        <v>23393</v>
      </c>
      <c r="D2500" s="31">
        <v>44760</v>
      </c>
      <c r="E2500" s="16">
        <v>29</v>
      </c>
      <c r="F2500" s="15" t="str">
        <f t="shared" si="39"/>
        <v>1212-23393-44760</v>
      </c>
    </row>
    <row r="2501" spans="1:6" ht="14.25" customHeight="1" x14ac:dyDescent="0.25">
      <c r="A2501" s="15" t="s">
        <v>2641</v>
      </c>
      <c r="B2501" s="16">
        <v>1212</v>
      </c>
      <c r="C2501" s="16">
        <v>23393</v>
      </c>
      <c r="D2501" s="31">
        <v>44767</v>
      </c>
      <c r="E2501" s="16">
        <v>40</v>
      </c>
      <c r="F2501" s="15" t="str">
        <f t="shared" si="39"/>
        <v>1212-23393-44767</v>
      </c>
    </row>
    <row r="2502" spans="1:6" ht="14.25" customHeight="1" x14ac:dyDescent="0.25">
      <c r="A2502" s="15" t="s">
        <v>2642</v>
      </c>
      <c r="B2502" s="16">
        <v>1212</v>
      </c>
      <c r="C2502" s="16">
        <v>23393</v>
      </c>
      <c r="D2502" s="31">
        <v>44774</v>
      </c>
      <c r="E2502" s="16">
        <v>36</v>
      </c>
      <c r="F2502" s="15" t="str">
        <f t="shared" si="39"/>
        <v>1212-23393-44774</v>
      </c>
    </row>
    <row r="2503" spans="1:6" ht="14.25" customHeight="1" x14ac:dyDescent="0.25">
      <c r="A2503" s="15" t="s">
        <v>2643</v>
      </c>
      <c r="B2503" s="16">
        <v>1212</v>
      </c>
      <c r="C2503" s="16">
        <v>23393</v>
      </c>
      <c r="D2503" s="31">
        <v>44781</v>
      </c>
      <c r="E2503" s="16">
        <v>38</v>
      </c>
      <c r="F2503" s="15" t="str">
        <f t="shared" si="39"/>
        <v>1212-23393-44781</v>
      </c>
    </row>
    <row r="2504" spans="1:6" ht="14.25" customHeight="1" x14ac:dyDescent="0.25">
      <c r="A2504" s="15" t="s">
        <v>2644</v>
      </c>
      <c r="B2504" s="16">
        <v>1212</v>
      </c>
      <c r="C2504" s="16">
        <v>23393</v>
      </c>
      <c r="D2504" s="31">
        <v>44788</v>
      </c>
      <c r="E2504" s="16">
        <v>38</v>
      </c>
      <c r="F2504" s="15" t="str">
        <f t="shared" si="39"/>
        <v>1212-23393-44788</v>
      </c>
    </row>
    <row r="2505" spans="1:6" ht="14.25" customHeight="1" x14ac:dyDescent="0.25">
      <c r="A2505" s="15" t="s">
        <v>2645</v>
      </c>
      <c r="B2505" s="16">
        <v>1212</v>
      </c>
      <c r="C2505" s="16">
        <v>26764</v>
      </c>
      <c r="D2505" s="31">
        <v>44739</v>
      </c>
      <c r="E2505" s="16">
        <v>78</v>
      </c>
      <c r="F2505" s="15" t="str">
        <f t="shared" si="39"/>
        <v>1212-26764-44739</v>
      </c>
    </row>
    <row r="2506" spans="1:6" ht="14.25" customHeight="1" x14ac:dyDescent="0.25">
      <c r="A2506" s="15" t="s">
        <v>2646</v>
      </c>
      <c r="B2506" s="16">
        <v>1212</v>
      </c>
      <c r="C2506" s="16">
        <v>26764</v>
      </c>
      <c r="D2506" s="31">
        <v>44746</v>
      </c>
      <c r="E2506" s="16">
        <v>96</v>
      </c>
      <c r="F2506" s="15" t="str">
        <f t="shared" si="39"/>
        <v>1212-26764-44746</v>
      </c>
    </row>
    <row r="2507" spans="1:6" ht="14.25" customHeight="1" x14ac:dyDescent="0.25">
      <c r="A2507" s="15" t="s">
        <v>2647</v>
      </c>
      <c r="B2507" s="16">
        <v>1212</v>
      </c>
      <c r="C2507" s="16">
        <v>26764</v>
      </c>
      <c r="D2507" s="31">
        <v>44753</v>
      </c>
      <c r="E2507" s="16">
        <v>76</v>
      </c>
      <c r="F2507" s="15" t="str">
        <f t="shared" si="39"/>
        <v>1212-26764-44753</v>
      </c>
    </row>
    <row r="2508" spans="1:6" ht="14.25" customHeight="1" x14ac:dyDescent="0.25">
      <c r="A2508" s="15" t="s">
        <v>2648</v>
      </c>
      <c r="B2508" s="16">
        <v>1212</v>
      </c>
      <c r="C2508" s="16">
        <v>26764</v>
      </c>
      <c r="D2508" s="31">
        <v>44760</v>
      </c>
      <c r="E2508" s="16">
        <v>63</v>
      </c>
      <c r="F2508" s="15" t="str">
        <f t="shared" si="39"/>
        <v>1212-26764-44760</v>
      </c>
    </row>
    <row r="2509" spans="1:6" ht="14.25" customHeight="1" x14ac:dyDescent="0.25">
      <c r="A2509" s="15" t="s">
        <v>2649</v>
      </c>
      <c r="B2509" s="16">
        <v>1212</v>
      </c>
      <c r="C2509" s="16">
        <v>26764</v>
      </c>
      <c r="D2509" s="31">
        <v>44767</v>
      </c>
      <c r="E2509" s="16">
        <v>86</v>
      </c>
      <c r="F2509" s="15" t="str">
        <f t="shared" si="39"/>
        <v>1212-26764-44767</v>
      </c>
    </row>
    <row r="2510" spans="1:6" ht="14.25" customHeight="1" x14ac:dyDescent="0.25">
      <c r="A2510" s="15" t="s">
        <v>2650</v>
      </c>
      <c r="B2510" s="16">
        <v>1212</v>
      </c>
      <c r="C2510" s="16">
        <v>26764</v>
      </c>
      <c r="D2510" s="31">
        <v>44774</v>
      </c>
      <c r="E2510" s="16">
        <v>94</v>
      </c>
      <c r="F2510" s="15" t="str">
        <f t="shared" si="39"/>
        <v>1212-26764-44774</v>
      </c>
    </row>
    <row r="2511" spans="1:6" ht="14.25" customHeight="1" x14ac:dyDescent="0.25">
      <c r="A2511" s="15" t="s">
        <v>2651</v>
      </c>
      <c r="B2511" s="16">
        <v>1212</v>
      </c>
      <c r="C2511" s="16">
        <v>26764</v>
      </c>
      <c r="D2511" s="31">
        <v>44781</v>
      </c>
      <c r="E2511" s="16">
        <v>20</v>
      </c>
      <c r="F2511" s="15" t="str">
        <f t="shared" si="39"/>
        <v>1212-26764-44781</v>
      </c>
    </row>
    <row r="2512" spans="1:6" ht="14.25" customHeight="1" x14ac:dyDescent="0.25">
      <c r="A2512" s="15" t="s">
        <v>2652</v>
      </c>
      <c r="B2512" s="16">
        <v>1212</v>
      </c>
      <c r="C2512" s="16">
        <v>26764</v>
      </c>
      <c r="D2512" s="31">
        <v>44788</v>
      </c>
      <c r="E2512" s="16">
        <v>76</v>
      </c>
      <c r="F2512" s="15" t="str">
        <f t="shared" si="39"/>
        <v>1212-26764-44788</v>
      </c>
    </row>
    <row r="2513" spans="1:6" ht="14.25" customHeight="1" x14ac:dyDescent="0.25">
      <c r="A2513" s="15" t="s">
        <v>2653</v>
      </c>
      <c r="B2513" s="16">
        <v>1212</v>
      </c>
      <c r="C2513" s="16">
        <v>53934</v>
      </c>
      <c r="D2513" s="31">
        <v>44739</v>
      </c>
      <c r="E2513" s="16">
        <v>45</v>
      </c>
      <c r="F2513" s="15" t="str">
        <f t="shared" si="39"/>
        <v>1212-53934-44739</v>
      </c>
    </row>
    <row r="2514" spans="1:6" ht="14.25" customHeight="1" x14ac:dyDescent="0.25">
      <c r="A2514" s="15" t="s">
        <v>2654</v>
      </c>
      <c r="B2514" s="16">
        <v>1212</v>
      </c>
      <c r="C2514" s="16">
        <v>53934</v>
      </c>
      <c r="D2514" s="31">
        <v>44746</v>
      </c>
      <c r="E2514" s="16">
        <v>45</v>
      </c>
      <c r="F2514" s="15" t="str">
        <f t="shared" si="39"/>
        <v>1212-53934-44746</v>
      </c>
    </row>
    <row r="2515" spans="1:6" ht="14.25" customHeight="1" x14ac:dyDescent="0.25">
      <c r="A2515" s="15" t="s">
        <v>2655</v>
      </c>
      <c r="B2515" s="16">
        <v>1212</v>
      </c>
      <c r="C2515" s="16">
        <v>53934</v>
      </c>
      <c r="D2515" s="31">
        <v>44753</v>
      </c>
      <c r="E2515" s="16">
        <v>45</v>
      </c>
      <c r="F2515" s="15" t="str">
        <f t="shared" si="39"/>
        <v>1212-53934-44753</v>
      </c>
    </row>
    <row r="2516" spans="1:6" ht="14.25" customHeight="1" x14ac:dyDescent="0.25">
      <c r="A2516" s="15" t="s">
        <v>2656</v>
      </c>
      <c r="B2516" s="16">
        <v>1212</v>
      </c>
      <c r="C2516" s="16">
        <v>53934</v>
      </c>
      <c r="D2516" s="31">
        <v>44760</v>
      </c>
      <c r="E2516" s="16">
        <v>45</v>
      </c>
      <c r="F2516" s="15" t="str">
        <f t="shared" si="39"/>
        <v>1212-53934-44760</v>
      </c>
    </row>
    <row r="2517" spans="1:6" ht="14.25" customHeight="1" x14ac:dyDescent="0.25">
      <c r="A2517" s="15" t="s">
        <v>2657</v>
      </c>
      <c r="B2517" s="16">
        <v>1212</v>
      </c>
      <c r="C2517" s="16">
        <v>53934</v>
      </c>
      <c r="D2517" s="31">
        <v>44767</v>
      </c>
      <c r="E2517" s="16">
        <v>45</v>
      </c>
      <c r="F2517" s="15" t="str">
        <f t="shared" si="39"/>
        <v>1212-53934-44767</v>
      </c>
    </row>
    <row r="2518" spans="1:6" ht="14.25" customHeight="1" x14ac:dyDescent="0.25">
      <c r="A2518" s="15" t="s">
        <v>2658</v>
      </c>
      <c r="B2518" s="16">
        <v>1212</v>
      </c>
      <c r="C2518" s="16">
        <v>53934</v>
      </c>
      <c r="D2518" s="31">
        <v>44774</v>
      </c>
      <c r="E2518" s="16">
        <v>45</v>
      </c>
      <c r="F2518" s="15" t="str">
        <f t="shared" si="39"/>
        <v>1212-53934-44774</v>
      </c>
    </row>
    <row r="2519" spans="1:6" ht="14.25" customHeight="1" x14ac:dyDescent="0.25">
      <c r="A2519" s="15" t="s">
        <v>2659</v>
      </c>
      <c r="B2519" s="16">
        <v>1212</v>
      </c>
      <c r="C2519" s="16">
        <v>53934</v>
      </c>
      <c r="D2519" s="31">
        <v>44781</v>
      </c>
      <c r="E2519" s="16">
        <v>45</v>
      </c>
      <c r="F2519" s="15" t="str">
        <f t="shared" si="39"/>
        <v>1212-53934-44781</v>
      </c>
    </row>
    <row r="2520" spans="1:6" ht="14.25" customHeight="1" x14ac:dyDescent="0.25">
      <c r="A2520" s="15" t="s">
        <v>2660</v>
      </c>
      <c r="B2520" s="16">
        <v>1212</v>
      </c>
      <c r="C2520" s="16">
        <v>53934</v>
      </c>
      <c r="D2520" s="31">
        <v>44788</v>
      </c>
      <c r="E2520" s="16">
        <v>45</v>
      </c>
      <c r="F2520" s="15" t="str">
        <f t="shared" si="39"/>
        <v>1212-53934-44788</v>
      </c>
    </row>
    <row r="2521" spans="1:6" ht="14.25" customHeight="1" x14ac:dyDescent="0.25">
      <c r="A2521" s="15" t="s">
        <v>2661</v>
      </c>
      <c r="B2521" s="16">
        <v>1212</v>
      </c>
      <c r="C2521" s="16">
        <v>78699</v>
      </c>
      <c r="D2521" s="31">
        <v>44739</v>
      </c>
      <c r="E2521" s="16">
        <v>6</v>
      </c>
      <c r="F2521" s="15" t="str">
        <f t="shared" si="39"/>
        <v>1212-78699-44739</v>
      </c>
    </row>
    <row r="2522" spans="1:6" ht="14.25" customHeight="1" x14ac:dyDescent="0.25">
      <c r="A2522" s="15" t="s">
        <v>2662</v>
      </c>
      <c r="B2522" s="16">
        <v>1212</v>
      </c>
      <c r="C2522" s="16">
        <v>78699</v>
      </c>
      <c r="D2522" s="31">
        <v>44746</v>
      </c>
      <c r="E2522" s="16">
        <v>6</v>
      </c>
      <c r="F2522" s="15" t="str">
        <f t="shared" si="39"/>
        <v>1212-78699-44746</v>
      </c>
    </row>
    <row r="2523" spans="1:6" ht="14.25" customHeight="1" x14ac:dyDescent="0.25">
      <c r="A2523" s="15" t="s">
        <v>2663</v>
      </c>
      <c r="B2523" s="16">
        <v>1212</v>
      </c>
      <c r="C2523" s="16">
        <v>78699</v>
      </c>
      <c r="D2523" s="31">
        <v>44753</v>
      </c>
      <c r="E2523" s="16">
        <v>6</v>
      </c>
      <c r="F2523" s="15" t="str">
        <f t="shared" si="39"/>
        <v>1212-78699-44753</v>
      </c>
    </row>
    <row r="2524" spans="1:6" ht="14.25" customHeight="1" x14ac:dyDescent="0.25">
      <c r="A2524" s="15" t="s">
        <v>2664</v>
      </c>
      <c r="B2524" s="16">
        <v>1212</v>
      </c>
      <c r="C2524" s="16">
        <v>78699</v>
      </c>
      <c r="D2524" s="31">
        <v>44760</v>
      </c>
      <c r="E2524" s="16">
        <v>6</v>
      </c>
      <c r="F2524" s="15" t="str">
        <f t="shared" si="39"/>
        <v>1212-78699-44760</v>
      </c>
    </row>
    <row r="2525" spans="1:6" ht="14.25" customHeight="1" x14ac:dyDescent="0.25">
      <c r="A2525" s="15" t="s">
        <v>2665</v>
      </c>
      <c r="B2525" s="16">
        <v>1212</v>
      </c>
      <c r="C2525" s="16">
        <v>78699</v>
      </c>
      <c r="D2525" s="31">
        <v>44767</v>
      </c>
      <c r="E2525" s="16">
        <v>6</v>
      </c>
      <c r="F2525" s="15" t="str">
        <f t="shared" si="39"/>
        <v>1212-78699-44767</v>
      </c>
    </row>
    <row r="2526" spans="1:6" ht="14.25" customHeight="1" x14ac:dyDescent="0.25">
      <c r="A2526" s="15" t="s">
        <v>2666</v>
      </c>
      <c r="B2526" s="16">
        <v>1212</v>
      </c>
      <c r="C2526" s="16">
        <v>78699</v>
      </c>
      <c r="D2526" s="31">
        <v>44774</v>
      </c>
      <c r="E2526" s="16">
        <v>6</v>
      </c>
      <c r="F2526" s="15" t="str">
        <f t="shared" si="39"/>
        <v>1212-78699-44774</v>
      </c>
    </row>
    <row r="2527" spans="1:6" ht="14.25" customHeight="1" x14ac:dyDescent="0.25">
      <c r="A2527" s="15" t="s">
        <v>2667</v>
      </c>
      <c r="B2527" s="16">
        <v>1212</v>
      </c>
      <c r="C2527" s="16">
        <v>78699</v>
      </c>
      <c r="D2527" s="31">
        <v>44781</v>
      </c>
      <c r="E2527" s="16">
        <v>6</v>
      </c>
      <c r="F2527" s="15" t="str">
        <f t="shared" si="39"/>
        <v>1212-78699-44781</v>
      </c>
    </row>
    <row r="2528" spans="1:6" ht="14.25" customHeight="1" x14ac:dyDescent="0.25">
      <c r="A2528" s="15" t="s">
        <v>2668</v>
      </c>
      <c r="B2528" s="16">
        <v>1212</v>
      </c>
      <c r="C2528" s="16">
        <v>78699</v>
      </c>
      <c r="D2528" s="31">
        <v>44788</v>
      </c>
      <c r="E2528" s="16">
        <v>6</v>
      </c>
      <c r="F2528" s="15" t="str">
        <f t="shared" si="39"/>
        <v>1212-78699-44788</v>
      </c>
    </row>
    <row r="2529" spans="1:6" ht="14.25" customHeight="1" x14ac:dyDescent="0.25">
      <c r="A2529" s="15" t="s">
        <v>2669</v>
      </c>
      <c r="B2529" s="16">
        <v>1212</v>
      </c>
      <c r="C2529" s="16">
        <v>78869</v>
      </c>
      <c r="D2529" s="31">
        <v>44739</v>
      </c>
      <c r="E2529" s="16">
        <v>15</v>
      </c>
      <c r="F2529" s="15" t="str">
        <f t="shared" si="39"/>
        <v>1212-78869-44739</v>
      </c>
    </row>
    <row r="2530" spans="1:6" ht="14.25" customHeight="1" x14ac:dyDescent="0.25">
      <c r="A2530" s="15" t="s">
        <v>2670</v>
      </c>
      <c r="B2530" s="16">
        <v>1212</v>
      </c>
      <c r="C2530" s="16">
        <v>78869</v>
      </c>
      <c r="D2530" s="31">
        <v>44746</v>
      </c>
      <c r="E2530" s="16">
        <v>12</v>
      </c>
      <c r="F2530" s="15" t="str">
        <f t="shared" si="39"/>
        <v>1212-78869-44746</v>
      </c>
    </row>
    <row r="2531" spans="1:6" ht="14.25" customHeight="1" x14ac:dyDescent="0.25">
      <c r="A2531" s="15" t="s">
        <v>2671</v>
      </c>
      <c r="B2531" s="16">
        <v>1212</v>
      </c>
      <c r="C2531" s="16">
        <v>78869</v>
      </c>
      <c r="D2531" s="31">
        <v>44753</v>
      </c>
      <c r="E2531" s="16">
        <v>13</v>
      </c>
      <c r="F2531" s="15" t="str">
        <f t="shared" si="39"/>
        <v>1212-78869-44753</v>
      </c>
    </row>
    <row r="2532" spans="1:6" ht="14.25" customHeight="1" x14ac:dyDescent="0.25">
      <c r="A2532" s="15" t="s">
        <v>2672</v>
      </c>
      <c r="B2532" s="16">
        <v>1212</v>
      </c>
      <c r="C2532" s="16">
        <v>78869</v>
      </c>
      <c r="D2532" s="31">
        <v>44760</v>
      </c>
      <c r="E2532" s="16">
        <v>12</v>
      </c>
      <c r="F2532" s="15" t="str">
        <f t="shared" si="39"/>
        <v>1212-78869-44760</v>
      </c>
    </row>
    <row r="2533" spans="1:6" ht="14.25" customHeight="1" x14ac:dyDescent="0.25">
      <c r="A2533" s="15" t="s">
        <v>2673</v>
      </c>
      <c r="B2533" s="16">
        <v>1212</v>
      </c>
      <c r="C2533" s="16">
        <v>78869</v>
      </c>
      <c r="D2533" s="31">
        <v>44767</v>
      </c>
      <c r="E2533" s="16">
        <v>6</v>
      </c>
      <c r="F2533" s="15" t="str">
        <f t="shared" si="39"/>
        <v>1212-78869-44767</v>
      </c>
    </row>
    <row r="2534" spans="1:6" ht="14.25" customHeight="1" x14ac:dyDescent="0.25">
      <c r="A2534" s="15" t="s">
        <v>2674</v>
      </c>
      <c r="B2534" s="16">
        <v>1212</v>
      </c>
      <c r="C2534" s="16">
        <v>78869</v>
      </c>
      <c r="D2534" s="31">
        <v>44774</v>
      </c>
      <c r="E2534" s="16">
        <v>12</v>
      </c>
      <c r="F2534" s="15" t="str">
        <f t="shared" si="39"/>
        <v>1212-78869-44774</v>
      </c>
    </row>
    <row r="2535" spans="1:6" ht="14.25" customHeight="1" x14ac:dyDescent="0.25">
      <c r="A2535" s="15" t="s">
        <v>2675</v>
      </c>
      <c r="B2535" s="16">
        <v>1212</v>
      </c>
      <c r="C2535" s="16">
        <v>78869</v>
      </c>
      <c r="D2535" s="31">
        <v>44781</v>
      </c>
      <c r="E2535" s="16">
        <v>12</v>
      </c>
      <c r="F2535" s="15" t="str">
        <f t="shared" si="39"/>
        <v>1212-78869-44781</v>
      </c>
    </row>
    <row r="2536" spans="1:6" ht="14.25" customHeight="1" x14ac:dyDescent="0.25">
      <c r="A2536" s="15" t="s">
        <v>2676</v>
      </c>
      <c r="B2536" s="16">
        <v>1212</v>
      </c>
      <c r="C2536" s="16">
        <v>78869</v>
      </c>
      <c r="D2536" s="31">
        <v>44788</v>
      </c>
      <c r="E2536" s="16">
        <v>6</v>
      </c>
      <c r="F2536" s="15" t="str">
        <f t="shared" si="39"/>
        <v>1212-78869-44788</v>
      </c>
    </row>
    <row r="2537" spans="1:6" ht="14.25" customHeight="1" x14ac:dyDescent="0.25">
      <c r="A2537" s="15" t="s">
        <v>2677</v>
      </c>
      <c r="B2537" s="16">
        <v>1212</v>
      </c>
      <c r="C2537" s="16">
        <v>141626</v>
      </c>
      <c r="D2537" s="31">
        <v>44739</v>
      </c>
      <c r="E2537" s="16">
        <v>27</v>
      </c>
      <c r="F2537" s="15" t="str">
        <f t="shared" si="39"/>
        <v>1212-141626-44739</v>
      </c>
    </row>
    <row r="2538" spans="1:6" ht="14.25" customHeight="1" x14ac:dyDescent="0.25">
      <c r="A2538" s="15" t="s">
        <v>2678</v>
      </c>
      <c r="B2538" s="16">
        <v>1212</v>
      </c>
      <c r="C2538" s="16">
        <v>141626</v>
      </c>
      <c r="D2538" s="31">
        <v>44746</v>
      </c>
      <c r="E2538" s="16">
        <v>24</v>
      </c>
      <c r="F2538" s="15" t="str">
        <f t="shared" si="39"/>
        <v>1212-141626-44746</v>
      </c>
    </row>
    <row r="2539" spans="1:6" ht="14.25" customHeight="1" x14ac:dyDescent="0.25">
      <c r="A2539" s="15" t="s">
        <v>2679</v>
      </c>
      <c r="B2539" s="16">
        <v>1212</v>
      </c>
      <c r="C2539" s="16">
        <v>141626</v>
      </c>
      <c r="D2539" s="31">
        <v>44753</v>
      </c>
      <c r="E2539" s="16">
        <v>26</v>
      </c>
      <c r="F2539" s="15" t="str">
        <f t="shared" si="39"/>
        <v>1212-141626-44753</v>
      </c>
    </row>
    <row r="2540" spans="1:6" ht="14.25" customHeight="1" x14ac:dyDescent="0.25">
      <c r="A2540" s="15" t="s">
        <v>2680</v>
      </c>
      <c r="B2540" s="16">
        <v>1212</v>
      </c>
      <c r="C2540" s="16">
        <v>141626</v>
      </c>
      <c r="D2540" s="31">
        <v>44760</v>
      </c>
      <c r="E2540" s="16">
        <v>24</v>
      </c>
      <c r="F2540" s="15" t="str">
        <f t="shared" si="39"/>
        <v>1212-141626-44760</v>
      </c>
    </row>
    <row r="2541" spans="1:6" ht="14.25" customHeight="1" x14ac:dyDescent="0.25">
      <c r="A2541" s="15" t="s">
        <v>2681</v>
      </c>
      <c r="B2541" s="16">
        <v>1212</v>
      </c>
      <c r="C2541" s="16">
        <v>141626</v>
      </c>
      <c r="D2541" s="31">
        <v>44767</v>
      </c>
      <c r="E2541" s="16">
        <v>30</v>
      </c>
      <c r="F2541" s="15" t="str">
        <f t="shared" si="39"/>
        <v>1212-141626-44767</v>
      </c>
    </row>
    <row r="2542" spans="1:6" ht="14.25" customHeight="1" x14ac:dyDescent="0.25">
      <c r="A2542" s="15" t="s">
        <v>2682</v>
      </c>
      <c r="B2542" s="16">
        <v>1212</v>
      </c>
      <c r="C2542" s="16">
        <v>141626</v>
      </c>
      <c r="D2542" s="31">
        <v>44774</v>
      </c>
      <c r="E2542" s="16">
        <v>26</v>
      </c>
      <c r="F2542" s="15" t="str">
        <f t="shared" si="39"/>
        <v>1212-141626-44774</v>
      </c>
    </row>
    <row r="2543" spans="1:6" ht="14.25" customHeight="1" x14ac:dyDescent="0.25">
      <c r="A2543" s="15" t="s">
        <v>2683</v>
      </c>
      <c r="B2543" s="16">
        <v>1212</v>
      </c>
      <c r="C2543" s="16">
        <v>141626</v>
      </c>
      <c r="D2543" s="31">
        <v>44781</v>
      </c>
      <c r="E2543" s="16">
        <v>10</v>
      </c>
      <c r="F2543" s="15" t="str">
        <f t="shared" si="39"/>
        <v>1212-141626-44781</v>
      </c>
    </row>
    <row r="2544" spans="1:6" ht="14.25" customHeight="1" x14ac:dyDescent="0.25">
      <c r="A2544" s="15" t="s">
        <v>2684</v>
      </c>
      <c r="B2544" s="16">
        <v>1212</v>
      </c>
      <c r="C2544" s="16">
        <v>141626</v>
      </c>
      <c r="D2544" s="31">
        <v>44788</v>
      </c>
      <c r="E2544" s="16">
        <v>29</v>
      </c>
      <c r="F2544" s="15" t="str">
        <f t="shared" si="39"/>
        <v>1212-141626-44788</v>
      </c>
    </row>
    <row r="2545" spans="1:6" ht="14.25" customHeight="1" x14ac:dyDescent="0.25">
      <c r="A2545" s="15" t="s">
        <v>2685</v>
      </c>
      <c r="B2545" s="16">
        <v>1212</v>
      </c>
      <c r="C2545" s="16">
        <v>141791</v>
      </c>
      <c r="D2545" s="31">
        <v>44739</v>
      </c>
      <c r="E2545" s="16">
        <v>3</v>
      </c>
      <c r="F2545" s="15" t="str">
        <f t="shared" si="39"/>
        <v>1212-141791-44739</v>
      </c>
    </row>
    <row r="2546" spans="1:6" ht="14.25" customHeight="1" x14ac:dyDescent="0.25">
      <c r="A2546" s="15" t="s">
        <v>2686</v>
      </c>
      <c r="B2546" s="16">
        <v>1212</v>
      </c>
      <c r="C2546" s="16">
        <v>141791</v>
      </c>
      <c r="D2546" s="31">
        <v>44746</v>
      </c>
      <c r="E2546" s="16">
        <v>3</v>
      </c>
      <c r="F2546" s="15" t="str">
        <f t="shared" si="39"/>
        <v>1212-141791-44746</v>
      </c>
    </row>
    <row r="2547" spans="1:6" ht="14.25" customHeight="1" x14ac:dyDescent="0.25">
      <c r="A2547" s="15" t="s">
        <v>2687</v>
      </c>
      <c r="B2547" s="16">
        <v>1212</v>
      </c>
      <c r="C2547" s="16">
        <v>141791</v>
      </c>
      <c r="D2547" s="31">
        <v>44753</v>
      </c>
      <c r="E2547" s="16">
        <v>3</v>
      </c>
      <c r="F2547" s="15" t="str">
        <f t="shared" si="39"/>
        <v>1212-141791-44753</v>
      </c>
    </row>
    <row r="2548" spans="1:6" ht="14.25" customHeight="1" x14ac:dyDescent="0.25">
      <c r="A2548" s="15" t="s">
        <v>2688</v>
      </c>
      <c r="B2548" s="16">
        <v>1212</v>
      </c>
      <c r="C2548" s="16">
        <v>141791</v>
      </c>
      <c r="D2548" s="31">
        <v>44760</v>
      </c>
      <c r="E2548" s="16">
        <v>3</v>
      </c>
      <c r="F2548" s="15" t="str">
        <f t="shared" si="39"/>
        <v>1212-141791-44760</v>
      </c>
    </row>
    <row r="2549" spans="1:6" ht="14.25" customHeight="1" x14ac:dyDescent="0.25">
      <c r="A2549" s="15" t="s">
        <v>2689</v>
      </c>
      <c r="B2549" s="16">
        <v>1212</v>
      </c>
      <c r="C2549" s="16">
        <v>141791</v>
      </c>
      <c r="D2549" s="31">
        <v>44767</v>
      </c>
      <c r="E2549" s="16">
        <v>3</v>
      </c>
      <c r="F2549" s="15" t="str">
        <f t="shared" si="39"/>
        <v>1212-141791-44767</v>
      </c>
    </row>
    <row r="2550" spans="1:6" ht="14.25" customHeight="1" x14ac:dyDescent="0.25">
      <c r="A2550" s="15" t="s">
        <v>2690</v>
      </c>
      <c r="B2550" s="16">
        <v>1212</v>
      </c>
      <c r="C2550" s="16">
        <v>141791</v>
      </c>
      <c r="D2550" s="31">
        <v>44774</v>
      </c>
      <c r="E2550" s="16">
        <v>3</v>
      </c>
      <c r="F2550" s="15" t="str">
        <f t="shared" si="39"/>
        <v>1212-141791-44774</v>
      </c>
    </row>
    <row r="2551" spans="1:6" ht="14.25" customHeight="1" x14ac:dyDescent="0.25">
      <c r="A2551" s="15" t="s">
        <v>2691</v>
      </c>
      <c r="B2551" s="16">
        <v>1212</v>
      </c>
      <c r="C2551" s="16">
        <v>141791</v>
      </c>
      <c r="D2551" s="31">
        <v>44781</v>
      </c>
      <c r="E2551" s="16">
        <v>3</v>
      </c>
      <c r="F2551" s="15" t="str">
        <f t="shared" si="39"/>
        <v>1212-141791-44781</v>
      </c>
    </row>
    <row r="2552" spans="1:6" ht="14.25" customHeight="1" x14ac:dyDescent="0.25">
      <c r="A2552" s="15" t="s">
        <v>2692</v>
      </c>
      <c r="B2552" s="16">
        <v>1212</v>
      </c>
      <c r="C2552" s="16">
        <v>141791</v>
      </c>
      <c r="D2552" s="31">
        <v>44788</v>
      </c>
      <c r="E2552" s="16">
        <v>3</v>
      </c>
      <c r="F2552" s="15" t="str">
        <f t="shared" si="39"/>
        <v>1212-141791-44788</v>
      </c>
    </row>
    <row r="2553" spans="1:6" ht="14.25" customHeight="1" x14ac:dyDescent="0.25">
      <c r="A2553" s="15" t="s">
        <v>2693</v>
      </c>
      <c r="B2553" s="16">
        <v>1212</v>
      </c>
      <c r="C2553" s="16">
        <v>141967</v>
      </c>
      <c r="D2553" s="31">
        <v>44739</v>
      </c>
      <c r="E2553" s="16">
        <v>3</v>
      </c>
      <c r="F2553" s="15" t="str">
        <f t="shared" si="39"/>
        <v>1212-141967-44739</v>
      </c>
    </row>
    <row r="2554" spans="1:6" ht="14.25" customHeight="1" x14ac:dyDescent="0.25">
      <c r="A2554" s="15" t="s">
        <v>2694</v>
      </c>
      <c r="B2554" s="16">
        <v>1212</v>
      </c>
      <c r="C2554" s="16">
        <v>141967</v>
      </c>
      <c r="D2554" s="31">
        <v>44746</v>
      </c>
      <c r="E2554" s="16">
        <v>3</v>
      </c>
      <c r="F2554" s="15" t="str">
        <f t="shared" si="39"/>
        <v>1212-141967-44746</v>
      </c>
    </row>
    <row r="2555" spans="1:6" ht="14.25" customHeight="1" x14ac:dyDescent="0.25">
      <c r="A2555" s="15" t="s">
        <v>2695</v>
      </c>
      <c r="B2555" s="16">
        <v>1212</v>
      </c>
      <c r="C2555" s="16">
        <v>141967</v>
      </c>
      <c r="D2555" s="31">
        <v>44753</v>
      </c>
      <c r="E2555" s="16">
        <v>3</v>
      </c>
      <c r="F2555" s="15" t="str">
        <f t="shared" si="39"/>
        <v>1212-141967-44753</v>
      </c>
    </row>
    <row r="2556" spans="1:6" ht="14.25" customHeight="1" x14ac:dyDescent="0.25">
      <c r="A2556" s="15" t="s">
        <v>2696</v>
      </c>
      <c r="B2556" s="16">
        <v>1212</v>
      </c>
      <c r="C2556" s="16">
        <v>141967</v>
      </c>
      <c r="D2556" s="31">
        <v>44760</v>
      </c>
      <c r="E2556" s="16">
        <v>3</v>
      </c>
      <c r="F2556" s="15" t="str">
        <f t="shared" si="39"/>
        <v>1212-141967-44760</v>
      </c>
    </row>
    <row r="2557" spans="1:6" ht="14.25" customHeight="1" x14ac:dyDescent="0.25">
      <c r="A2557" s="15" t="s">
        <v>2697</v>
      </c>
      <c r="B2557" s="16">
        <v>1212</v>
      </c>
      <c r="C2557" s="16">
        <v>141967</v>
      </c>
      <c r="D2557" s="31">
        <v>44767</v>
      </c>
      <c r="E2557" s="16">
        <v>3</v>
      </c>
      <c r="F2557" s="15" t="str">
        <f t="shared" si="39"/>
        <v>1212-141967-44767</v>
      </c>
    </row>
    <row r="2558" spans="1:6" ht="14.25" customHeight="1" x14ac:dyDescent="0.25">
      <c r="A2558" s="15" t="s">
        <v>2698</v>
      </c>
      <c r="B2558" s="16">
        <v>1212</v>
      </c>
      <c r="C2558" s="16">
        <v>141967</v>
      </c>
      <c r="D2558" s="31">
        <v>44774</v>
      </c>
      <c r="E2558" s="16">
        <v>3</v>
      </c>
      <c r="F2558" s="15" t="str">
        <f t="shared" si="39"/>
        <v>1212-141967-44774</v>
      </c>
    </row>
    <row r="2559" spans="1:6" ht="14.25" customHeight="1" x14ac:dyDescent="0.25">
      <c r="A2559" s="15" t="s">
        <v>2699</v>
      </c>
      <c r="B2559" s="16">
        <v>1212</v>
      </c>
      <c r="C2559" s="16">
        <v>141967</v>
      </c>
      <c r="D2559" s="31">
        <v>44781</v>
      </c>
      <c r="E2559" s="16">
        <v>3</v>
      </c>
      <c r="F2559" s="15" t="str">
        <f t="shared" si="39"/>
        <v>1212-141967-44781</v>
      </c>
    </row>
    <row r="2560" spans="1:6" ht="14.25" customHeight="1" x14ac:dyDescent="0.25">
      <c r="A2560" s="15" t="s">
        <v>2700</v>
      </c>
      <c r="B2560" s="16">
        <v>1212</v>
      </c>
      <c r="C2560" s="16">
        <v>141967</v>
      </c>
      <c r="D2560" s="31">
        <v>44788</v>
      </c>
      <c r="E2560" s="16">
        <v>3</v>
      </c>
      <c r="F2560" s="15" t="str">
        <f t="shared" si="39"/>
        <v>1212-141967-44788</v>
      </c>
    </row>
    <row r="2561" spans="1:6" ht="14.25" customHeight="1" x14ac:dyDescent="0.25">
      <c r="A2561" s="15" t="s">
        <v>2701</v>
      </c>
      <c r="B2561" s="16">
        <v>1212</v>
      </c>
      <c r="C2561" s="16">
        <v>142194</v>
      </c>
      <c r="D2561" s="31">
        <v>44739</v>
      </c>
      <c r="E2561" s="16">
        <v>3</v>
      </c>
      <c r="F2561" s="15" t="str">
        <f t="shared" si="39"/>
        <v>1212-142194-44739</v>
      </c>
    </row>
    <row r="2562" spans="1:6" ht="14.25" customHeight="1" x14ac:dyDescent="0.25">
      <c r="A2562" s="15" t="s">
        <v>2702</v>
      </c>
      <c r="B2562" s="16">
        <v>1212</v>
      </c>
      <c r="C2562" s="16">
        <v>142194</v>
      </c>
      <c r="D2562" s="31">
        <v>44746</v>
      </c>
      <c r="E2562" s="16">
        <v>3</v>
      </c>
      <c r="F2562" s="15" t="str">
        <f t="shared" si="39"/>
        <v>1212-142194-44746</v>
      </c>
    </row>
    <row r="2563" spans="1:6" ht="14.25" customHeight="1" x14ac:dyDescent="0.25">
      <c r="A2563" s="15" t="s">
        <v>2703</v>
      </c>
      <c r="B2563" s="16">
        <v>1212</v>
      </c>
      <c r="C2563" s="16">
        <v>142194</v>
      </c>
      <c r="D2563" s="31">
        <v>44753</v>
      </c>
      <c r="E2563" s="16">
        <v>3</v>
      </c>
      <c r="F2563" s="15" t="str">
        <f t="shared" ref="F2563:F2626" si="40">B2563&amp;"-"&amp;C2563&amp;"-"&amp;INT(D2563)</f>
        <v>1212-142194-44753</v>
      </c>
    </row>
    <row r="2564" spans="1:6" ht="14.25" customHeight="1" x14ac:dyDescent="0.25">
      <c r="A2564" s="15" t="s">
        <v>2704</v>
      </c>
      <c r="B2564" s="16">
        <v>1212</v>
      </c>
      <c r="C2564" s="16">
        <v>142194</v>
      </c>
      <c r="D2564" s="31">
        <v>44760</v>
      </c>
      <c r="E2564" s="16">
        <v>3</v>
      </c>
      <c r="F2564" s="15" t="str">
        <f t="shared" si="40"/>
        <v>1212-142194-44760</v>
      </c>
    </row>
    <row r="2565" spans="1:6" ht="14.25" customHeight="1" x14ac:dyDescent="0.25">
      <c r="A2565" s="15" t="s">
        <v>2705</v>
      </c>
      <c r="B2565" s="16">
        <v>1212</v>
      </c>
      <c r="C2565" s="16">
        <v>142194</v>
      </c>
      <c r="D2565" s="31">
        <v>44767</v>
      </c>
      <c r="E2565" s="16">
        <v>3</v>
      </c>
      <c r="F2565" s="15" t="str">
        <f t="shared" si="40"/>
        <v>1212-142194-44767</v>
      </c>
    </row>
    <row r="2566" spans="1:6" ht="14.25" customHeight="1" x14ac:dyDescent="0.25">
      <c r="A2566" s="15" t="s">
        <v>2706</v>
      </c>
      <c r="B2566" s="16">
        <v>1212</v>
      </c>
      <c r="C2566" s="16">
        <v>142194</v>
      </c>
      <c r="D2566" s="31">
        <v>44774</v>
      </c>
      <c r="E2566" s="16">
        <v>3</v>
      </c>
      <c r="F2566" s="15" t="str">
        <f t="shared" si="40"/>
        <v>1212-142194-44774</v>
      </c>
    </row>
    <row r="2567" spans="1:6" ht="14.25" customHeight="1" x14ac:dyDescent="0.25">
      <c r="A2567" s="15" t="s">
        <v>2707</v>
      </c>
      <c r="B2567" s="16">
        <v>1212</v>
      </c>
      <c r="C2567" s="16">
        <v>142194</v>
      </c>
      <c r="D2567" s="31">
        <v>44781</v>
      </c>
      <c r="E2567" s="16">
        <v>3</v>
      </c>
      <c r="F2567" s="15" t="str">
        <f t="shared" si="40"/>
        <v>1212-142194-44781</v>
      </c>
    </row>
    <row r="2568" spans="1:6" ht="14.25" customHeight="1" x14ac:dyDescent="0.25">
      <c r="A2568" s="15" t="s">
        <v>2708</v>
      </c>
      <c r="B2568" s="16">
        <v>1212</v>
      </c>
      <c r="C2568" s="16">
        <v>142194</v>
      </c>
      <c r="D2568" s="31">
        <v>44788</v>
      </c>
      <c r="E2568" s="16">
        <v>3</v>
      </c>
      <c r="F2568" s="15" t="str">
        <f t="shared" si="40"/>
        <v>1212-142194-44788</v>
      </c>
    </row>
    <row r="2569" spans="1:6" ht="14.25" customHeight="1" x14ac:dyDescent="0.25">
      <c r="A2569" s="15" t="s">
        <v>2709</v>
      </c>
      <c r="B2569" s="16">
        <v>1212</v>
      </c>
      <c r="C2569" s="16">
        <v>149729</v>
      </c>
      <c r="D2569" s="31">
        <v>44739</v>
      </c>
      <c r="E2569" s="16">
        <v>40</v>
      </c>
      <c r="F2569" s="15" t="str">
        <f t="shared" si="40"/>
        <v>1212-149729-44739</v>
      </c>
    </row>
    <row r="2570" spans="1:6" ht="14.25" customHeight="1" x14ac:dyDescent="0.25">
      <c r="A2570" s="15" t="s">
        <v>2710</v>
      </c>
      <c r="B2570" s="16">
        <v>1212</v>
      </c>
      <c r="C2570" s="16">
        <v>149729</v>
      </c>
      <c r="D2570" s="31">
        <v>44746</v>
      </c>
      <c r="E2570" s="16">
        <v>33</v>
      </c>
      <c r="F2570" s="15" t="str">
        <f t="shared" si="40"/>
        <v>1212-149729-44746</v>
      </c>
    </row>
    <row r="2571" spans="1:6" ht="14.25" customHeight="1" x14ac:dyDescent="0.25">
      <c r="A2571" s="15" t="s">
        <v>2711</v>
      </c>
      <c r="B2571" s="16">
        <v>1212</v>
      </c>
      <c r="C2571" s="16">
        <v>149729</v>
      </c>
      <c r="D2571" s="31">
        <v>44753</v>
      </c>
      <c r="E2571" s="16">
        <v>6</v>
      </c>
      <c r="F2571" s="15" t="str">
        <f t="shared" si="40"/>
        <v>1212-149729-44753</v>
      </c>
    </row>
    <row r="2572" spans="1:6" ht="14.25" customHeight="1" x14ac:dyDescent="0.25">
      <c r="A2572" s="15" t="s">
        <v>2712</v>
      </c>
      <c r="B2572" s="16">
        <v>1212</v>
      </c>
      <c r="C2572" s="16">
        <v>149729</v>
      </c>
      <c r="D2572" s="31">
        <v>44760</v>
      </c>
      <c r="E2572" s="16">
        <v>31</v>
      </c>
      <c r="F2572" s="15" t="str">
        <f t="shared" si="40"/>
        <v>1212-149729-44760</v>
      </c>
    </row>
    <row r="2573" spans="1:6" ht="14.25" customHeight="1" x14ac:dyDescent="0.25">
      <c r="A2573" s="15" t="s">
        <v>2713</v>
      </c>
      <c r="B2573" s="16">
        <v>1212</v>
      </c>
      <c r="C2573" s="16">
        <v>149729</v>
      </c>
      <c r="D2573" s="31">
        <v>44767</v>
      </c>
      <c r="E2573" s="16">
        <v>41</v>
      </c>
      <c r="F2573" s="15" t="str">
        <f t="shared" si="40"/>
        <v>1212-149729-44767</v>
      </c>
    </row>
    <row r="2574" spans="1:6" ht="14.25" customHeight="1" x14ac:dyDescent="0.25">
      <c r="A2574" s="15" t="s">
        <v>2714</v>
      </c>
      <c r="B2574" s="16">
        <v>1212</v>
      </c>
      <c r="C2574" s="16">
        <v>149729</v>
      </c>
      <c r="D2574" s="31">
        <v>44774</v>
      </c>
      <c r="E2574" s="16">
        <v>27</v>
      </c>
      <c r="F2574" s="15" t="str">
        <f t="shared" si="40"/>
        <v>1212-149729-44774</v>
      </c>
    </row>
    <row r="2575" spans="1:6" ht="14.25" customHeight="1" x14ac:dyDescent="0.25">
      <c r="A2575" s="15" t="s">
        <v>2715</v>
      </c>
      <c r="B2575" s="16">
        <v>1212</v>
      </c>
      <c r="C2575" s="16">
        <v>149729</v>
      </c>
      <c r="D2575" s="31">
        <v>44781</v>
      </c>
      <c r="E2575" s="16">
        <v>15</v>
      </c>
      <c r="F2575" s="15" t="str">
        <f t="shared" si="40"/>
        <v>1212-149729-44781</v>
      </c>
    </row>
    <row r="2576" spans="1:6" ht="14.25" customHeight="1" x14ac:dyDescent="0.25">
      <c r="A2576" s="15" t="s">
        <v>2716</v>
      </c>
      <c r="B2576" s="16">
        <v>1212</v>
      </c>
      <c r="C2576" s="16">
        <v>149729</v>
      </c>
      <c r="D2576" s="31">
        <v>44788</v>
      </c>
      <c r="E2576" s="16">
        <v>7</v>
      </c>
      <c r="F2576" s="15" t="str">
        <f t="shared" si="40"/>
        <v>1212-149729-44788</v>
      </c>
    </row>
    <row r="2577" spans="1:6" ht="14.25" customHeight="1" x14ac:dyDescent="0.25">
      <c r="A2577" s="15" t="s">
        <v>2717</v>
      </c>
      <c r="B2577" s="16">
        <v>1212</v>
      </c>
      <c r="C2577" s="16">
        <v>149779</v>
      </c>
      <c r="D2577" s="31">
        <v>44739</v>
      </c>
      <c r="E2577" s="16">
        <v>44</v>
      </c>
      <c r="F2577" s="15" t="str">
        <f t="shared" si="40"/>
        <v>1212-149779-44739</v>
      </c>
    </row>
    <row r="2578" spans="1:6" ht="14.25" customHeight="1" x14ac:dyDescent="0.25">
      <c r="A2578" s="15" t="s">
        <v>2718</v>
      </c>
      <c r="B2578" s="16">
        <v>1212</v>
      </c>
      <c r="C2578" s="16">
        <v>149779</v>
      </c>
      <c r="D2578" s="31">
        <v>44746</v>
      </c>
      <c r="E2578" s="16">
        <v>43</v>
      </c>
      <c r="F2578" s="15" t="str">
        <f t="shared" si="40"/>
        <v>1212-149779-44746</v>
      </c>
    </row>
    <row r="2579" spans="1:6" ht="14.25" customHeight="1" x14ac:dyDescent="0.25">
      <c r="A2579" s="15" t="s">
        <v>2719</v>
      </c>
      <c r="B2579" s="16">
        <v>1212</v>
      </c>
      <c r="C2579" s="16">
        <v>149779</v>
      </c>
      <c r="D2579" s="31">
        <v>44753</v>
      </c>
      <c r="E2579" s="16">
        <v>14</v>
      </c>
      <c r="F2579" s="15" t="str">
        <f t="shared" si="40"/>
        <v>1212-149779-44753</v>
      </c>
    </row>
    <row r="2580" spans="1:6" ht="14.25" customHeight="1" x14ac:dyDescent="0.25">
      <c r="A2580" s="15" t="s">
        <v>2720</v>
      </c>
      <c r="B2580" s="16">
        <v>1212</v>
      </c>
      <c r="C2580" s="16">
        <v>149779</v>
      </c>
      <c r="D2580" s="31">
        <v>44760</v>
      </c>
      <c r="E2580" s="16">
        <v>35</v>
      </c>
      <c r="F2580" s="15" t="str">
        <f t="shared" si="40"/>
        <v>1212-149779-44760</v>
      </c>
    </row>
    <row r="2581" spans="1:6" ht="14.25" customHeight="1" x14ac:dyDescent="0.25">
      <c r="A2581" s="15" t="s">
        <v>2721</v>
      </c>
      <c r="B2581" s="16">
        <v>1212</v>
      </c>
      <c r="C2581" s="16">
        <v>149779</v>
      </c>
      <c r="D2581" s="31">
        <v>44767</v>
      </c>
      <c r="E2581" s="16">
        <v>40</v>
      </c>
      <c r="F2581" s="15" t="str">
        <f t="shared" si="40"/>
        <v>1212-149779-44767</v>
      </c>
    </row>
    <row r="2582" spans="1:6" ht="14.25" customHeight="1" x14ac:dyDescent="0.25">
      <c r="A2582" s="15" t="s">
        <v>2722</v>
      </c>
      <c r="B2582" s="16">
        <v>1212</v>
      </c>
      <c r="C2582" s="16">
        <v>149779</v>
      </c>
      <c r="D2582" s="31">
        <v>44774</v>
      </c>
      <c r="E2582" s="16">
        <v>38</v>
      </c>
      <c r="F2582" s="15" t="str">
        <f t="shared" si="40"/>
        <v>1212-149779-44774</v>
      </c>
    </row>
    <row r="2583" spans="1:6" ht="14.25" customHeight="1" x14ac:dyDescent="0.25">
      <c r="A2583" s="15" t="s">
        <v>2723</v>
      </c>
      <c r="B2583" s="16">
        <v>1212</v>
      </c>
      <c r="C2583" s="16">
        <v>149779</v>
      </c>
      <c r="D2583" s="31">
        <v>44781</v>
      </c>
      <c r="E2583" s="16">
        <v>12</v>
      </c>
      <c r="F2583" s="15" t="str">
        <f t="shared" si="40"/>
        <v>1212-149779-44781</v>
      </c>
    </row>
    <row r="2584" spans="1:6" ht="14.25" customHeight="1" x14ac:dyDescent="0.25">
      <c r="A2584" s="15" t="s">
        <v>2724</v>
      </c>
      <c r="B2584" s="16">
        <v>1212</v>
      </c>
      <c r="C2584" s="16">
        <v>149779</v>
      </c>
      <c r="D2584" s="31">
        <v>44788</v>
      </c>
      <c r="E2584" s="16">
        <v>15</v>
      </c>
      <c r="F2584" s="15" t="str">
        <f t="shared" si="40"/>
        <v>1212-149779-44788</v>
      </c>
    </row>
    <row r="2585" spans="1:6" ht="14.25" customHeight="1" x14ac:dyDescent="0.25">
      <c r="A2585" s="15" t="s">
        <v>2725</v>
      </c>
      <c r="B2585" s="16">
        <v>1212</v>
      </c>
      <c r="C2585" s="16">
        <v>202577</v>
      </c>
      <c r="D2585" s="31">
        <v>44739</v>
      </c>
      <c r="E2585" s="16">
        <v>5</v>
      </c>
      <c r="F2585" s="15" t="str">
        <f t="shared" si="40"/>
        <v>1212-202577-44739</v>
      </c>
    </row>
    <row r="2586" spans="1:6" ht="14.25" customHeight="1" x14ac:dyDescent="0.25">
      <c r="A2586" s="15" t="s">
        <v>2726</v>
      </c>
      <c r="B2586" s="16">
        <v>1212</v>
      </c>
      <c r="C2586" s="16">
        <v>202577</v>
      </c>
      <c r="D2586" s="31">
        <v>44746</v>
      </c>
      <c r="E2586" s="16">
        <v>5</v>
      </c>
      <c r="F2586" s="15" t="str">
        <f t="shared" si="40"/>
        <v>1212-202577-44746</v>
      </c>
    </row>
    <row r="2587" spans="1:6" ht="14.25" customHeight="1" x14ac:dyDescent="0.25">
      <c r="A2587" s="15" t="s">
        <v>2727</v>
      </c>
      <c r="B2587" s="16">
        <v>1212</v>
      </c>
      <c r="C2587" s="16">
        <v>202577</v>
      </c>
      <c r="D2587" s="31">
        <v>44753</v>
      </c>
      <c r="E2587" s="16">
        <v>9</v>
      </c>
      <c r="F2587" s="15" t="str">
        <f t="shared" si="40"/>
        <v>1212-202577-44753</v>
      </c>
    </row>
    <row r="2588" spans="1:6" ht="14.25" customHeight="1" x14ac:dyDescent="0.25">
      <c r="A2588" s="15" t="s">
        <v>2728</v>
      </c>
      <c r="B2588" s="16">
        <v>1212</v>
      </c>
      <c r="C2588" s="16">
        <v>202577</v>
      </c>
      <c r="D2588" s="31">
        <v>44760</v>
      </c>
      <c r="E2588" s="16">
        <v>15</v>
      </c>
      <c r="F2588" s="15" t="str">
        <f t="shared" si="40"/>
        <v>1212-202577-44760</v>
      </c>
    </row>
    <row r="2589" spans="1:6" ht="14.25" customHeight="1" x14ac:dyDescent="0.25">
      <c r="A2589" s="15" t="s">
        <v>2729</v>
      </c>
      <c r="B2589" s="16">
        <v>1212</v>
      </c>
      <c r="C2589" s="16">
        <v>202577</v>
      </c>
      <c r="D2589" s="31">
        <v>44767</v>
      </c>
      <c r="E2589" s="16">
        <v>12</v>
      </c>
      <c r="F2589" s="15" t="str">
        <f t="shared" si="40"/>
        <v>1212-202577-44767</v>
      </c>
    </row>
    <row r="2590" spans="1:6" ht="14.25" customHeight="1" x14ac:dyDescent="0.25">
      <c r="A2590" s="15" t="s">
        <v>2730</v>
      </c>
      <c r="B2590" s="16">
        <v>1212</v>
      </c>
      <c r="C2590" s="16">
        <v>202577</v>
      </c>
      <c r="D2590" s="31">
        <v>44774</v>
      </c>
      <c r="E2590" s="16">
        <v>12</v>
      </c>
      <c r="F2590" s="15" t="str">
        <f t="shared" si="40"/>
        <v>1212-202577-44774</v>
      </c>
    </row>
    <row r="2591" spans="1:6" ht="14.25" customHeight="1" x14ac:dyDescent="0.25">
      <c r="A2591" s="15" t="s">
        <v>2731</v>
      </c>
      <c r="B2591" s="16">
        <v>1212</v>
      </c>
      <c r="C2591" s="16">
        <v>202577</v>
      </c>
      <c r="D2591" s="31">
        <v>44781</v>
      </c>
      <c r="E2591" s="16">
        <v>15</v>
      </c>
      <c r="F2591" s="15" t="str">
        <f t="shared" si="40"/>
        <v>1212-202577-44781</v>
      </c>
    </row>
    <row r="2592" spans="1:6" ht="14.25" customHeight="1" x14ac:dyDescent="0.25">
      <c r="A2592" s="15" t="s">
        <v>2732</v>
      </c>
      <c r="B2592" s="16">
        <v>1212</v>
      </c>
      <c r="C2592" s="16">
        <v>202577</v>
      </c>
      <c r="D2592" s="31">
        <v>44788</v>
      </c>
      <c r="E2592" s="16">
        <v>13</v>
      </c>
      <c r="F2592" s="15" t="str">
        <f t="shared" si="40"/>
        <v>1212-202577-44788</v>
      </c>
    </row>
    <row r="2593" spans="1:6" ht="14.25" customHeight="1" x14ac:dyDescent="0.25">
      <c r="A2593" s="15" t="s">
        <v>2733</v>
      </c>
      <c r="B2593" s="16">
        <v>1212</v>
      </c>
      <c r="C2593" s="16">
        <v>234334</v>
      </c>
      <c r="D2593" s="31">
        <v>44739</v>
      </c>
      <c r="E2593" s="16">
        <v>53</v>
      </c>
      <c r="F2593" s="15" t="str">
        <f t="shared" si="40"/>
        <v>1212-234334-44739</v>
      </c>
    </row>
    <row r="2594" spans="1:6" ht="14.25" customHeight="1" x14ac:dyDescent="0.25">
      <c r="A2594" s="15" t="s">
        <v>2734</v>
      </c>
      <c r="B2594" s="16">
        <v>1212</v>
      </c>
      <c r="C2594" s="16">
        <v>234334</v>
      </c>
      <c r="D2594" s="31">
        <v>44746</v>
      </c>
      <c r="E2594" s="16">
        <v>30</v>
      </c>
      <c r="F2594" s="15" t="str">
        <f t="shared" si="40"/>
        <v>1212-234334-44746</v>
      </c>
    </row>
    <row r="2595" spans="1:6" ht="14.25" customHeight="1" x14ac:dyDescent="0.25">
      <c r="A2595" s="15" t="s">
        <v>2735</v>
      </c>
      <c r="B2595" s="16">
        <v>1212</v>
      </c>
      <c r="C2595" s="16">
        <v>234334</v>
      </c>
      <c r="D2595" s="31">
        <v>44753</v>
      </c>
      <c r="E2595" s="16">
        <v>50</v>
      </c>
      <c r="F2595" s="15" t="str">
        <f t="shared" si="40"/>
        <v>1212-234334-44753</v>
      </c>
    </row>
    <row r="2596" spans="1:6" ht="14.25" customHeight="1" x14ac:dyDescent="0.25">
      <c r="A2596" s="15" t="s">
        <v>2736</v>
      </c>
      <c r="B2596" s="16">
        <v>1212</v>
      </c>
      <c r="C2596" s="16">
        <v>234334</v>
      </c>
      <c r="D2596" s="31">
        <v>44760</v>
      </c>
      <c r="E2596" s="16">
        <v>54</v>
      </c>
      <c r="F2596" s="15" t="str">
        <f t="shared" si="40"/>
        <v>1212-234334-44760</v>
      </c>
    </row>
    <row r="2597" spans="1:6" ht="14.25" customHeight="1" x14ac:dyDescent="0.25">
      <c r="A2597" s="15" t="s">
        <v>2737</v>
      </c>
      <c r="B2597" s="16">
        <v>1212</v>
      </c>
      <c r="C2597" s="16">
        <v>234334</v>
      </c>
      <c r="D2597" s="31">
        <v>44767</v>
      </c>
      <c r="E2597" s="16">
        <v>50</v>
      </c>
      <c r="F2597" s="15" t="str">
        <f t="shared" si="40"/>
        <v>1212-234334-44767</v>
      </c>
    </row>
    <row r="2598" spans="1:6" ht="14.25" customHeight="1" x14ac:dyDescent="0.25">
      <c r="A2598" s="15" t="s">
        <v>2738</v>
      </c>
      <c r="B2598" s="16">
        <v>1212</v>
      </c>
      <c r="C2598" s="16">
        <v>234334</v>
      </c>
      <c r="D2598" s="31">
        <v>44774</v>
      </c>
      <c r="E2598" s="16">
        <v>50</v>
      </c>
      <c r="F2598" s="15" t="str">
        <f t="shared" si="40"/>
        <v>1212-234334-44774</v>
      </c>
    </row>
    <row r="2599" spans="1:6" ht="14.25" customHeight="1" x14ac:dyDescent="0.25">
      <c r="A2599" s="15" t="s">
        <v>2739</v>
      </c>
      <c r="B2599" s="16">
        <v>1212</v>
      </c>
      <c r="C2599" s="16">
        <v>234334</v>
      </c>
      <c r="D2599" s="31">
        <v>44781</v>
      </c>
      <c r="E2599" s="16">
        <v>42</v>
      </c>
      <c r="F2599" s="15" t="str">
        <f t="shared" si="40"/>
        <v>1212-234334-44781</v>
      </c>
    </row>
    <row r="2600" spans="1:6" ht="14.25" customHeight="1" x14ac:dyDescent="0.25">
      <c r="A2600" s="15" t="s">
        <v>2740</v>
      </c>
      <c r="B2600" s="16">
        <v>1212</v>
      </c>
      <c r="C2600" s="16">
        <v>234334</v>
      </c>
      <c r="D2600" s="31">
        <v>44788</v>
      </c>
      <c r="E2600" s="16">
        <v>45</v>
      </c>
      <c r="F2600" s="15" t="str">
        <f t="shared" si="40"/>
        <v>1212-234334-44788</v>
      </c>
    </row>
    <row r="2601" spans="1:6" ht="14.25" customHeight="1" x14ac:dyDescent="0.25">
      <c r="A2601" s="15" t="s">
        <v>2741</v>
      </c>
      <c r="B2601" s="16">
        <v>1212</v>
      </c>
      <c r="C2601" s="16">
        <v>249444</v>
      </c>
      <c r="D2601" s="31">
        <v>44739</v>
      </c>
      <c r="E2601" s="16">
        <v>19</v>
      </c>
      <c r="F2601" s="15" t="str">
        <f t="shared" si="40"/>
        <v>1212-249444-44739</v>
      </c>
    </row>
    <row r="2602" spans="1:6" ht="14.25" customHeight="1" x14ac:dyDescent="0.25">
      <c r="A2602" s="15" t="s">
        <v>2742</v>
      </c>
      <c r="B2602" s="16">
        <v>1212</v>
      </c>
      <c r="C2602" s="16">
        <v>249444</v>
      </c>
      <c r="D2602" s="31">
        <v>44746</v>
      </c>
      <c r="E2602" s="16">
        <v>57</v>
      </c>
      <c r="F2602" s="15" t="str">
        <f t="shared" si="40"/>
        <v>1212-249444-44746</v>
      </c>
    </row>
    <row r="2603" spans="1:6" ht="14.25" customHeight="1" x14ac:dyDescent="0.25">
      <c r="A2603" s="15" t="s">
        <v>2743</v>
      </c>
      <c r="B2603" s="16">
        <v>1212</v>
      </c>
      <c r="C2603" s="16">
        <v>249444</v>
      </c>
      <c r="D2603" s="31">
        <v>44753</v>
      </c>
      <c r="E2603" s="16">
        <v>83</v>
      </c>
      <c r="F2603" s="15" t="str">
        <f t="shared" si="40"/>
        <v>1212-249444-44753</v>
      </c>
    </row>
    <row r="2604" spans="1:6" ht="14.25" customHeight="1" x14ac:dyDescent="0.25">
      <c r="A2604" s="15" t="s">
        <v>2744</v>
      </c>
      <c r="B2604" s="16">
        <v>1212</v>
      </c>
      <c r="C2604" s="16">
        <v>249444</v>
      </c>
      <c r="D2604" s="31">
        <v>44760</v>
      </c>
      <c r="E2604" s="16">
        <v>22</v>
      </c>
      <c r="F2604" s="15" t="str">
        <f t="shared" si="40"/>
        <v>1212-249444-44760</v>
      </c>
    </row>
    <row r="2605" spans="1:6" ht="14.25" customHeight="1" x14ac:dyDescent="0.25">
      <c r="A2605" s="15" t="s">
        <v>2745</v>
      </c>
      <c r="B2605" s="16">
        <v>1212</v>
      </c>
      <c r="C2605" s="16">
        <v>249444</v>
      </c>
      <c r="D2605" s="31">
        <v>44767</v>
      </c>
      <c r="E2605" s="16">
        <v>20</v>
      </c>
      <c r="F2605" s="15" t="str">
        <f t="shared" si="40"/>
        <v>1212-249444-44767</v>
      </c>
    </row>
    <row r="2606" spans="1:6" ht="14.25" customHeight="1" x14ac:dyDescent="0.25">
      <c r="A2606" s="15" t="s">
        <v>2746</v>
      </c>
      <c r="B2606" s="16">
        <v>1212</v>
      </c>
      <c r="C2606" s="16">
        <v>249444</v>
      </c>
      <c r="D2606" s="31">
        <v>44774</v>
      </c>
      <c r="E2606" s="16">
        <v>66</v>
      </c>
      <c r="F2606" s="15" t="str">
        <f t="shared" si="40"/>
        <v>1212-249444-44774</v>
      </c>
    </row>
    <row r="2607" spans="1:6" ht="14.25" customHeight="1" x14ac:dyDescent="0.25">
      <c r="A2607" s="15" t="s">
        <v>2747</v>
      </c>
      <c r="B2607" s="16">
        <v>1212</v>
      </c>
      <c r="C2607" s="16">
        <v>249444</v>
      </c>
      <c r="D2607" s="31">
        <v>44781</v>
      </c>
      <c r="E2607" s="16">
        <v>56</v>
      </c>
      <c r="F2607" s="15" t="str">
        <f t="shared" si="40"/>
        <v>1212-249444-44781</v>
      </c>
    </row>
    <row r="2608" spans="1:6" ht="14.25" customHeight="1" x14ac:dyDescent="0.25">
      <c r="A2608" s="15" t="s">
        <v>2748</v>
      </c>
      <c r="B2608" s="16">
        <v>1212</v>
      </c>
      <c r="C2608" s="16">
        <v>249444</v>
      </c>
      <c r="D2608" s="31">
        <v>44788</v>
      </c>
      <c r="E2608" s="16">
        <v>82</v>
      </c>
      <c r="F2608" s="15" t="str">
        <f t="shared" si="40"/>
        <v>1212-249444-44788</v>
      </c>
    </row>
    <row r="2609" spans="1:6" ht="14.25" customHeight="1" x14ac:dyDescent="0.25">
      <c r="A2609" s="15" t="s">
        <v>2749</v>
      </c>
      <c r="B2609" s="16">
        <v>1212</v>
      </c>
      <c r="C2609" s="16">
        <v>250979</v>
      </c>
      <c r="D2609" s="31">
        <v>44739</v>
      </c>
      <c r="E2609" s="16">
        <v>12</v>
      </c>
      <c r="F2609" s="15" t="str">
        <f t="shared" si="40"/>
        <v>1212-250979-44739</v>
      </c>
    </row>
    <row r="2610" spans="1:6" ht="14.25" customHeight="1" x14ac:dyDescent="0.25">
      <c r="A2610" s="15" t="s">
        <v>2750</v>
      </c>
      <c r="B2610" s="16">
        <v>1212</v>
      </c>
      <c r="C2610" s="16">
        <v>250979</v>
      </c>
      <c r="D2610" s="31">
        <v>44746</v>
      </c>
      <c r="E2610" s="16">
        <v>75</v>
      </c>
      <c r="F2610" s="15" t="str">
        <f t="shared" si="40"/>
        <v>1212-250979-44746</v>
      </c>
    </row>
    <row r="2611" spans="1:6" ht="14.25" customHeight="1" x14ac:dyDescent="0.25">
      <c r="A2611" s="15" t="s">
        <v>2751</v>
      </c>
      <c r="B2611" s="16">
        <v>1212</v>
      </c>
      <c r="C2611" s="16">
        <v>250979</v>
      </c>
      <c r="D2611" s="31">
        <v>44753</v>
      </c>
      <c r="E2611" s="16">
        <v>86</v>
      </c>
      <c r="F2611" s="15" t="str">
        <f t="shared" si="40"/>
        <v>1212-250979-44753</v>
      </c>
    </row>
    <row r="2612" spans="1:6" ht="14.25" customHeight="1" x14ac:dyDescent="0.25">
      <c r="A2612" s="15" t="s">
        <v>2752</v>
      </c>
      <c r="B2612" s="16">
        <v>1212</v>
      </c>
      <c r="C2612" s="16">
        <v>250979</v>
      </c>
      <c r="D2612" s="31">
        <v>44760</v>
      </c>
      <c r="E2612" s="16">
        <v>15</v>
      </c>
      <c r="F2612" s="15" t="str">
        <f t="shared" si="40"/>
        <v>1212-250979-44760</v>
      </c>
    </row>
    <row r="2613" spans="1:6" ht="14.25" customHeight="1" x14ac:dyDescent="0.25">
      <c r="A2613" s="15" t="s">
        <v>2753</v>
      </c>
      <c r="B2613" s="16">
        <v>1212</v>
      </c>
      <c r="C2613" s="16">
        <v>250979</v>
      </c>
      <c r="D2613" s="31">
        <v>44767</v>
      </c>
      <c r="E2613" s="16">
        <v>71</v>
      </c>
      <c r="F2613" s="15" t="str">
        <f t="shared" si="40"/>
        <v>1212-250979-44767</v>
      </c>
    </row>
    <row r="2614" spans="1:6" ht="14.25" customHeight="1" x14ac:dyDescent="0.25">
      <c r="A2614" s="15" t="s">
        <v>2754</v>
      </c>
      <c r="B2614" s="16">
        <v>1212</v>
      </c>
      <c r="C2614" s="16">
        <v>250979</v>
      </c>
      <c r="D2614" s="31">
        <v>44774</v>
      </c>
      <c r="E2614" s="16">
        <v>58</v>
      </c>
      <c r="F2614" s="15" t="str">
        <f t="shared" si="40"/>
        <v>1212-250979-44774</v>
      </c>
    </row>
    <row r="2615" spans="1:6" ht="14.25" customHeight="1" x14ac:dyDescent="0.25">
      <c r="A2615" s="15" t="s">
        <v>2755</v>
      </c>
      <c r="B2615" s="16">
        <v>1212</v>
      </c>
      <c r="C2615" s="16">
        <v>250979</v>
      </c>
      <c r="D2615" s="31">
        <v>44781</v>
      </c>
      <c r="E2615" s="16">
        <v>63</v>
      </c>
      <c r="F2615" s="15" t="str">
        <f t="shared" si="40"/>
        <v>1212-250979-44781</v>
      </c>
    </row>
    <row r="2616" spans="1:6" ht="14.25" customHeight="1" x14ac:dyDescent="0.25">
      <c r="A2616" s="15" t="s">
        <v>2756</v>
      </c>
      <c r="B2616" s="16">
        <v>1212</v>
      </c>
      <c r="C2616" s="16">
        <v>250979</v>
      </c>
      <c r="D2616" s="31">
        <v>44788</v>
      </c>
      <c r="E2616" s="16">
        <v>10</v>
      </c>
      <c r="F2616" s="15" t="str">
        <f t="shared" si="40"/>
        <v>1212-250979-44788</v>
      </c>
    </row>
    <row r="2617" spans="1:6" ht="14.25" customHeight="1" x14ac:dyDescent="0.25">
      <c r="A2617" s="15" t="s">
        <v>2757</v>
      </c>
      <c r="B2617" s="16">
        <v>1212</v>
      </c>
      <c r="C2617" s="16">
        <v>250981</v>
      </c>
      <c r="D2617" s="31">
        <v>44739</v>
      </c>
      <c r="E2617" s="16">
        <v>10</v>
      </c>
      <c r="F2617" s="15" t="str">
        <f t="shared" si="40"/>
        <v>1212-250981-44739</v>
      </c>
    </row>
    <row r="2618" spans="1:6" ht="14.25" customHeight="1" x14ac:dyDescent="0.25">
      <c r="A2618" s="15" t="s">
        <v>2758</v>
      </c>
      <c r="B2618" s="16">
        <v>1212</v>
      </c>
      <c r="C2618" s="16">
        <v>250981</v>
      </c>
      <c r="D2618" s="31">
        <v>44746</v>
      </c>
      <c r="E2618" s="16">
        <v>-5</v>
      </c>
      <c r="F2618" s="15" t="str">
        <f t="shared" si="40"/>
        <v>1212-250981-44746</v>
      </c>
    </row>
    <row r="2619" spans="1:6" ht="14.25" customHeight="1" x14ac:dyDescent="0.25">
      <c r="A2619" s="15" t="s">
        <v>2759</v>
      </c>
      <c r="B2619" s="16">
        <v>1212</v>
      </c>
      <c r="C2619" s="16">
        <v>250981</v>
      </c>
      <c r="D2619" s="31">
        <v>44753</v>
      </c>
      <c r="E2619" s="16">
        <v>8</v>
      </c>
      <c r="F2619" s="15" t="str">
        <f t="shared" si="40"/>
        <v>1212-250981-44753</v>
      </c>
    </row>
    <row r="2620" spans="1:6" ht="14.25" customHeight="1" x14ac:dyDescent="0.25">
      <c r="A2620" s="15" t="s">
        <v>2760</v>
      </c>
      <c r="B2620" s="16">
        <v>1212</v>
      </c>
      <c r="C2620" s="16">
        <v>250981</v>
      </c>
      <c r="D2620" s="31">
        <v>44760</v>
      </c>
      <c r="E2620" s="16">
        <v>12</v>
      </c>
      <c r="F2620" s="15" t="str">
        <f t="shared" si="40"/>
        <v>1212-250981-44760</v>
      </c>
    </row>
    <row r="2621" spans="1:6" ht="14.25" customHeight="1" x14ac:dyDescent="0.25">
      <c r="A2621" s="15" t="s">
        <v>2761</v>
      </c>
      <c r="B2621" s="16">
        <v>1212</v>
      </c>
      <c r="C2621" s="16">
        <v>250981</v>
      </c>
      <c r="D2621" s="31">
        <v>44767</v>
      </c>
      <c r="E2621" s="16">
        <v>-2</v>
      </c>
      <c r="F2621" s="15" t="str">
        <f t="shared" si="40"/>
        <v>1212-250981-44767</v>
      </c>
    </row>
    <row r="2622" spans="1:6" ht="14.25" customHeight="1" x14ac:dyDescent="0.25">
      <c r="A2622" s="15" t="s">
        <v>2762</v>
      </c>
      <c r="B2622" s="16">
        <v>1212</v>
      </c>
      <c r="C2622" s="16">
        <v>250981</v>
      </c>
      <c r="D2622" s="31">
        <v>44774</v>
      </c>
      <c r="E2622" s="16">
        <v>12</v>
      </c>
      <c r="F2622" s="15" t="str">
        <f t="shared" si="40"/>
        <v>1212-250981-44774</v>
      </c>
    </row>
    <row r="2623" spans="1:6" ht="14.25" customHeight="1" x14ac:dyDescent="0.25">
      <c r="A2623" s="15" t="s">
        <v>2763</v>
      </c>
      <c r="B2623" s="16">
        <v>1212</v>
      </c>
      <c r="C2623" s="16">
        <v>250981</v>
      </c>
      <c r="D2623" s="31">
        <v>44781</v>
      </c>
      <c r="E2623" s="16">
        <v>-5</v>
      </c>
      <c r="F2623" s="15" t="str">
        <f t="shared" si="40"/>
        <v>1212-250981-44781</v>
      </c>
    </row>
    <row r="2624" spans="1:6" ht="14.25" customHeight="1" x14ac:dyDescent="0.25">
      <c r="A2624" s="15" t="s">
        <v>2764</v>
      </c>
      <c r="B2624" s="16">
        <v>1212</v>
      </c>
      <c r="C2624" s="16">
        <v>250981</v>
      </c>
      <c r="D2624" s="31">
        <v>44788</v>
      </c>
      <c r="E2624" s="16">
        <v>6</v>
      </c>
      <c r="F2624" s="15" t="str">
        <f t="shared" si="40"/>
        <v>1212-250981-44788</v>
      </c>
    </row>
    <row r="2625" spans="1:6" ht="14.25" customHeight="1" x14ac:dyDescent="0.25">
      <c r="A2625" s="15" t="s">
        <v>2765</v>
      </c>
      <c r="B2625" s="16">
        <v>1212</v>
      </c>
      <c r="C2625" s="16">
        <v>262294</v>
      </c>
      <c r="D2625" s="31">
        <v>44739</v>
      </c>
      <c r="E2625" s="16">
        <v>9</v>
      </c>
      <c r="F2625" s="15" t="str">
        <f t="shared" si="40"/>
        <v>1212-262294-44739</v>
      </c>
    </row>
    <row r="2626" spans="1:6" ht="14.25" customHeight="1" x14ac:dyDescent="0.25">
      <c r="A2626" s="15" t="s">
        <v>2766</v>
      </c>
      <c r="B2626" s="16">
        <v>1212</v>
      </c>
      <c r="C2626" s="16">
        <v>262294</v>
      </c>
      <c r="D2626" s="31">
        <v>44746</v>
      </c>
      <c r="E2626" s="16">
        <v>9</v>
      </c>
      <c r="F2626" s="15" t="str">
        <f t="shared" si="40"/>
        <v>1212-262294-44746</v>
      </c>
    </row>
    <row r="2627" spans="1:6" ht="14.25" customHeight="1" x14ac:dyDescent="0.25">
      <c r="A2627" s="15" t="s">
        <v>2767</v>
      </c>
      <c r="B2627" s="16">
        <v>1212</v>
      </c>
      <c r="C2627" s="16">
        <v>262294</v>
      </c>
      <c r="D2627" s="31">
        <v>44753</v>
      </c>
      <c r="E2627" s="16">
        <v>9</v>
      </c>
      <c r="F2627" s="15" t="str">
        <f t="shared" ref="F2627:F2690" si="41">B2627&amp;"-"&amp;C2627&amp;"-"&amp;INT(D2627)</f>
        <v>1212-262294-44753</v>
      </c>
    </row>
    <row r="2628" spans="1:6" ht="14.25" customHeight="1" x14ac:dyDescent="0.25">
      <c r="A2628" s="15" t="s">
        <v>2768</v>
      </c>
      <c r="B2628" s="16">
        <v>1212</v>
      </c>
      <c r="C2628" s="16">
        <v>262294</v>
      </c>
      <c r="D2628" s="31">
        <v>44760</v>
      </c>
      <c r="E2628" s="16">
        <v>9</v>
      </c>
      <c r="F2628" s="15" t="str">
        <f t="shared" si="41"/>
        <v>1212-262294-44760</v>
      </c>
    </row>
    <row r="2629" spans="1:6" ht="14.25" customHeight="1" x14ac:dyDescent="0.25">
      <c r="A2629" s="15" t="s">
        <v>2769</v>
      </c>
      <c r="B2629" s="16">
        <v>1212</v>
      </c>
      <c r="C2629" s="16">
        <v>262294</v>
      </c>
      <c r="D2629" s="31">
        <v>44767</v>
      </c>
      <c r="E2629" s="16">
        <v>9</v>
      </c>
      <c r="F2629" s="15" t="str">
        <f t="shared" si="41"/>
        <v>1212-262294-44767</v>
      </c>
    </row>
    <row r="2630" spans="1:6" ht="14.25" customHeight="1" x14ac:dyDescent="0.25">
      <c r="A2630" s="15" t="s">
        <v>2770</v>
      </c>
      <c r="B2630" s="16">
        <v>1212</v>
      </c>
      <c r="C2630" s="16">
        <v>262294</v>
      </c>
      <c r="D2630" s="31">
        <v>44774</v>
      </c>
      <c r="E2630" s="16">
        <v>9</v>
      </c>
      <c r="F2630" s="15" t="str">
        <f t="shared" si="41"/>
        <v>1212-262294-44774</v>
      </c>
    </row>
    <row r="2631" spans="1:6" ht="14.25" customHeight="1" x14ac:dyDescent="0.25">
      <c r="A2631" s="15" t="s">
        <v>2771</v>
      </c>
      <c r="B2631" s="16">
        <v>1212</v>
      </c>
      <c r="C2631" s="16">
        <v>262294</v>
      </c>
      <c r="D2631" s="31">
        <v>44781</v>
      </c>
      <c r="E2631" s="16">
        <v>9</v>
      </c>
      <c r="F2631" s="15" t="str">
        <f t="shared" si="41"/>
        <v>1212-262294-44781</v>
      </c>
    </row>
    <row r="2632" spans="1:6" ht="14.25" customHeight="1" x14ac:dyDescent="0.25">
      <c r="A2632" s="15" t="s">
        <v>2772</v>
      </c>
      <c r="B2632" s="16">
        <v>1212</v>
      </c>
      <c r="C2632" s="16">
        <v>262294</v>
      </c>
      <c r="D2632" s="31">
        <v>44788</v>
      </c>
      <c r="E2632" s="16">
        <v>9</v>
      </c>
      <c r="F2632" s="15" t="str">
        <f t="shared" si="41"/>
        <v>1212-262294-44788</v>
      </c>
    </row>
    <row r="2633" spans="1:6" ht="14.25" customHeight="1" x14ac:dyDescent="0.25">
      <c r="A2633" s="15" t="s">
        <v>2773</v>
      </c>
      <c r="B2633" s="16">
        <v>1212</v>
      </c>
      <c r="C2633" s="16">
        <v>268831</v>
      </c>
      <c r="D2633" s="31">
        <v>44739</v>
      </c>
      <c r="E2633" s="16">
        <v>84</v>
      </c>
      <c r="F2633" s="15" t="str">
        <f t="shared" si="41"/>
        <v>1212-268831-44739</v>
      </c>
    </row>
    <row r="2634" spans="1:6" ht="14.25" customHeight="1" x14ac:dyDescent="0.25">
      <c r="A2634" s="15" t="s">
        <v>2774</v>
      </c>
      <c r="B2634" s="16">
        <v>1212</v>
      </c>
      <c r="C2634" s="16">
        <v>268831</v>
      </c>
      <c r="D2634" s="31">
        <v>44746</v>
      </c>
      <c r="E2634" s="16">
        <v>70</v>
      </c>
      <c r="F2634" s="15" t="str">
        <f t="shared" si="41"/>
        <v>1212-268831-44746</v>
      </c>
    </row>
    <row r="2635" spans="1:6" ht="14.25" customHeight="1" x14ac:dyDescent="0.25">
      <c r="A2635" s="15" t="s">
        <v>2775</v>
      </c>
      <c r="B2635" s="16">
        <v>1212</v>
      </c>
      <c r="C2635" s="16">
        <v>268831</v>
      </c>
      <c r="D2635" s="31">
        <v>44753</v>
      </c>
      <c r="E2635" s="16">
        <v>49</v>
      </c>
      <c r="F2635" s="15" t="str">
        <f t="shared" si="41"/>
        <v>1212-268831-44753</v>
      </c>
    </row>
    <row r="2636" spans="1:6" ht="14.25" customHeight="1" x14ac:dyDescent="0.25">
      <c r="A2636" s="15" t="s">
        <v>2776</v>
      </c>
      <c r="B2636" s="16">
        <v>1212</v>
      </c>
      <c r="C2636" s="16">
        <v>268831</v>
      </c>
      <c r="D2636" s="31">
        <v>44760</v>
      </c>
      <c r="E2636" s="16">
        <v>70</v>
      </c>
      <c r="F2636" s="15" t="str">
        <f t="shared" si="41"/>
        <v>1212-268831-44760</v>
      </c>
    </row>
    <row r="2637" spans="1:6" ht="14.25" customHeight="1" x14ac:dyDescent="0.25">
      <c r="A2637" s="15" t="s">
        <v>2777</v>
      </c>
      <c r="B2637" s="16">
        <v>1212</v>
      </c>
      <c r="C2637" s="16">
        <v>268831</v>
      </c>
      <c r="D2637" s="31">
        <v>44767</v>
      </c>
      <c r="E2637" s="16">
        <v>80</v>
      </c>
      <c r="F2637" s="15" t="str">
        <f t="shared" si="41"/>
        <v>1212-268831-44767</v>
      </c>
    </row>
    <row r="2638" spans="1:6" ht="14.25" customHeight="1" x14ac:dyDescent="0.25">
      <c r="A2638" s="15" t="s">
        <v>2778</v>
      </c>
      <c r="B2638" s="16">
        <v>1212</v>
      </c>
      <c r="C2638" s="16">
        <v>268831</v>
      </c>
      <c r="D2638" s="31">
        <v>44774</v>
      </c>
      <c r="E2638" s="16">
        <v>84</v>
      </c>
      <c r="F2638" s="15" t="str">
        <f t="shared" si="41"/>
        <v>1212-268831-44774</v>
      </c>
    </row>
    <row r="2639" spans="1:6" ht="14.25" customHeight="1" x14ac:dyDescent="0.25">
      <c r="A2639" s="15" t="s">
        <v>2779</v>
      </c>
      <c r="B2639" s="16">
        <v>1212</v>
      </c>
      <c r="C2639" s="16">
        <v>268831</v>
      </c>
      <c r="D2639" s="31">
        <v>44781</v>
      </c>
      <c r="E2639" s="16">
        <v>88</v>
      </c>
      <c r="F2639" s="15" t="str">
        <f t="shared" si="41"/>
        <v>1212-268831-44781</v>
      </c>
    </row>
    <row r="2640" spans="1:6" ht="14.25" customHeight="1" x14ac:dyDescent="0.25">
      <c r="A2640" s="15" t="s">
        <v>2780</v>
      </c>
      <c r="B2640" s="16">
        <v>1212</v>
      </c>
      <c r="C2640" s="16">
        <v>268831</v>
      </c>
      <c r="D2640" s="31">
        <v>44788</v>
      </c>
      <c r="E2640" s="16">
        <v>76</v>
      </c>
      <c r="F2640" s="15" t="str">
        <f t="shared" si="41"/>
        <v>1212-268831-44788</v>
      </c>
    </row>
    <row r="2641" spans="1:6" ht="14.25" customHeight="1" x14ac:dyDescent="0.25">
      <c r="A2641" s="15" t="s">
        <v>2781</v>
      </c>
      <c r="B2641" s="16">
        <v>1212</v>
      </c>
      <c r="C2641" s="16">
        <v>273701</v>
      </c>
      <c r="D2641" s="31">
        <v>44739</v>
      </c>
      <c r="E2641" s="16">
        <v>27</v>
      </c>
      <c r="F2641" s="15" t="str">
        <f t="shared" si="41"/>
        <v>1212-273701-44739</v>
      </c>
    </row>
    <row r="2642" spans="1:6" ht="14.25" customHeight="1" x14ac:dyDescent="0.25">
      <c r="A2642" s="15" t="s">
        <v>2782</v>
      </c>
      <c r="B2642" s="16">
        <v>1212</v>
      </c>
      <c r="C2642" s="16">
        <v>273701</v>
      </c>
      <c r="D2642" s="31">
        <v>44746</v>
      </c>
      <c r="E2642" s="16">
        <v>61</v>
      </c>
      <c r="F2642" s="15" t="str">
        <f t="shared" si="41"/>
        <v>1212-273701-44746</v>
      </c>
    </row>
    <row r="2643" spans="1:6" ht="14.25" customHeight="1" x14ac:dyDescent="0.25">
      <c r="A2643" s="15" t="s">
        <v>2783</v>
      </c>
      <c r="B2643" s="16">
        <v>1212</v>
      </c>
      <c r="C2643" s="16">
        <v>273701</v>
      </c>
      <c r="D2643" s="31">
        <v>44753</v>
      </c>
      <c r="E2643" s="16">
        <v>22</v>
      </c>
      <c r="F2643" s="15" t="str">
        <f t="shared" si="41"/>
        <v>1212-273701-44753</v>
      </c>
    </row>
    <row r="2644" spans="1:6" ht="14.25" customHeight="1" x14ac:dyDescent="0.25">
      <c r="A2644" s="15" t="s">
        <v>2784</v>
      </c>
      <c r="B2644" s="16">
        <v>1212</v>
      </c>
      <c r="C2644" s="16">
        <v>273701</v>
      </c>
      <c r="D2644" s="31">
        <v>44760</v>
      </c>
      <c r="E2644" s="16">
        <v>20</v>
      </c>
      <c r="F2644" s="15" t="str">
        <f t="shared" si="41"/>
        <v>1212-273701-44760</v>
      </c>
    </row>
    <row r="2645" spans="1:6" ht="14.25" customHeight="1" x14ac:dyDescent="0.25">
      <c r="A2645" s="15" t="s">
        <v>2785</v>
      </c>
      <c r="B2645" s="16">
        <v>1212</v>
      </c>
      <c r="C2645" s="16">
        <v>273701</v>
      </c>
      <c r="D2645" s="31">
        <v>44767</v>
      </c>
      <c r="E2645" s="16">
        <v>20</v>
      </c>
      <c r="F2645" s="15" t="str">
        <f t="shared" si="41"/>
        <v>1212-273701-44767</v>
      </c>
    </row>
    <row r="2646" spans="1:6" ht="14.25" customHeight="1" x14ac:dyDescent="0.25">
      <c r="A2646" s="15" t="s">
        <v>2786</v>
      </c>
      <c r="B2646" s="16">
        <v>1212</v>
      </c>
      <c r="C2646" s="16">
        <v>273701</v>
      </c>
      <c r="D2646" s="31">
        <v>44774</v>
      </c>
      <c r="E2646" s="16">
        <v>52</v>
      </c>
      <c r="F2646" s="15" t="str">
        <f t="shared" si="41"/>
        <v>1212-273701-44774</v>
      </c>
    </row>
    <row r="2647" spans="1:6" ht="14.25" customHeight="1" x14ac:dyDescent="0.25">
      <c r="A2647" s="15" t="s">
        <v>2787</v>
      </c>
      <c r="B2647" s="16">
        <v>1212</v>
      </c>
      <c r="C2647" s="16">
        <v>273701</v>
      </c>
      <c r="D2647" s="31">
        <v>44781</v>
      </c>
      <c r="E2647" s="16">
        <v>60</v>
      </c>
      <c r="F2647" s="15" t="str">
        <f t="shared" si="41"/>
        <v>1212-273701-44781</v>
      </c>
    </row>
    <row r="2648" spans="1:6" ht="14.25" customHeight="1" x14ac:dyDescent="0.25">
      <c r="A2648" s="15" t="s">
        <v>2788</v>
      </c>
      <c r="B2648" s="16">
        <v>1212</v>
      </c>
      <c r="C2648" s="16">
        <v>273701</v>
      </c>
      <c r="D2648" s="31">
        <v>44788</v>
      </c>
      <c r="E2648" s="16">
        <v>66</v>
      </c>
      <c r="F2648" s="15" t="str">
        <f t="shared" si="41"/>
        <v>1212-273701-44788</v>
      </c>
    </row>
    <row r="2649" spans="1:6" ht="14.25" customHeight="1" x14ac:dyDescent="0.25">
      <c r="A2649" s="15" t="s">
        <v>2789</v>
      </c>
      <c r="B2649" s="16">
        <v>1212</v>
      </c>
      <c r="C2649" s="16">
        <v>291726</v>
      </c>
      <c r="D2649" s="31">
        <v>44739</v>
      </c>
      <c r="E2649" s="16">
        <v>45</v>
      </c>
      <c r="F2649" s="15" t="str">
        <f t="shared" si="41"/>
        <v>1212-291726-44739</v>
      </c>
    </row>
    <row r="2650" spans="1:6" ht="14.25" customHeight="1" x14ac:dyDescent="0.25">
      <c r="A2650" s="15" t="s">
        <v>2790</v>
      </c>
      <c r="B2650" s="16">
        <v>1212</v>
      </c>
      <c r="C2650" s="16">
        <v>291726</v>
      </c>
      <c r="D2650" s="31">
        <v>44746</v>
      </c>
      <c r="E2650" s="16">
        <v>22</v>
      </c>
      <c r="F2650" s="15" t="str">
        <f t="shared" si="41"/>
        <v>1212-291726-44746</v>
      </c>
    </row>
    <row r="2651" spans="1:6" ht="14.25" customHeight="1" x14ac:dyDescent="0.25">
      <c r="A2651" s="15" t="s">
        <v>2791</v>
      </c>
      <c r="B2651" s="16">
        <v>1212</v>
      </c>
      <c r="C2651" s="16">
        <v>291726</v>
      </c>
      <c r="D2651" s="31">
        <v>44753</v>
      </c>
      <c r="E2651" s="16">
        <v>56</v>
      </c>
      <c r="F2651" s="15" t="str">
        <f t="shared" si="41"/>
        <v>1212-291726-44753</v>
      </c>
    </row>
    <row r="2652" spans="1:6" ht="14.25" customHeight="1" x14ac:dyDescent="0.25">
      <c r="A2652" s="15" t="s">
        <v>2792</v>
      </c>
      <c r="B2652" s="16">
        <v>1212</v>
      </c>
      <c r="C2652" s="16">
        <v>291726</v>
      </c>
      <c r="D2652" s="31">
        <v>44760</v>
      </c>
      <c r="E2652" s="16">
        <v>42</v>
      </c>
      <c r="F2652" s="15" t="str">
        <f t="shared" si="41"/>
        <v>1212-291726-44760</v>
      </c>
    </row>
    <row r="2653" spans="1:6" ht="14.25" customHeight="1" x14ac:dyDescent="0.25">
      <c r="A2653" s="15" t="s">
        <v>2793</v>
      </c>
      <c r="B2653" s="16">
        <v>1212</v>
      </c>
      <c r="C2653" s="16">
        <v>291726</v>
      </c>
      <c r="D2653" s="31">
        <v>44767</v>
      </c>
      <c r="E2653" s="16">
        <v>52</v>
      </c>
      <c r="F2653" s="15" t="str">
        <f t="shared" si="41"/>
        <v>1212-291726-44767</v>
      </c>
    </row>
    <row r="2654" spans="1:6" ht="14.25" customHeight="1" x14ac:dyDescent="0.25">
      <c r="A2654" s="15" t="s">
        <v>2794</v>
      </c>
      <c r="B2654" s="16">
        <v>1212</v>
      </c>
      <c r="C2654" s="16">
        <v>291726</v>
      </c>
      <c r="D2654" s="31">
        <v>44774</v>
      </c>
      <c r="E2654" s="16">
        <v>24</v>
      </c>
      <c r="F2654" s="15" t="str">
        <f t="shared" si="41"/>
        <v>1212-291726-44774</v>
      </c>
    </row>
    <row r="2655" spans="1:6" ht="14.25" customHeight="1" x14ac:dyDescent="0.25">
      <c r="A2655" s="15" t="s">
        <v>2795</v>
      </c>
      <c r="B2655" s="16">
        <v>1212</v>
      </c>
      <c r="C2655" s="16">
        <v>291726</v>
      </c>
      <c r="D2655" s="31">
        <v>44781</v>
      </c>
      <c r="E2655" s="16">
        <v>52</v>
      </c>
      <c r="F2655" s="15" t="str">
        <f t="shared" si="41"/>
        <v>1212-291726-44781</v>
      </c>
    </row>
    <row r="2656" spans="1:6" ht="14.25" customHeight="1" x14ac:dyDescent="0.25">
      <c r="A2656" s="15" t="s">
        <v>2796</v>
      </c>
      <c r="B2656" s="16">
        <v>1212</v>
      </c>
      <c r="C2656" s="16">
        <v>291726</v>
      </c>
      <c r="D2656" s="31">
        <v>44788</v>
      </c>
      <c r="E2656" s="16">
        <v>58</v>
      </c>
      <c r="F2656" s="15" t="str">
        <f t="shared" si="41"/>
        <v>1212-291726-44788</v>
      </c>
    </row>
    <row r="2657" spans="1:6" ht="14.25" customHeight="1" x14ac:dyDescent="0.25">
      <c r="A2657" s="15" t="s">
        <v>2797</v>
      </c>
      <c r="B2657" s="16">
        <v>1212</v>
      </c>
      <c r="C2657" s="16">
        <v>291728</v>
      </c>
      <c r="D2657" s="31">
        <v>44739</v>
      </c>
      <c r="E2657" s="16">
        <v>6</v>
      </c>
      <c r="F2657" s="15" t="str">
        <f t="shared" si="41"/>
        <v>1212-291728-44739</v>
      </c>
    </row>
    <row r="2658" spans="1:6" ht="14.25" customHeight="1" x14ac:dyDescent="0.25">
      <c r="A2658" s="15" t="s">
        <v>2798</v>
      </c>
      <c r="B2658" s="16">
        <v>1212</v>
      </c>
      <c r="C2658" s="16">
        <v>291728</v>
      </c>
      <c r="D2658" s="31">
        <v>44746</v>
      </c>
      <c r="E2658" s="16">
        <v>6</v>
      </c>
      <c r="F2658" s="15" t="str">
        <f t="shared" si="41"/>
        <v>1212-291728-44746</v>
      </c>
    </row>
    <row r="2659" spans="1:6" ht="14.25" customHeight="1" x14ac:dyDescent="0.25">
      <c r="A2659" s="15" t="s">
        <v>2799</v>
      </c>
      <c r="B2659" s="16">
        <v>1212</v>
      </c>
      <c r="C2659" s="16">
        <v>291728</v>
      </c>
      <c r="D2659" s="31">
        <v>44753</v>
      </c>
      <c r="E2659" s="16">
        <v>6</v>
      </c>
      <c r="F2659" s="15" t="str">
        <f t="shared" si="41"/>
        <v>1212-291728-44753</v>
      </c>
    </row>
    <row r="2660" spans="1:6" ht="14.25" customHeight="1" x14ac:dyDescent="0.25">
      <c r="A2660" s="15" t="s">
        <v>2800</v>
      </c>
      <c r="B2660" s="16">
        <v>1212</v>
      </c>
      <c r="C2660" s="16">
        <v>291728</v>
      </c>
      <c r="D2660" s="31">
        <v>44760</v>
      </c>
      <c r="E2660" s="16">
        <v>6</v>
      </c>
      <c r="F2660" s="15" t="str">
        <f t="shared" si="41"/>
        <v>1212-291728-44760</v>
      </c>
    </row>
    <row r="2661" spans="1:6" ht="14.25" customHeight="1" x14ac:dyDescent="0.25">
      <c r="A2661" s="15" t="s">
        <v>2801</v>
      </c>
      <c r="B2661" s="16">
        <v>1212</v>
      </c>
      <c r="C2661" s="16">
        <v>291728</v>
      </c>
      <c r="D2661" s="31">
        <v>44767</v>
      </c>
      <c r="E2661" s="16">
        <v>6</v>
      </c>
      <c r="F2661" s="15" t="str">
        <f t="shared" si="41"/>
        <v>1212-291728-44767</v>
      </c>
    </row>
    <row r="2662" spans="1:6" ht="14.25" customHeight="1" x14ac:dyDescent="0.25">
      <c r="A2662" s="15" t="s">
        <v>2802</v>
      </c>
      <c r="B2662" s="16">
        <v>1212</v>
      </c>
      <c r="C2662" s="16">
        <v>291728</v>
      </c>
      <c r="D2662" s="31">
        <v>44774</v>
      </c>
      <c r="E2662" s="16">
        <v>6</v>
      </c>
      <c r="F2662" s="15" t="str">
        <f t="shared" si="41"/>
        <v>1212-291728-44774</v>
      </c>
    </row>
    <row r="2663" spans="1:6" ht="14.25" customHeight="1" x14ac:dyDescent="0.25">
      <c r="A2663" s="15" t="s">
        <v>2803</v>
      </c>
      <c r="B2663" s="16">
        <v>1212</v>
      </c>
      <c r="C2663" s="16">
        <v>291728</v>
      </c>
      <c r="D2663" s="31">
        <v>44781</v>
      </c>
      <c r="E2663" s="16">
        <v>6</v>
      </c>
      <c r="F2663" s="15" t="str">
        <f t="shared" si="41"/>
        <v>1212-291728-44781</v>
      </c>
    </row>
    <row r="2664" spans="1:6" ht="14.25" customHeight="1" x14ac:dyDescent="0.25">
      <c r="A2664" s="15" t="s">
        <v>2804</v>
      </c>
      <c r="B2664" s="16">
        <v>1212</v>
      </c>
      <c r="C2664" s="16">
        <v>291728</v>
      </c>
      <c r="D2664" s="31">
        <v>44788</v>
      </c>
      <c r="E2664" s="16">
        <v>6</v>
      </c>
      <c r="F2664" s="15" t="str">
        <f t="shared" si="41"/>
        <v>1212-291728-44788</v>
      </c>
    </row>
    <row r="2665" spans="1:6" ht="14.25" customHeight="1" x14ac:dyDescent="0.25">
      <c r="A2665" s="15" t="s">
        <v>2805</v>
      </c>
      <c r="B2665" s="16">
        <v>1212</v>
      </c>
      <c r="C2665" s="16">
        <v>300380</v>
      </c>
      <c r="D2665" s="31">
        <v>32874</v>
      </c>
      <c r="E2665" s="16">
        <v>42</v>
      </c>
      <c r="F2665" s="15" t="str">
        <f t="shared" si="41"/>
        <v>1212-300380-32874</v>
      </c>
    </row>
    <row r="2666" spans="1:6" ht="14.25" customHeight="1" x14ac:dyDescent="0.25">
      <c r="A2666" s="15" t="s">
        <v>2806</v>
      </c>
      <c r="B2666" s="16">
        <v>1212</v>
      </c>
      <c r="C2666" s="16">
        <v>300380</v>
      </c>
      <c r="D2666" s="31">
        <v>44739</v>
      </c>
      <c r="E2666" s="16">
        <v>25</v>
      </c>
      <c r="F2666" s="15" t="str">
        <f t="shared" si="41"/>
        <v>1212-300380-44739</v>
      </c>
    </row>
    <row r="2667" spans="1:6" ht="14.25" customHeight="1" x14ac:dyDescent="0.25">
      <c r="A2667" s="15" t="s">
        <v>2807</v>
      </c>
      <c r="B2667" s="16">
        <v>1212</v>
      </c>
      <c r="C2667" s="16">
        <v>300380</v>
      </c>
      <c r="D2667" s="31">
        <v>44746</v>
      </c>
      <c r="E2667" s="16">
        <v>54</v>
      </c>
      <c r="F2667" s="15" t="str">
        <f t="shared" si="41"/>
        <v>1212-300380-44746</v>
      </c>
    </row>
    <row r="2668" spans="1:6" ht="14.25" customHeight="1" x14ac:dyDescent="0.25">
      <c r="A2668" s="15" t="s">
        <v>2808</v>
      </c>
      <c r="B2668" s="16">
        <v>1212</v>
      </c>
      <c r="C2668" s="16">
        <v>300380</v>
      </c>
      <c r="D2668" s="31">
        <v>44753</v>
      </c>
      <c r="E2668" s="16">
        <v>22</v>
      </c>
      <c r="F2668" s="15" t="str">
        <f t="shared" si="41"/>
        <v>1212-300380-44753</v>
      </c>
    </row>
    <row r="2669" spans="1:6" ht="14.25" customHeight="1" x14ac:dyDescent="0.25">
      <c r="A2669" s="15" t="s">
        <v>2809</v>
      </c>
      <c r="B2669" s="16">
        <v>1212</v>
      </c>
      <c r="C2669" s="16">
        <v>300380</v>
      </c>
      <c r="D2669" s="31">
        <v>44760</v>
      </c>
      <c r="E2669" s="16">
        <v>58</v>
      </c>
      <c r="F2669" s="15" t="str">
        <f t="shared" si="41"/>
        <v>1212-300380-44760</v>
      </c>
    </row>
    <row r="2670" spans="1:6" ht="14.25" customHeight="1" x14ac:dyDescent="0.25">
      <c r="A2670" s="15" t="s">
        <v>2810</v>
      </c>
      <c r="B2670" s="16">
        <v>1212</v>
      </c>
      <c r="C2670" s="16">
        <v>300380</v>
      </c>
      <c r="D2670" s="31">
        <v>44767</v>
      </c>
      <c r="E2670" s="16">
        <v>66</v>
      </c>
      <c r="F2670" s="15" t="str">
        <f t="shared" si="41"/>
        <v>1212-300380-44767</v>
      </c>
    </row>
    <row r="2671" spans="1:6" ht="14.25" customHeight="1" x14ac:dyDescent="0.25">
      <c r="A2671" s="15" t="s">
        <v>2811</v>
      </c>
      <c r="B2671" s="16">
        <v>1212</v>
      </c>
      <c r="C2671" s="16">
        <v>300380</v>
      </c>
      <c r="D2671" s="31">
        <v>44774</v>
      </c>
      <c r="E2671" s="16">
        <v>54</v>
      </c>
      <c r="F2671" s="15" t="str">
        <f t="shared" si="41"/>
        <v>1212-300380-44774</v>
      </c>
    </row>
    <row r="2672" spans="1:6" ht="14.25" customHeight="1" x14ac:dyDescent="0.25">
      <c r="A2672" s="15" t="s">
        <v>2812</v>
      </c>
      <c r="B2672" s="16">
        <v>1212</v>
      </c>
      <c r="C2672" s="16">
        <v>300380</v>
      </c>
      <c r="D2672" s="31">
        <v>44781</v>
      </c>
      <c r="E2672" s="16">
        <v>21</v>
      </c>
      <c r="F2672" s="15" t="str">
        <f t="shared" si="41"/>
        <v>1212-300380-44781</v>
      </c>
    </row>
    <row r="2673" spans="1:6" ht="14.25" customHeight="1" x14ac:dyDescent="0.25">
      <c r="A2673" s="15" t="s">
        <v>2813</v>
      </c>
      <c r="B2673" s="16">
        <v>1212</v>
      </c>
      <c r="C2673" s="16">
        <v>300380</v>
      </c>
      <c r="D2673" s="31">
        <v>44788</v>
      </c>
      <c r="E2673" s="16">
        <v>54</v>
      </c>
      <c r="F2673" s="15" t="str">
        <f t="shared" si="41"/>
        <v>1212-300380-44788</v>
      </c>
    </row>
    <row r="2674" spans="1:6" ht="14.25" customHeight="1" x14ac:dyDescent="0.25">
      <c r="A2674" s="15" t="s">
        <v>2814</v>
      </c>
      <c r="B2674" s="16">
        <v>1212</v>
      </c>
      <c r="C2674" s="16">
        <v>571521</v>
      </c>
      <c r="D2674" s="31">
        <v>44739</v>
      </c>
      <c r="E2674" s="16">
        <v>3</v>
      </c>
      <c r="F2674" s="15" t="str">
        <f t="shared" si="41"/>
        <v>1212-571521-44739</v>
      </c>
    </row>
    <row r="2675" spans="1:6" ht="14.25" customHeight="1" x14ac:dyDescent="0.25">
      <c r="A2675" s="15" t="s">
        <v>2815</v>
      </c>
      <c r="B2675" s="16">
        <v>1212</v>
      </c>
      <c r="C2675" s="16">
        <v>571521</v>
      </c>
      <c r="D2675" s="31">
        <v>44746</v>
      </c>
      <c r="E2675" s="16">
        <v>3</v>
      </c>
      <c r="F2675" s="15" t="str">
        <f t="shared" si="41"/>
        <v>1212-571521-44746</v>
      </c>
    </row>
    <row r="2676" spans="1:6" ht="14.25" customHeight="1" x14ac:dyDescent="0.25">
      <c r="A2676" s="15" t="s">
        <v>2816</v>
      </c>
      <c r="B2676" s="16">
        <v>1212</v>
      </c>
      <c r="C2676" s="16">
        <v>571521</v>
      </c>
      <c r="D2676" s="31">
        <v>44753</v>
      </c>
      <c r="E2676" s="16">
        <v>3</v>
      </c>
      <c r="F2676" s="15" t="str">
        <f t="shared" si="41"/>
        <v>1212-571521-44753</v>
      </c>
    </row>
    <row r="2677" spans="1:6" ht="14.25" customHeight="1" x14ac:dyDescent="0.25">
      <c r="A2677" s="15" t="s">
        <v>2817</v>
      </c>
      <c r="B2677" s="16">
        <v>1212</v>
      </c>
      <c r="C2677" s="16">
        <v>571521</v>
      </c>
      <c r="D2677" s="31">
        <v>44760</v>
      </c>
      <c r="E2677" s="16">
        <v>3</v>
      </c>
      <c r="F2677" s="15" t="str">
        <f t="shared" si="41"/>
        <v>1212-571521-44760</v>
      </c>
    </row>
    <row r="2678" spans="1:6" ht="14.25" customHeight="1" x14ac:dyDescent="0.25">
      <c r="A2678" s="15" t="s">
        <v>2818</v>
      </c>
      <c r="B2678" s="16">
        <v>1212</v>
      </c>
      <c r="C2678" s="16">
        <v>571521</v>
      </c>
      <c r="D2678" s="31">
        <v>44767</v>
      </c>
      <c r="E2678" s="16">
        <v>3</v>
      </c>
      <c r="F2678" s="15" t="str">
        <f t="shared" si="41"/>
        <v>1212-571521-44767</v>
      </c>
    </row>
    <row r="2679" spans="1:6" ht="14.25" customHeight="1" x14ac:dyDescent="0.25">
      <c r="A2679" s="15" t="s">
        <v>2819</v>
      </c>
      <c r="B2679" s="16">
        <v>1212</v>
      </c>
      <c r="C2679" s="16">
        <v>571521</v>
      </c>
      <c r="D2679" s="31">
        <v>44774</v>
      </c>
      <c r="E2679" s="16">
        <v>3</v>
      </c>
      <c r="F2679" s="15" t="str">
        <f t="shared" si="41"/>
        <v>1212-571521-44774</v>
      </c>
    </row>
    <row r="2680" spans="1:6" ht="14.25" customHeight="1" x14ac:dyDescent="0.25">
      <c r="A2680" s="15" t="s">
        <v>2820</v>
      </c>
      <c r="B2680" s="16">
        <v>1212</v>
      </c>
      <c r="C2680" s="16">
        <v>571521</v>
      </c>
      <c r="D2680" s="31">
        <v>44781</v>
      </c>
      <c r="E2680" s="16">
        <v>3</v>
      </c>
      <c r="F2680" s="15" t="str">
        <f t="shared" si="41"/>
        <v>1212-571521-44781</v>
      </c>
    </row>
    <row r="2681" spans="1:6" ht="14.25" customHeight="1" x14ac:dyDescent="0.25">
      <c r="A2681" s="15" t="s">
        <v>2821</v>
      </c>
      <c r="B2681" s="16">
        <v>1212</v>
      </c>
      <c r="C2681" s="16">
        <v>571521</v>
      </c>
      <c r="D2681" s="31">
        <v>44788</v>
      </c>
      <c r="E2681" s="16">
        <v>3</v>
      </c>
      <c r="F2681" s="15" t="str">
        <f t="shared" si="41"/>
        <v>1212-571521-44788</v>
      </c>
    </row>
    <row r="2682" spans="1:6" ht="14.25" customHeight="1" x14ac:dyDescent="0.25">
      <c r="A2682" s="15" t="s">
        <v>2822</v>
      </c>
      <c r="B2682" s="16">
        <v>1212</v>
      </c>
      <c r="C2682" s="16">
        <v>614993</v>
      </c>
      <c r="D2682" s="31">
        <v>44739</v>
      </c>
      <c r="E2682" s="16">
        <v>17</v>
      </c>
      <c r="F2682" s="15" t="str">
        <f t="shared" si="41"/>
        <v>1212-614993-44739</v>
      </c>
    </row>
    <row r="2683" spans="1:6" ht="14.25" customHeight="1" x14ac:dyDescent="0.25">
      <c r="A2683" s="15" t="s">
        <v>2823</v>
      </c>
      <c r="B2683" s="16">
        <v>1212</v>
      </c>
      <c r="C2683" s="16">
        <v>614993</v>
      </c>
      <c r="D2683" s="31">
        <v>44746</v>
      </c>
      <c r="E2683" s="16">
        <v>6</v>
      </c>
      <c r="F2683" s="15" t="str">
        <f t="shared" si="41"/>
        <v>1212-614993-44746</v>
      </c>
    </row>
    <row r="2684" spans="1:6" ht="14.25" customHeight="1" x14ac:dyDescent="0.25">
      <c r="A2684" s="15" t="s">
        <v>2824</v>
      </c>
      <c r="B2684" s="16">
        <v>1212</v>
      </c>
      <c r="C2684" s="16">
        <v>614993</v>
      </c>
      <c r="D2684" s="31">
        <v>44753</v>
      </c>
      <c r="E2684" s="16">
        <v>-1</v>
      </c>
      <c r="F2684" s="15" t="str">
        <f t="shared" si="41"/>
        <v>1212-614993-44753</v>
      </c>
    </row>
    <row r="2685" spans="1:6" ht="14.25" customHeight="1" x14ac:dyDescent="0.25">
      <c r="A2685" s="15" t="s">
        <v>2825</v>
      </c>
      <c r="B2685" s="16">
        <v>1212</v>
      </c>
      <c r="C2685" s="16">
        <v>614993</v>
      </c>
      <c r="D2685" s="31">
        <v>44760</v>
      </c>
      <c r="E2685" s="16">
        <v>15</v>
      </c>
      <c r="F2685" s="15" t="str">
        <f t="shared" si="41"/>
        <v>1212-614993-44760</v>
      </c>
    </row>
    <row r="2686" spans="1:6" ht="14.25" customHeight="1" x14ac:dyDescent="0.25">
      <c r="A2686" s="15" t="s">
        <v>2826</v>
      </c>
      <c r="B2686" s="16">
        <v>1212</v>
      </c>
      <c r="C2686" s="16">
        <v>614993</v>
      </c>
      <c r="D2686" s="31">
        <v>44767</v>
      </c>
      <c r="E2686" s="16">
        <v>10</v>
      </c>
      <c r="F2686" s="15" t="str">
        <f t="shared" si="41"/>
        <v>1212-614993-44767</v>
      </c>
    </row>
    <row r="2687" spans="1:6" ht="14.25" customHeight="1" x14ac:dyDescent="0.25">
      <c r="A2687" s="15" t="s">
        <v>2827</v>
      </c>
      <c r="B2687" s="16">
        <v>1212</v>
      </c>
      <c r="C2687" s="16">
        <v>614993</v>
      </c>
      <c r="D2687" s="31">
        <v>44774</v>
      </c>
      <c r="E2687" s="16">
        <v>14</v>
      </c>
      <c r="F2687" s="15" t="str">
        <f t="shared" si="41"/>
        <v>1212-614993-44774</v>
      </c>
    </row>
    <row r="2688" spans="1:6" ht="14.25" customHeight="1" x14ac:dyDescent="0.25">
      <c r="A2688" s="15" t="s">
        <v>2828</v>
      </c>
      <c r="B2688" s="16">
        <v>1212</v>
      </c>
      <c r="C2688" s="16">
        <v>614993</v>
      </c>
      <c r="D2688" s="31">
        <v>44781</v>
      </c>
      <c r="E2688" s="16">
        <v>9</v>
      </c>
      <c r="F2688" s="15" t="str">
        <f t="shared" si="41"/>
        <v>1212-614993-44781</v>
      </c>
    </row>
    <row r="2689" spans="1:6" ht="14.25" customHeight="1" x14ac:dyDescent="0.25">
      <c r="A2689" s="15" t="s">
        <v>2829</v>
      </c>
      <c r="B2689" s="16">
        <v>1212</v>
      </c>
      <c r="C2689" s="16">
        <v>614993</v>
      </c>
      <c r="D2689" s="31">
        <v>44788</v>
      </c>
      <c r="E2689" s="16">
        <v>16</v>
      </c>
      <c r="F2689" s="15" t="str">
        <f t="shared" si="41"/>
        <v>1212-614993-44788</v>
      </c>
    </row>
    <row r="2690" spans="1:6" ht="14.25" customHeight="1" x14ac:dyDescent="0.25">
      <c r="A2690" s="15" t="s">
        <v>2830</v>
      </c>
      <c r="B2690" s="16">
        <v>1213</v>
      </c>
      <c r="C2690" s="16">
        <v>23393</v>
      </c>
      <c r="D2690" s="31">
        <v>32874</v>
      </c>
      <c r="E2690" s="16">
        <v>104</v>
      </c>
      <c r="F2690" s="15" t="str">
        <f t="shared" si="41"/>
        <v>1213-23393-32874</v>
      </c>
    </row>
    <row r="2691" spans="1:6" ht="14.25" customHeight="1" x14ac:dyDescent="0.25">
      <c r="A2691" s="15" t="s">
        <v>2831</v>
      </c>
      <c r="B2691" s="16">
        <v>1213</v>
      </c>
      <c r="C2691" s="16">
        <v>23393</v>
      </c>
      <c r="D2691" s="31">
        <v>44739</v>
      </c>
      <c r="E2691" s="16">
        <v>57</v>
      </c>
      <c r="F2691" s="15" t="str">
        <f t="shared" ref="F2691:F2754" si="42">B2691&amp;"-"&amp;C2691&amp;"-"&amp;INT(D2691)</f>
        <v>1213-23393-44739</v>
      </c>
    </row>
    <row r="2692" spans="1:6" ht="14.25" customHeight="1" x14ac:dyDescent="0.25">
      <c r="A2692" s="15" t="s">
        <v>2832</v>
      </c>
      <c r="B2692" s="16">
        <v>1213</v>
      </c>
      <c r="C2692" s="16">
        <v>23393</v>
      </c>
      <c r="D2692" s="31">
        <v>44746</v>
      </c>
      <c r="E2692" s="16">
        <v>57</v>
      </c>
      <c r="F2692" s="15" t="str">
        <f t="shared" si="42"/>
        <v>1213-23393-44746</v>
      </c>
    </row>
    <row r="2693" spans="1:6" ht="14.25" customHeight="1" x14ac:dyDescent="0.25">
      <c r="A2693" s="15" t="s">
        <v>2833</v>
      </c>
      <c r="B2693" s="16">
        <v>1213</v>
      </c>
      <c r="C2693" s="16">
        <v>23393</v>
      </c>
      <c r="D2693" s="31">
        <v>44753</v>
      </c>
      <c r="E2693" s="16">
        <v>57</v>
      </c>
      <c r="F2693" s="15" t="str">
        <f t="shared" si="42"/>
        <v>1213-23393-44753</v>
      </c>
    </row>
    <row r="2694" spans="1:6" ht="14.25" customHeight="1" x14ac:dyDescent="0.25">
      <c r="A2694" s="15" t="s">
        <v>2834</v>
      </c>
      <c r="B2694" s="16">
        <v>1213</v>
      </c>
      <c r="C2694" s="16">
        <v>23393</v>
      </c>
      <c r="D2694" s="31">
        <v>44760</v>
      </c>
      <c r="E2694" s="16">
        <v>57</v>
      </c>
      <c r="F2694" s="15" t="str">
        <f t="shared" si="42"/>
        <v>1213-23393-44760</v>
      </c>
    </row>
    <row r="2695" spans="1:6" ht="14.25" customHeight="1" x14ac:dyDescent="0.25">
      <c r="A2695" s="15" t="s">
        <v>2835</v>
      </c>
      <c r="B2695" s="16">
        <v>1213</v>
      </c>
      <c r="C2695" s="16">
        <v>23393</v>
      </c>
      <c r="D2695" s="31">
        <v>44767</v>
      </c>
      <c r="E2695" s="16">
        <v>57</v>
      </c>
      <c r="F2695" s="15" t="str">
        <f t="shared" si="42"/>
        <v>1213-23393-44767</v>
      </c>
    </row>
    <row r="2696" spans="1:6" ht="14.25" customHeight="1" x14ac:dyDescent="0.25">
      <c r="A2696" s="15" t="s">
        <v>2836</v>
      </c>
      <c r="B2696" s="16">
        <v>1213</v>
      </c>
      <c r="C2696" s="16">
        <v>23393</v>
      </c>
      <c r="D2696" s="31">
        <v>44774</v>
      </c>
      <c r="E2696" s="16">
        <v>57</v>
      </c>
      <c r="F2696" s="15" t="str">
        <f t="shared" si="42"/>
        <v>1213-23393-44774</v>
      </c>
    </row>
    <row r="2697" spans="1:6" ht="14.25" customHeight="1" x14ac:dyDescent="0.25">
      <c r="A2697" s="15" t="s">
        <v>2837</v>
      </c>
      <c r="B2697" s="16">
        <v>1213</v>
      </c>
      <c r="C2697" s="16">
        <v>23393</v>
      </c>
      <c r="D2697" s="31">
        <v>44781</v>
      </c>
      <c r="E2697" s="16">
        <v>57</v>
      </c>
      <c r="F2697" s="15" t="str">
        <f t="shared" si="42"/>
        <v>1213-23393-44781</v>
      </c>
    </row>
    <row r="2698" spans="1:6" ht="14.25" customHeight="1" x14ac:dyDescent="0.25">
      <c r="A2698" s="15" t="s">
        <v>2838</v>
      </c>
      <c r="B2698" s="16">
        <v>1213</v>
      </c>
      <c r="C2698" s="16">
        <v>23393</v>
      </c>
      <c r="D2698" s="31">
        <v>44788</v>
      </c>
      <c r="E2698" s="16">
        <v>57</v>
      </c>
      <c r="F2698" s="15" t="str">
        <f t="shared" si="42"/>
        <v>1213-23393-44788</v>
      </c>
    </row>
    <row r="2699" spans="1:6" ht="14.25" customHeight="1" x14ac:dyDescent="0.25">
      <c r="A2699" s="15" t="s">
        <v>2839</v>
      </c>
      <c r="B2699" s="16">
        <v>1213</v>
      </c>
      <c r="C2699" s="16">
        <v>26764</v>
      </c>
      <c r="D2699" s="31">
        <v>44739</v>
      </c>
      <c r="E2699" s="16">
        <v>76</v>
      </c>
      <c r="F2699" s="15" t="str">
        <f t="shared" si="42"/>
        <v>1213-26764-44739</v>
      </c>
    </row>
    <row r="2700" spans="1:6" ht="14.25" customHeight="1" x14ac:dyDescent="0.25">
      <c r="A2700" s="15" t="s">
        <v>2840</v>
      </c>
      <c r="B2700" s="16">
        <v>1213</v>
      </c>
      <c r="C2700" s="16">
        <v>26764</v>
      </c>
      <c r="D2700" s="31">
        <v>44746</v>
      </c>
      <c r="E2700" s="16">
        <v>76</v>
      </c>
      <c r="F2700" s="15" t="str">
        <f t="shared" si="42"/>
        <v>1213-26764-44746</v>
      </c>
    </row>
    <row r="2701" spans="1:6" ht="14.25" customHeight="1" x14ac:dyDescent="0.25">
      <c r="A2701" s="15" t="s">
        <v>2841</v>
      </c>
      <c r="B2701" s="16">
        <v>1213</v>
      </c>
      <c r="C2701" s="16">
        <v>26764</v>
      </c>
      <c r="D2701" s="31">
        <v>44753</v>
      </c>
      <c r="E2701" s="16">
        <v>162</v>
      </c>
      <c r="F2701" s="15" t="str">
        <f t="shared" si="42"/>
        <v>1213-26764-44753</v>
      </c>
    </row>
    <row r="2702" spans="1:6" ht="14.25" customHeight="1" x14ac:dyDescent="0.25">
      <c r="A2702" s="15" t="s">
        <v>2842</v>
      </c>
      <c r="B2702" s="16">
        <v>1213</v>
      </c>
      <c r="C2702" s="16">
        <v>26764</v>
      </c>
      <c r="D2702" s="31">
        <v>44760</v>
      </c>
      <c r="E2702" s="16">
        <v>188</v>
      </c>
      <c r="F2702" s="15" t="str">
        <f t="shared" si="42"/>
        <v>1213-26764-44760</v>
      </c>
    </row>
    <row r="2703" spans="1:6" ht="14.25" customHeight="1" x14ac:dyDescent="0.25">
      <c r="A2703" s="15" t="s">
        <v>2843</v>
      </c>
      <c r="B2703" s="16">
        <v>1213</v>
      </c>
      <c r="C2703" s="16">
        <v>26764</v>
      </c>
      <c r="D2703" s="31">
        <v>44767</v>
      </c>
      <c r="E2703" s="16">
        <v>81</v>
      </c>
      <c r="F2703" s="15" t="str">
        <f t="shared" si="42"/>
        <v>1213-26764-44767</v>
      </c>
    </row>
    <row r="2704" spans="1:6" ht="14.25" customHeight="1" x14ac:dyDescent="0.25">
      <c r="A2704" s="15" t="s">
        <v>2844</v>
      </c>
      <c r="B2704" s="16">
        <v>1213</v>
      </c>
      <c r="C2704" s="16">
        <v>26764</v>
      </c>
      <c r="D2704" s="31">
        <v>44774</v>
      </c>
      <c r="E2704" s="16">
        <v>184</v>
      </c>
      <c r="F2704" s="15" t="str">
        <f t="shared" si="42"/>
        <v>1213-26764-44774</v>
      </c>
    </row>
    <row r="2705" spans="1:6" ht="14.25" customHeight="1" x14ac:dyDescent="0.25">
      <c r="A2705" s="15" t="s">
        <v>2845</v>
      </c>
      <c r="B2705" s="16">
        <v>1213</v>
      </c>
      <c r="C2705" s="16">
        <v>26764</v>
      </c>
      <c r="D2705" s="31">
        <v>44781</v>
      </c>
      <c r="E2705" s="16">
        <v>189</v>
      </c>
      <c r="F2705" s="15" t="str">
        <f t="shared" si="42"/>
        <v>1213-26764-44781</v>
      </c>
    </row>
    <row r="2706" spans="1:6" ht="14.25" customHeight="1" x14ac:dyDescent="0.25">
      <c r="A2706" s="15" t="s">
        <v>2846</v>
      </c>
      <c r="B2706" s="16">
        <v>1213</v>
      </c>
      <c r="C2706" s="16">
        <v>26764</v>
      </c>
      <c r="D2706" s="31">
        <v>44788</v>
      </c>
      <c r="E2706" s="16">
        <v>162</v>
      </c>
      <c r="F2706" s="15" t="str">
        <f t="shared" si="42"/>
        <v>1213-26764-44788</v>
      </c>
    </row>
    <row r="2707" spans="1:6" ht="14.25" customHeight="1" x14ac:dyDescent="0.25">
      <c r="A2707" s="15" t="s">
        <v>2847</v>
      </c>
      <c r="B2707" s="16">
        <v>1213</v>
      </c>
      <c r="C2707" s="16">
        <v>53934</v>
      </c>
      <c r="D2707" s="31">
        <v>44739</v>
      </c>
      <c r="E2707" s="16">
        <v>633</v>
      </c>
      <c r="F2707" s="15" t="str">
        <f t="shared" si="42"/>
        <v>1213-53934-44739</v>
      </c>
    </row>
    <row r="2708" spans="1:6" ht="14.25" customHeight="1" x14ac:dyDescent="0.25">
      <c r="A2708" s="15" t="s">
        <v>2848</v>
      </c>
      <c r="B2708" s="16">
        <v>1213</v>
      </c>
      <c r="C2708" s="16">
        <v>53934</v>
      </c>
      <c r="D2708" s="31">
        <v>44746</v>
      </c>
      <c r="E2708" s="16">
        <v>612</v>
      </c>
      <c r="F2708" s="15" t="str">
        <f t="shared" si="42"/>
        <v>1213-53934-44746</v>
      </c>
    </row>
    <row r="2709" spans="1:6" ht="14.25" customHeight="1" x14ac:dyDescent="0.25">
      <c r="A2709" s="15" t="s">
        <v>2849</v>
      </c>
      <c r="B2709" s="16">
        <v>1213</v>
      </c>
      <c r="C2709" s="16">
        <v>53934</v>
      </c>
      <c r="D2709" s="31">
        <v>44753</v>
      </c>
      <c r="E2709" s="16">
        <v>658</v>
      </c>
      <c r="F2709" s="15" t="str">
        <f t="shared" si="42"/>
        <v>1213-53934-44753</v>
      </c>
    </row>
    <row r="2710" spans="1:6" ht="14.25" customHeight="1" x14ac:dyDescent="0.25">
      <c r="A2710" s="15" t="s">
        <v>2850</v>
      </c>
      <c r="B2710" s="16">
        <v>1213</v>
      </c>
      <c r="C2710" s="16">
        <v>53934</v>
      </c>
      <c r="D2710" s="31">
        <v>44760</v>
      </c>
      <c r="E2710" s="16">
        <v>759</v>
      </c>
      <c r="F2710" s="15" t="str">
        <f t="shared" si="42"/>
        <v>1213-53934-44760</v>
      </c>
    </row>
    <row r="2711" spans="1:6" ht="14.25" customHeight="1" x14ac:dyDescent="0.25">
      <c r="A2711" s="15" t="s">
        <v>2851</v>
      </c>
      <c r="B2711" s="16">
        <v>1213</v>
      </c>
      <c r="C2711" s="16">
        <v>53934</v>
      </c>
      <c r="D2711" s="31">
        <v>44767</v>
      </c>
      <c r="E2711" s="16">
        <v>819</v>
      </c>
      <c r="F2711" s="15" t="str">
        <f t="shared" si="42"/>
        <v>1213-53934-44767</v>
      </c>
    </row>
    <row r="2712" spans="1:6" ht="14.25" customHeight="1" x14ac:dyDescent="0.25">
      <c r="A2712" s="15" t="s">
        <v>2852</v>
      </c>
      <c r="B2712" s="16">
        <v>1213</v>
      </c>
      <c r="C2712" s="16">
        <v>53934</v>
      </c>
      <c r="D2712" s="31">
        <v>44774</v>
      </c>
      <c r="E2712" s="16">
        <v>632</v>
      </c>
      <c r="F2712" s="15" t="str">
        <f t="shared" si="42"/>
        <v>1213-53934-44774</v>
      </c>
    </row>
    <row r="2713" spans="1:6" ht="14.25" customHeight="1" x14ac:dyDescent="0.25">
      <c r="A2713" s="15" t="s">
        <v>2853</v>
      </c>
      <c r="B2713" s="16">
        <v>1213</v>
      </c>
      <c r="C2713" s="16">
        <v>53934</v>
      </c>
      <c r="D2713" s="31">
        <v>44781</v>
      </c>
      <c r="E2713" s="16">
        <v>342</v>
      </c>
      <c r="F2713" s="15" t="str">
        <f t="shared" si="42"/>
        <v>1213-53934-44781</v>
      </c>
    </row>
    <row r="2714" spans="1:6" ht="14.25" customHeight="1" x14ac:dyDescent="0.25">
      <c r="A2714" s="15" t="s">
        <v>2854</v>
      </c>
      <c r="B2714" s="16">
        <v>1213</v>
      </c>
      <c r="C2714" s="16">
        <v>53934</v>
      </c>
      <c r="D2714" s="31">
        <v>44788</v>
      </c>
      <c r="E2714" s="16">
        <v>870</v>
      </c>
      <c r="F2714" s="15" t="str">
        <f t="shared" si="42"/>
        <v>1213-53934-44788</v>
      </c>
    </row>
    <row r="2715" spans="1:6" ht="14.25" customHeight="1" x14ac:dyDescent="0.25">
      <c r="A2715" s="15" t="s">
        <v>2855</v>
      </c>
      <c r="B2715" s="16">
        <v>1213</v>
      </c>
      <c r="C2715" s="16">
        <v>78699</v>
      </c>
      <c r="D2715" s="31">
        <v>44739</v>
      </c>
      <c r="E2715" s="16">
        <v>18</v>
      </c>
      <c r="F2715" s="15" t="str">
        <f t="shared" si="42"/>
        <v>1213-78699-44739</v>
      </c>
    </row>
    <row r="2716" spans="1:6" ht="14.25" customHeight="1" x14ac:dyDescent="0.25">
      <c r="A2716" s="15" t="s">
        <v>2856</v>
      </c>
      <c r="B2716" s="16">
        <v>1213</v>
      </c>
      <c r="C2716" s="16">
        <v>78699</v>
      </c>
      <c r="D2716" s="31">
        <v>44746</v>
      </c>
      <c r="E2716" s="16">
        <v>20</v>
      </c>
      <c r="F2716" s="15" t="str">
        <f t="shared" si="42"/>
        <v>1213-78699-44746</v>
      </c>
    </row>
    <row r="2717" spans="1:6" ht="14.25" customHeight="1" x14ac:dyDescent="0.25">
      <c r="A2717" s="15" t="s">
        <v>2857</v>
      </c>
      <c r="B2717" s="16">
        <v>1213</v>
      </c>
      <c r="C2717" s="16">
        <v>78699</v>
      </c>
      <c r="D2717" s="31">
        <v>44753</v>
      </c>
      <c r="E2717" s="16">
        <v>16</v>
      </c>
      <c r="F2717" s="15" t="str">
        <f t="shared" si="42"/>
        <v>1213-78699-44753</v>
      </c>
    </row>
    <row r="2718" spans="1:6" ht="14.25" customHeight="1" x14ac:dyDescent="0.25">
      <c r="A2718" s="15" t="s">
        <v>2858</v>
      </c>
      <c r="B2718" s="16">
        <v>1213</v>
      </c>
      <c r="C2718" s="16">
        <v>78699</v>
      </c>
      <c r="D2718" s="31">
        <v>44760</v>
      </c>
      <c r="E2718" s="16">
        <v>20</v>
      </c>
      <c r="F2718" s="15" t="str">
        <f t="shared" si="42"/>
        <v>1213-78699-44760</v>
      </c>
    </row>
    <row r="2719" spans="1:6" ht="14.25" customHeight="1" x14ac:dyDescent="0.25">
      <c r="A2719" s="15" t="s">
        <v>2859</v>
      </c>
      <c r="B2719" s="16">
        <v>1213</v>
      </c>
      <c r="C2719" s="16">
        <v>78699</v>
      </c>
      <c r="D2719" s="31">
        <v>44767</v>
      </c>
      <c r="E2719" s="16">
        <v>15</v>
      </c>
      <c r="F2719" s="15" t="str">
        <f t="shared" si="42"/>
        <v>1213-78699-44767</v>
      </c>
    </row>
    <row r="2720" spans="1:6" ht="14.25" customHeight="1" x14ac:dyDescent="0.25">
      <c r="A2720" s="15" t="s">
        <v>2860</v>
      </c>
      <c r="B2720" s="16">
        <v>1213</v>
      </c>
      <c r="C2720" s="16">
        <v>78699</v>
      </c>
      <c r="D2720" s="31">
        <v>44774</v>
      </c>
      <c r="E2720" s="16">
        <v>8</v>
      </c>
      <c r="F2720" s="15" t="str">
        <f t="shared" si="42"/>
        <v>1213-78699-44774</v>
      </c>
    </row>
    <row r="2721" spans="1:6" ht="14.25" customHeight="1" x14ac:dyDescent="0.25">
      <c r="A2721" s="15" t="s">
        <v>2861</v>
      </c>
      <c r="B2721" s="16">
        <v>1213</v>
      </c>
      <c r="C2721" s="16">
        <v>78699</v>
      </c>
      <c r="D2721" s="31">
        <v>44781</v>
      </c>
      <c r="E2721" s="16">
        <v>18</v>
      </c>
      <c r="F2721" s="15" t="str">
        <f t="shared" si="42"/>
        <v>1213-78699-44781</v>
      </c>
    </row>
    <row r="2722" spans="1:6" ht="14.25" customHeight="1" x14ac:dyDescent="0.25">
      <c r="A2722" s="15" t="s">
        <v>2862</v>
      </c>
      <c r="B2722" s="16">
        <v>1213</v>
      </c>
      <c r="C2722" s="16">
        <v>78699</v>
      </c>
      <c r="D2722" s="31">
        <v>44788</v>
      </c>
      <c r="E2722" s="16">
        <v>16</v>
      </c>
      <c r="F2722" s="15" t="str">
        <f t="shared" si="42"/>
        <v>1213-78699-44788</v>
      </c>
    </row>
    <row r="2723" spans="1:6" ht="14.25" customHeight="1" x14ac:dyDescent="0.25">
      <c r="A2723" s="15" t="s">
        <v>2863</v>
      </c>
      <c r="B2723" s="16">
        <v>1213</v>
      </c>
      <c r="C2723" s="16">
        <v>78869</v>
      </c>
      <c r="D2723" s="31">
        <v>44739</v>
      </c>
      <c r="E2723" s="16">
        <v>27</v>
      </c>
      <c r="F2723" s="15" t="str">
        <f t="shared" si="42"/>
        <v>1213-78869-44739</v>
      </c>
    </row>
    <row r="2724" spans="1:6" ht="14.25" customHeight="1" x14ac:dyDescent="0.25">
      <c r="A2724" s="15" t="s">
        <v>2864</v>
      </c>
      <c r="B2724" s="16">
        <v>1213</v>
      </c>
      <c r="C2724" s="16">
        <v>78869</v>
      </c>
      <c r="D2724" s="31">
        <v>44746</v>
      </c>
      <c r="E2724" s="16">
        <v>63</v>
      </c>
      <c r="F2724" s="15" t="str">
        <f t="shared" si="42"/>
        <v>1213-78869-44746</v>
      </c>
    </row>
    <row r="2725" spans="1:6" ht="14.25" customHeight="1" x14ac:dyDescent="0.25">
      <c r="A2725" s="15" t="s">
        <v>2865</v>
      </c>
      <c r="B2725" s="16">
        <v>1213</v>
      </c>
      <c r="C2725" s="16">
        <v>78869</v>
      </c>
      <c r="D2725" s="31">
        <v>44753</v>
      </c>
      <c r="E2725" s="16">
        <v>28</v>
      </c>
      <c r="F2725" s="15" t="str">
        <f t="shared" si="42"/>
        <v>1213-78869-44753</v>
      </c>
    </row>
    <row r="2726" spans="1:6" ht="14.25" customHeight="1" x14ac:dyDescent="0.25">
      <c r="A2726" s="15" t="s">
        <v>2866</v>
      </c>
      <c r="B2726" s="16">
        <v>1213</v>
      </c>
      <c r="C2726" s="16">
        <v>78869</v>
      </c>
      <c r="D2726" s="31">
        <v>44760</v>
      </c>
      <c r="E2726" s="16">
        <v>71</v>
      </c>
      <c r="F2726" s="15" t="str">
        <f t="shared" si="42"/>
        <v>1213-78869-44760</v>
      </c>
    </row>
    <row r="2727" spans="1:6" ht="14.25" customHeight="1" x14ac:dyDescent="0.25">
      <c r="A2727" s="15" t="s">
        <v>2867</v>
      </c>
      <c r="B2727" s="16">
        <v>1213</v>
      </c>
      <c r="C2727" s="16">
        <v>78869</v>
      </c>
      <c r="D2727" s="31">
        <v>44767</v>
      </c>
      <c r="E2727" s="16">
        <v>54</v>
      </c>
      <c r="F2727" s="15" t="str">
        <f t="shared" si="42"/>
        <v>1213-78869-44767</v>
      </c>
    </row>
    <row r="2728" spans="1:6" ht="14.25" customHeight="1" x14ac:dyDescent="0.25">
      <c r="A2728" s="15" t="s">
        <v>2868</v>
      </c>
      <c r="B2728" s="16">
        <v>1213</v>
      </c>
      <c r="C2728" s="16">
        <v>78869</v>
      </c>
      <c r="D2728" s="31">
        <v>44774</v>
      </c>
      <c r="E2728" s="16">
        <v>55</v>
      </c>
      <c r="F2728" s="15" t="str">
        <f t="shared" si="42"/>
        <v>1213-78869-44774</v>
      </c>
    </row>
    <row r="2729" spans="1:6" ht="14.25" customHeight="1" x14ac:dyDescent="0.25">
      <c r="A2729" s="15" t="s">
        <v>2869</v>
      </c>
      <c r="B2729" s="16">
        <v>1213</v>
      </c>
      <c r="C2729" s="16">
        <v>78869</v>
      </c>
      <c r="D2729" s="31">
        <v>44781</v>
      </c>
      <c r="E2729" s="16">
        <v>51</v>
      </c>
      <c r="F2729" s="15" t="str">
        <f t="shared" si="42"/>
        <v>1213-78869-44781</v>
      </c>
    </row>
    <row r="2730" spans="1:6" ht="14.25" customHeight="1" x14ac:dyDescent="0.25">
      <c r="A2730" s="15" t="s">
        <v>2870</v>
      </c>
      <c r="B2730" s="16">
        <v>1213</v>
      </c>
      <c r="C2730" s="16">
        <v>78869</v>
      </c>
      <c r="D2730" s="31">
        <v>44788</v>
      </c>
      <c r="E2730" s="16">
        <v>54</v>
      </c>
      <c r="F2730" s="15" t="str">
        <f t="shared" si="42"/>
        <v>1213-78869-44788</v>
      </c>
    </row>
    <row r="2731" spans="1:6" ht="14.25" customHeight="1" x14ac:dyDescent="0.25">
      <c r="A2731" s="15" t="s">
        <v>2871</v>
      </c>
      <c r="B2731" s="16">
        <v>1213</v>
      </c>
      <c r="C2731" s="16">
        <v>115600</v>
      </c>
      <c r="D2731" s="31">
        <v>32874</v>
      </c>
      <c r="E2731" s="16">
        <v>9</v>
      </c>
      <c r="F2731" s="15" t="str">
        <f t="shared" si="42"/>
        <v>1213-115600-32874</v>
      </c>
    </row>
    <row r="2732" spans="1:6" ht="14.25" customHeight="1" x14ac:dyDescent="0.25">
      <c r="A2732" s="15" t="s">
        <v>2872</v>
      </c>
      <c r="B2732" s="16">
        <v>1213</v>
      </c>
      <c r="C2732" s="16">
        <v>115600</v>
      </c>
      <c r="D2732" s="31">
        <v>44739</v>
      </c>
      <c r="E2732" s="16">
        <v>16</v>
      </c>
      <c r="F2732" s="15" t="str">
        <f t="shared" si="42"/>
        <v>1213-115600-44739</v>
      </c>
    </row>
    <row r="2733" spans="1:6" ht="14.25" customHeight="1" x14ac:dyDescent="0.25">
      <c r="A2733" s="15" t="s">
        <v>2873</v>
      </c>
      <c r="B2733" s="16">
        <v>1213</v>
      </c>
      <c r="C2733" s="16">
        <v>115600</v>
      </c>
      <c r="D2733" s="31">
        <v>44746</v>
      </c>
      <c r="E2733" s="16">
        <v>21</v>
      </c>
      <c r="F2733" s="15" t="str">
        <f t="shared" si="42"/>
        <v>1213-115600-44746</v>
      </c>
    </row>
    <row r="2734" spans="1:6" ht="14.25" customHeight="1" x14ac:dyDescent="0.25">
      <c r="A2734" s="15" t="s">
        <v>2874</v>
      </c>
      <c r="B2734" s="16">
        <v>1213</v>
      </c>
      <c r="C2734" s="16">
        <v>115600</v>
      </c>
      <c r="D2734" s="31">
        <v>44753</v>
      </c>
      <c r="E2734" s="16">
        <v>9</v>
      </c>
      <c r="F2734" s="15" t="str">
        <f t="shared" si="42"/>
        <v>1213-115600-44753</v>
      </c>
    </row>
    <row r="2735" spans="1:6" ht="14.25" customHeight="1" x14ac:dyDescent="0.25">
      <c r="A2735" s="15" t="s">
        <v>2875</v>
      </c>
      <c r="B2735" s="16">
        <v>1213</v>
      </c>
      <c r="C2735" s="16">
        <v>115600</v>
      </c>
      <c r="D2735" s="31">
        <v>44760</v>
      </c>
      <c r="E2735" s="16">
        <v>15</v>
      </c>
      <c r="F2735" s="15" t="str">
        <f t="shared" si="42"/>
        <v>1213-115600-44760</v>
      </c>
    </row>
    <row r="2736" spans="1:6" ht="14.25" customHeight="1" x14ac:dyDescent="0.25">
      <c r="A2736" s="15" t="s">
        <v>2876</v>
      </c>
      <c r="B2736" s="16">
        <v>1213</v>
      </c>
      <c r="C2736" s="16">
        <v>115600</v>
      </c>
      <c r="D2736" s="31">
        <v>44767</v>
      </c>
      <c r="E2736" s="16">
        <v>15</v>
      </c>
      <c r="F2736" s="15" t="str">
        <f t="shared" si="42"/>
        <v>1213-115600-44767</v>
      </c>
    </row>
    <row r="2737" spans="1:6" ht="14.25" customHeight="1" x14ac:dyDescent="0.25">
      <c r="A2737" s="15" t="s">
        <v>2877</v>
      </c>
      <c r="B2737" s="16">
        <v>1213</v>
      </c>
      <c r="C2737" s="16">
        <v>115600</v>
      </c>
      <c r="D2737" s="31">
        <v>44774</v>
      </c>
      <c r="E2737" s="16">
        <v>16</v>
      </c>
      <c r="F2737" s="15" t="str">
        <f t="shared" si="42"/>
        <v>1213-115600-44774</v>
      </c>
    </row>
    <row r="2738" spans="1:6" ht="14.25" customHeight="1" x14ac:dyDescent="0.25">
      <c r="A2738" s="15" t="s">
        <v>2878</v>
      </c>
      <c r="B2738" s="16">
        <v>1213</v>
      </c>
      <c r="C2738" s="16">
        <v>115600</v>
      </c>
      <c r="D2738" s="31">
        <v>44781</v>
      </c>
      <c r="E2738" s="16">
        <v>17</v>
      </c>
      <c r="F2738" s="15" t="str">
        <f t="shared" si="42"/>
        <v>1213-115600-44781</v>
      </c>
    </row>
    <row r="2739" spans="1:6" ht="14.25" customHeight="1" x14ac:dyDescent="0.25">
      <c r="A2739" s="15" t="s">
        <v>2879</v>
      </c>
      <c r="B2739" s="16">
        <v>1213</v>
      </c>
      <c r="C2739" s="16">
        <v>115600</v>
      </c>
      <c r="D2739" s="31">
        <v>44788</v>
      </c>
      <c r="E2739" s="16">
        <v>18</v>
      </c>
      <c r="F2739" s="15" t="str">
        <f t="shared" si="42"/>
        <v>1213-115600-44788</v>
      </c>
    </row>
    <row r="2740" spans="1:6" ht="14.25" customHeight="1" x14ac:dyDescent="0.25">
      <c r="A2740" s="15" t="s">
        <v>2880</v>
      </c>
      <c r="B2740" s="16">
        <v>1213</v>
      </c>
      <c r="C2740" s="16">
        <v>129208</v>
      </c>
      <c r="D2740" s="31">
        <v>44739</v>
      </c>
      <c r="E2740" s="16">
        <v>28</v>
      </c>
      <c r="F2740" s="15" t="str">
        <f t="shared" si="42"/>
        <v>1213-129208-44739</v>
      </c>
    </row>
    <row r="2741" spans="1:6" ht="14.25" customHeight="1" x14ac:dyDescent="0.25">
      <c r="A2741" s="15" t="s">
        <v>2881</v>
      </c>
      <c r="B2741" s="16">
        <v>1213</v>
      </c>
      <c r="C2741" s="16">
        <v>129208</v>
      </c>
      <c r="D2741" s="31">
        <v>44746</v>
      </c>
      <c r="E2741" s="16">
        <v>21</v>
      </c>
      <c r="F2741" s="15" t="str">
        <f t="shared" si="42"/>
        <v>1213-129208-44746</v>
      </c>
    </row>
    <row r="2742" spans="1:6" ht="14.25" customHeight="1" x14ac:dyDescent="0.25">
      <c r="A2742" s="15" t="s">
        <v>2882</v>
      </c>
      <c r="B2742" s="16">
        <v>1213</v>
      </c>
      <c r="C2742" s="16">
        <v>129208</v>
      </c>
      <c r="D2742" s="31">
        <v>44753</v>
      </c>
      <c r="E2742" s="16">
        <v>24</v>
      </c>
      <c r="F2742" s="15" t="str">
        <f t="shared" si="42"/>
        <v>1213-129208-44753</v>
      </c>
    </row>
    <row r="2743" spans="1:6" ht="14.25" customHeight="1" x14ac:dyDescent="0.25">
      <c r="A2743" s="15" t="s">
        <v>2883</v>
      </c>
      <c r="B2743" s="16">
        <v>1213</v>
      </c>
      <c r="C2743" s="16">
        <v>129208</v>
      </c>
      <c r="D2743" s="31">
        <v>44760</v>
      </c>
      <c r="E2743" s="16">
        <v>8</v>
      </c>
      <c r="F2743" s="15" t="str">
        <f t="shared" si="42"/>
        <v>1213-129208-44760</v>
      </c>
    </row>
    <row r="2744" spans="1:6" ht="14.25" customHeight="1" x14ac:dyDescent="0.25">
      <c r="A2744" s="15" t="s">
        <v>2884</v>
      </c>
      <c r="B2744" s="16">
        <v>1213</v>
      </c>
      <c r="C2744" s="16">
        <v>129208</v>
      </c>
      <c r="D2744" s="31">
        <v>44767</v>
      </c>
      <c r="E2744" s="16">
        <v>23</v>
      </c>
      <c r="F2744" s="15" t="str">
        <f t="shared" si="42"/>
        <v>1213-129208-44767</v>
      </c>
    </row>
    <row r="2745" spans="1:6" ht="14.25" customHeight="1" x14ac:dyDescent="0.25">
      <c r="A2745" s="15" t="s">
        <v>2885</v>
      </c>
      <c r="B2745" s="16">
        <v>1213</v>
      </c>
      <c r="C2745" s="16">
        <v>129208</v>
      </c>
      <c r="D2745" s="31">
        <v>44774</v>
      </c>
      <c r="E2745" s="16">
        <v>18</v>
      </c>
      <c r="F2745" s="15" t="str">
        <f t="shared" si="42"/>
        <v>1213-129208-44774</v>
      </c>
    </row>
    <row r="2746" spans="1:6" ht="14.25" customHeight="1" x14ac:dyDescent="0.25">
      <c r="A2746" s="15" t="s">
        <v>2886</v>
      </c>
      <c r="B2746" s="16">
        <v>1213</v>
      </c>
      <c r="C2746" s="16">
        <v>129208</v>
      </c>
      <c r="D2746" s="31">
        <v>44781</v>
      </c>
      <c r="E2746" s="16">
        <v>28</v>
      </c>
      <c r="F2746" s="15" t="str">
        <f t="shared" si="42"/>
        <v>1213-129208-44781</v>
      </c>
    </row>
    <row r="2747" spans="1:6" ht="14.25" customHeight="1" x14ac:dyDescent="0.25">
      <c r="A2747" s="15" t="s">
        <v>2887</v>
      </c>
      <c r="B2747" s="16">
        <v>1213</v>
      </c>
      <c r="C2747" s="16">
        <v>129208</v>
      </c>
      <c r="D2747" s="31">
        <v>44788</v>
      </c>
      <c r="E2747" s="16">
        <v>18</v>
      </c>
      <c r="F2747" s="15" t="str">
        <f t="shared" si="42"/>
        <v>1213-129208-44788</v>
      </c>
    </row>
    <row r="2748" spans="1:6" ht="14.25" customHeight="1" x14ac:dyDescent="0.25">
      <c r="A2748" s="15" t="s">
        <v>2888</v>
      </c>
      <c r="B2748" s="16">
        <v>1213</v>
      </c>
      <c r="C2748" s="16">
        <v>141622</v>
      </c>
      <c r="D2748" s="31">
        <v>44739</v>
      </c>
      <c r="E2748" s="16">
        <v>20</v>
      </c>
      <c r="F2748" s="15" t="str">
        <f t="shared" si="42"/>
        <v>1213-141622-44739</v>
      </c>
    </row>
    <row r="2749" spans="1:6" ht="14.25" customHeight="1" x14ac:dyDescent="0.25">
      <c r="A2749" s="15" t="s">
        <v>2889</v>
      </c>
      <c r="B2749" s="16">
        <v>1213</v>
      </c>
      <c r="C2749" s="16">
        <v>141622</v>
      </c>
      <c r="D2749" s="31">
        <v>44746</v>
      </c>
      <c r="E2749" s="16">
        <v>18</v>
      </c>
      <c r="F2749" s="15" t="str">
        <f t="shared" si="42"/>
        <v>1213-141622-44746</v>
      </c>
    </row>
    <row r="2750" spans="1:6" ht="14.25" customHeight="1" x14ac:dyDescent="0.25">
      <c r="A2750" s="15" t="s">
        <v>2890</v>
      </c>
      <c r="B2750" s="16">
        <v>1213</v>
      </c>
      <c r="C2750" s="16">
        <v>141622</v>
      </c>
      <c r="D2750" s="31">
        <v>44753</v>
      </c>
      <c r="E2750" s="16">
        <v>12</v>
      </c>
      <c r="F2750" s="15" t="str">
        <f t="shared" si="42"/>
        <v>1213-141622-44753</v>
      </c>
    </row>
    <row r="2751" spans="1:6" ht="14.25" customHeight="1" x14ac:dyDescent="0.25">
      <c r="A2751" s="15" t="s">
        <v>2891</v>
      </c>
      <c r="B2751" s="16">
        <v>1213</v>
      </c>
      <c r="C2751" s="16">
        <v>141622</v>
      </c>
      <c r="D2751" s="31">
        <v>44760</v>
      </c>
      <c r="E2751" s="16">
        <v>16</v>
      </c>
      <c r="F2751" s="15" t="str">
        <f t="shared" si="42"/>
        <v>1213-141622-44760</v>
      </c>
    </row>
    <row r="2752" spans="1:6" ht="14.25" customHeight="1" x14ac:dyDescent="0.25">
      <c r="A2752" s="15" t="s">
        <v>2892</v>
      </c>
      <c r="B2752" s="16">
        <v>1213</v>
      </c>
      <c r="C2752" s="16">
        <v>141622</v>
      </c>
      <c r="D2752" s="31">
        <v>44767</v>
      </c>
      <c r="E2752" s="16">
        <v>14</v>
      </c>
      <c r="F2752" s="15" t="str">
        <f t="shared" si="42"/>
        <v>1213-141622-44767</v>
      </c>
    </row>
    <row r="2753" spans="1:6" ht="14.25" customHeight="1" x14ac:dyDescent="0.25">
      <c r="A2753" s="15" t="s">
        <v>2893</v>
      </c>
      <c r="B2753" s="16">
        <v>1213</v>
      </c>
      <c r="C2753" s="16">
        <v>141622</v>
      </c>
      <c r="D2753" s="31">
        <v>44774</v>
      </c>
      <c r="E2753" s="16">
        <v>17</v>
      </c>
      <c r="F2753" s="15" t="str">
        <f t="shared" si="42"/>
        <v>1213-141622-44774</v>
      </c>
    </row>
    <row r="2754" spans="1:6" ht="14.25" customHeight="1" x14ac:dyDescent="0.25">
      <c r="A2754" s="15" t="s">
        <v>2894</v>
      </c>
      <c r="B2754" s="16">
        <v>1213</v>
      </c>
      <c r="C2754" s="16">
        <v>141622</v>
      </c>
      <c r="D2754" s="31">
        <v>44781</v>
      </c>
      <c r="E2754" s="16">
        <v>2</v>
      </c>
      <c r="F2754" s="15" t="str">
        <f t="shared" si="42"/>
        <v>1213-141622-44781</v>
      </c>
    </row>
    <row r="2755" spans="1:6" ht="14.25" customHeight="1" x14ac:dyDescent="0.25">
      <c r="A2755" s="15" t="s">
        <v>2895</v>
      </c>
      <c r="B2755" s="16">
        <v>1213</v>
      </c>
      <c r="C2755" s="16">
        <v>141622</v>
      </c>
      <c r="D2755" s="31">
        <v>44788</v>
      </c>
      <c r="E2755" s="16">
        <v>12</v>
      </c>
      <c r="F2755" s="15" t="str">
        <f t="shared" ref="F2755:F2818" si="43">B2755&amp;"-"&amp;C2755&amp;"-"&amp;INT(D2755)</f>
        <v>1213-141622-44788</v>
      </c>
    </row>
    <row r="2756" spans="1:6" ht="14.25" customHeight="1" x14ac:dyDescent="0.25">
      <c r="A2756" s="15" t="s">
        <v>2896</v>
      </c>
      <c r="B2756" s="16">
        <v>1213</v>
      </c>
      <c r="C2756" s="16">
        <v>141626</v>
      </c>
      <c r="D2756" s="31">
        <v>44739</v>
      </c>
      <c r="E2756" s="16">
        <v>366</v>
      </c>
      <c r="F2756" s="15" t="str">
        <f t="shared" si="43"/>
        <v>1213-141626-44739</v>
      </c>
    </row>
    <row r="2757" spans="1:6" ht="14.25" customHeight="1" x14ac:dyDescent="0.25">
      <c r="A2757" s="15" t="s">
        <v>2897</v>
      </c>
      <c r="B2757" s="16">
        <v>1213</v>
      </c>
      <c r="C2757" s="16">
        <v>141626</v>
      </c>
      <c r="D2757" s="31">
        <v>44746</v>
      </c>
      <c r="E2757" s="16">
        <v>434</v>
      </c>
      <c r="F2757" s="15" t="str">
        <f t="shared" si="43"/>
        <v>1213-141626-44746</v>
      </c>
    </row>
    <row r="2758" spans="1:6" ht="14.25" customHeight="1" x14ac:dyDescent="0.25">
      <c r="A2758" s="15" t="s">
        <v>2898</v>
      </c>
      <c r="B2758" s="16">
        <v>1213</v>
      </c>
      <c r="C2758" s="16">
        <v>141626</v>
      </c>
      <c r="D2758" s="31">
        <v>44753</v>
      </c>
      <c r="E2758" s="16">
        <v>473</v>
      </c>
      <c r="F2758" s="15" t="str">
        <f t="shared" si="43"/>
        <v>1213-141626-44753</v>
      </c>
    </row>
    <row r="2759" spans="1:6" ht="14.25" customHeight="1" x14ac:dyDescent="0.25">
      <c r="A2759" s="15" t="s">
        <v>2899</v>
      </c>
      <c r="B2759" s="16">
        <v>1213</v>
      </c>
      <c r="C2759" s="16">
        <v>141626</v>
      </c>
      <c r="D2759" s="31">
        <v>44760</v>
      </c>
      <c r="E2759" s="16">
        <v>366</v>
      </c>
      <c r="F2759" s="15" t="str">
        <f t="shared" si="43"/>
        <v>1213-141626-44760</v>
      </c>
    </row>
    <row r="2760" spans="1:6" ht="14.25" customHeight="1" x14ac:dyDescent="0.25">
      <c r="A2760" s="15" t="s">
        <v>2900</v>
      </c>
      <c r="B2760" s="16">
        <v>1213</v>
      </c>
      <c r="C2760" s="16">
        <v>141626</v>
      </c>
      <c r="D2760" s="31">
        <v>44767</v>
      </c>
      <c r="E2760" s="16">
        <v>483</v>
      </c>
      <c r="F2760" s="15" t="str">
        <f t="shared" si="43"/>
        <v>1213-141626-44767</v>
      </c>
    </row>
    <row r="2761" spans="1:6" ht="14.25" customHeight="1" x14ac:dyDescent="0.25">
      <c r="A2761" s="15" t="s">
        <v>2901</v>
      </c>
      <c r="B2761" s="16">
        <v>1213</v>
      </c>
      <c r="C2761" s="16">
        <v>141626</v>
      </c>
      <c r="D2761" s="31">
        <v>44774</v>
      </c>
      <c r="E2761" s="16">
        <v>497</v>
      </c>
      <c r="F2761" s="15" t="str">
        <f t="shared" si="43"/>
        <v>1213-141626-44774</v>
      </c>
    </row>
    <row r="2762" spans="1:6" ht="14.25" customHeight="1" x14ac:dyDescent="0.25">
      <c r="A2762" s="15" t="s">
        <v>2902</v>
      </c>
      <c r="B2762" s="16">
        <v>1213</v>
      </c>
      <c r="C2762" s="16">
        <v>141626</v>
      </c>
      <c r="D2762" s="31">
        <v>44781</v>
      </c>
      <c r="E2762" s="16">
        <v>441</v>
      </c>
      <c r="F2762" s="15" t="str">
        <f t="shared" si="43"/>
        <v>1213-141626-44781</v>
      </c>
    </row>
    <row r="2763" spans="1:6" ht="14.25" customHeight="1" x14ac:dyDescent="0.25">
      <c r="A2763" s="15" t="s">
        <v>2903</v>
      </c>
      <c r="B2763" s="16">
        <v>1213</v>
      </c>
      <c r="C2763" s="16">
        <v>141626</v>
      </c>
      <c r="D2763" s="31">
        <v>44788</v>
      </c>
      <c r="E2763" s="16">
        <v>217</v>
      </c>
      <c r="F2763" s="15" t="str">
        <f t="shared" si="43"/>
        <v>1213-141626-44788</v>
      </c>
    </row>
    <row r="2764" spans="1:6" ht="14.25" customHeight="1" x14ac:dyDescent="0.25">
      <c r="A2764" s="15" t="s">
        <v>2904</v>
      </c>
      <c r="B2764" s="16">
        <v>1213</v>
      </c>
      <c r="C2764" s="16">
        <v>141791</v>
      </c>
      <c r="D2764" s="31">
        <v>44739</v>
      </c>
      <c r="E2764" s="16">
        <v>3</v>
      </c>
      <c r="F2764" s="15" t="str">
        <f t="shared" si="43"/>
        <v>1213-141791-44739</v>
      </c>
    </row>
    <row r="2765" spans="1:6" ht="14.25" customHeight="1" x14ac:dyDescent="0.25">
      <c r="A2765" s="15" t="s">
        <v>2905</v>
      </c>
      <c r="B2765" s="16">
        <v>1213</v>
      </c>
      <c r="C2765" s="16">
        <v>141791</v>
      </c>
      <c r="D2765" s="31">
        <v>44746</v>
      </c>
      <c r="E2765" s="16">
        <v>3</v>
      </c>
      <c r="F2765" s="15" t="str">
        <f t="shared" si="43"/>
        <v>1213-141791-44746</v>
      </c>
    </row>
    <row r="2766" spans="1:6" ht="14.25" customHeight="1" x14ac:dyDescent="0.25">
      <c r="A2766" s="15" t="s">
        <v>2906</v>
      </c>
      <c r="B2766" s="16">
        <v>1213</v>
      </c>
      <c r="C2766" s="16">
        <v>141791</v>
      </c>
      <c r="D2766" s="31">
        <v>44753</v>
      </c>
      <c r="E2766" s="16">
        <v>3</v>
      </c>
      <c r="F2766" s="15" t="str">
        <f t="shared" si="43"/>
        <v>1213-141791-44753</v>
      </c>
    </row>
    <row r="2767" spans="1:6" ht="14.25" customHeight="1" x14ac:dyDescent="0.25">
      <c r="A2767" s="15" t="s">
        <v>2907</v>
      </c>
      <c r="B2767" s="16">
        <v>1213</v>
      </c>
      <c r="C2767" s="16">
        <v>141791</v>
      </c>
      <c r="D2767" s="31">
        <v>44760</v>
      </c>
      <c r="E2767" s="16">
        <v>3</v>
      </c>
      <c r="F2767" s="15" t="str">
        <f t="shared" si="43"/>
        <v>1213-141791-44760</v>
      </c>
    </row>
    <row r="2768" spans="1:6" ht="14.25" customHeight="1" x14ac:dyDescent="0.25">
      <c r="A2768" s="15" t="s">
        <v>2908</v>
      </c>
      <c r="B2768" s="16">
        <v>1213</v>
      </c>
      <c r="C2768" s="16">
        <v>141791</v>
      </c>
      <c r="D2768" s="31">
        <v>44767</v>
      </c>
      <c r="E2768" s="16">
        <v>3</v>
      </c>
      <c r="F2768" s="15" t="str">
        <f t="shared" si="43"/>
        <v>1213-141791-44767</v>
      </c>
    </row>
    <row r="2769" spans="1:6" ht="14.25" customHeight="1" x14ac:dyDescent="0.25">
      <c r="A2769" s="15" t="s">
        <v>2909</v>
      </c>
      <c r="B2769" s="16">
        <v>1213</v>
      </c>
      <c r="C2769" s="16">
        <v>141791</v>
      </c>
      <c r="D2769" s="31">
        <v>44774</v>
      </c>
      <c r="E2769" s="16">
        <v>3</v>
      </c>
      <c r="F2769" s="15" t="str">
        <f t="shared" si="43"/>
        <v>1213-141791-44774</v>
      </c>
    </row>
    <row r="2770" spans="1:6" ht="14.25" customHeight="1" x14ac:dyDescent="0.25">
      <c r="A2770" s="15" t="s">
        <v>2910</v>
      </c>
      <c r="B2770" s="16">
        <v>1213</v>
      </c>
      <c r="C2770" s="16">
        <v>141791</v>
      </c>
      <c r="D2770" s="31">
        <v>44781</v>
      </c>
      <c r="E2770" s="16">
        <v>3</v>
      </c>
      <c r="F2770" s="15" t="str">
        <f t="shared" si="43"/>
        <v>1213-141791-44781</v>
      </c>
    </row>
    <row r="2771" spans="1:6" ht="14.25" customHeight="1" x14ac:dyDescent="0.25">
      <c r="A2771" s="15" t="s">
        <v>2911</v>
      </c>
      <c r="B2771" s="16">
        <v>1213</v>
      </c>
      <c r="C2771" s="16">
        <v>141791</v>
      </c>
      <c r="D2771" s="31">
        <v>44788</v>
      </c>
      <c r="E2771" s="16">
        <v>3</v>
      </c>
      <c r="F2771" s="15" t="str">
        <f t="shared" si="43"/>
        <v>1213-141791-44788</v>
      </c>
    </row>
    <row r="2772" spans="1:6" ht="14.25" customHeight="1" x14ac:dyDescent="0.25">
      <c r="A2772" s="15" t="s">
        <v>2912</v>
      </c>
      <c r="B2772" s="16">
        <v>1213</v>
      </c>
      <c r="C2772" s="16">
        <v>141846</v>
      </c>
      <c r="D2772" s="31">
        <v>44739</v>
      </c>
      <c r="E2772" s="16">
        <v>11</v>
      </c>
      <c r="F2772" s="15" t="str">
        <f t="shared" si="43"/>
        <v>1213-141846-44739</v>
      </c>
    </row>
    <row r="2773" spans="1:6" ht="14.25" customHeight="1" x14ac:dyDescent="0.25">
      <c r="A2773" s="15" t="s">
        <v>2913</v>
      </c>
      <c r="B2773" s="16">
        <v>1213</v>
      </c>
      <c r="C2773" s="16">
        <v>141846</v>
      </c>
      <c r="D2773" s="31">
        <v>44746</v>
      </c>
      <c r="E2773" s="16">
        <v>11</v>
      </c>
      <c r="F2773" s="15" t="str">
        <f t="shared" si="43"/>
        <v>1213-141846-44746</v>
      </c>
    </row>
    <row r="2774" spans="1:6" ht="14.25" customHeight="1" x14ac:dyDescent="0.25">
      <c r="A2774" s="15" t="s">
        <v>2914</v>
      </c>
      <c r="B2774" s="16">
        <v>1213</v>
      </c>
      <c r="C2774" s="16">
        <v>141846</v>
      </c>
      <c r="D2774" s="31">
        <v>44753</v>
      </c>
      <c r="E2774" s="16">
        <v>9</v>
      </c>
      <c r="F2774" s="15" t="str">
        <f t="shared" si="43"/>
        <v>1213-141846-44753</v>
      </c>
    </row>
    <row r="2775" spans="1:6" ht="14.25" customHeight="1" x14ac:dyDescent="0.25">
      <c r="A2775" s="15" t="s">
        <v>2915</v>
      </c>
      <c r="B2775" s="16">
        <v>1213</v>
      </c>
      <c r="C2775" s="16">
        <v>141846</v>
      </c>
      <c r="D2775" s="31">
        <v>44760</v>
      </c>
      <c r="E2775" s="16">
        <v>0</v>
      </c>
      <c r="F2775" s="15" t="str">
        <f t="shared" si="43"/>
        <v>1213-141846-44760</v>
      </c>
    </row>
    <row r="2776" spans="1:6" ht="14.25" customHeight="1" x14ac:dyDescent="0.25">
      <c r="A2776" s="15" t="s">
        <v>2916</v>
      </c>
      <c r="B2776" s="16">
        <v>1213</v>
      </c>
      <c r="C2776" s="16">
        <v>141846</v>
      </c>
      <c r="D2776" s="31">
        <v>44767</v>
      </c>
      <c r="E2776" s="16">
        <v>12</v>
      </c>
      <c r="F2776" s="15" t="str">
        <f t="shared" si="43"/>
        <v>1213-141846-44767</v>
      </c>
    </row>
    <row r="2777" spans="1:6" ht="14.25" customHeight="1" x14ac:dyDescent="0.25">
      <c r="A2777" s="15" t="s">
        <v>2917</v>
      </c>
      <c r="B2777" s="16">
        <v>1213</v>
      </c>
      <c r="C2777" s="16">
        <v>141846</v>
      </c>
      <c r="D2777" s="31">
        <v>44774</v>
      </c>
      <c r="E2777" s="16">
        <v>12</v>
      </c>
      <c r="F2777" s="15" t="str">
        <f t="shared" si="43"/>
        <v>1213-141846-44774</v>
      </c>
    </row>
    <row r="2778" spans="1:6" ht="14.25" customHeight="1" x14ac:dyDescent="0.25">
      <c r="A2778" s="15" t="s">
        <v>2918</v>
      </c>
      <c r="B2778" s="16">
        <v>1213</v>
      </c>
      <c r="C2778" s="16">
        <v>141846</v>
      </c>
      <c r="D2778" s="31">
        <v>44781</v>
      </c>
      <c r="E2778" s="16">
        <v>6</v>
      </c>
      <c r="F2778" s="15" t="str">
        <f t="shared" si="43"/>
        <v>1213-141846-44781</v>
      </c>
    </row>
    <row r="2779" spans="1:6" ht="14.25" customHeight="1" x14ac:dyDescent="0.25">
      <c r="A2779" s="15" t="s">
        <v>2919</v>
      </c>
      <c r="B2779" s="16">
        <v>1213</v>
      </c>
      <c r="C2779" s="16">
        <v>141846</v>
      </c>
      <c r="D2779" s="31">
        <v>44788</v>
      </c>
      <c r="E2779" s="16">
        <v>6</v>
      </c>
      <c r="F2779" s="15" t="str">
        <f t="shared" si="43"/>
        <v>1213-141846-44788</v>
      </c>
    </row>
    <row r="2780" spans="1:6" ht="14.25" customHeight="1" x14ac:dyDescent="0.25">
      <c r="A2780" s="15" t="s">
        <v>2920</v>
      </c>
      <c r="B2780" s="16">
        <v>1213</v>
      </c>
      <c r="C2780" s="16">
        <v>141967</v>
      </c>
      <c r="D2780" s="31">
        <v>44739</v>
      </c>
      <c r="E2780" s="16">
        <v>1</v>
      </c>
      <c r="F2780" s="15" t="str">
        <f t="shared" si="43"/>
        <v>1213-141967-44739</v>
      </c>
    </row>
    <row r="2781" spans="1:6" ht="14.25" customHeight="1" x14ac:dyDescent="0.25">
      <c r="A2781" s="15" t="s">
        <v>2921</v>
      </c>
      <c r="B2781" s="16">
        <v>1213</v>
      </c>
      <c r="C2781" s="16">
        <v>141967</v>
      </c>
      <c r="D2781" s="31">
        <v>44746</v>
      </c>
      <c r="E2781" s="16">
        <v>9</v>
      </c>
      <c r="F2781" s="15" t="str">
        <f t="shared" si="43"/>
        <v>1213-141967-44746</v>
      </c>
    </row>
    <row r="2782" spans="1:6" ht="14.25" customHeight="1" x14ac:dyDescent="0.25">
      <c r="A2782" s="15" t="s">
        <v>2922</v>
      </c>
      <c r="B2782" s="16">
        <v>1213</v>
      </c>
      <c r="C2782" s="16">
        <v>141967</v>
      </c>
      <c r="D2782" s="31">
        <v>44753</v>
      </c>
      <c r="E2782" s="16">
        <v>1</v>
      </c>
      <c r="F2782" s="15" t="str">
        <f t="shared" si="43"/>
        <v>1213-141967-44753</v>
      </c>
    </row>
    <row r="2783" spans="1:6" ht="14.25" customHeight="1" x14ac:dyDescent="0.25">
      <c r="A2783" s="15" t="s">
        <v>2923</v>
      </c>
      <c r="B2783" s="16">
        <v>1213</v>
      </c>
      <c r="C2783" s="16">
        <v>141967</v>
      </c>
      <c r="D2783" s="31">
        <v>44760</v>
      </c>
      <c r="E2783" s="16">
        <v>15</v>
      </c>
      <c r="F2783" s="15" t="str">
        <f t="shared" si="43"/>
        <v>1213-141967-44760</v>
      </c>
    </row>
    <row r="2784" spans="1:6" ht="14.25" customHeight="1" x14ac:dyDescent="0.25">
      <c r="A2784" s="15" t="s">
        <v>2924</v>
      </c>
      <c r="B2784" s="16">
        <v>1213</v>
      </c>
      <c r="C2784" s="16">
        <v>141967</v>
      </c>
      <c r="D2784" s="31">
        <v>44767</v>
      </c>
      <c r="E2784" s="16">
        <v>9</v>
      </c>
      <c r="F2784" s="15" t="str">
        <f t="shared" si="43"/>
        <v>1213-141967-44767</v>
      </c>
    </row>
    <row r="2785" spans="1:6" ht="14.25" customHeight="1" x14ac:dyDescent="0.25">
      <c r="A2785" s="15" t="s">
        <v>2925</v>
      </c>
      <c r="B2785" s="16">
        <v>1213</v>
      </c>
      <c r="C2785" s="16">
        <v>141967</v>
      </c>
      <c r="D2785" s="31">
        <v>44774</v>
      </c>
      <c r="E2785" s="16">
        <v>9</v>
      </c>
      <c r="F2785" s="15" t="str">
        <f t="shared" si="43"/>
        <v>1213-141967-44774</v>
      </c>
    </row>
    <row r="2786" spans="1:6" ht="14.25" customHeight="1" x14ac:dyDescent="0.25">
      <c r="A2786" s="15" t="s">
        <v>2926</v>
      </c>
      <c r="B2786" s="16">
        <v>1213</v>
      </c>
      <c r="C2786" s="16">
        <v>141967</v>
      </c>
      <c r="D2786" s="31">
        <v>44781</v>
      </c>
      <c r="E2786" s="16">
        <v>11</v>
      </c>
      <c r="F2786" s="15" t="str">
        <f t="shared" si="43"/>
        <v>1213-141967-44781</v>
      </c>
    </row>
    <row r="2787" spans="1:6" ht="14.25" customHeight="1" x14ac:dyDescent="0.25">
      <c r="A2787" s="15" t="s">
        <v>2927</v>
      </c>
      <c r="B2787" s="16">
        <v>1213</v>
      </c>
      <c r="C2787" s="16">
        <v>141967</v>
      </c>
      <c r="D2787" s="31">
        <v>44788</v>
      </c>
      <c r="E2787" s="16">
        <v>9</v>
      </c>
      <c r="F2787" s="15" t="str">
        <f t="shared" si="43"/>
        <v>1213-141967-44788</v>
      </c>
    </row>
    <row r="2788" spans="1:6" ht="14.25" customHeight="1" x14ac:dyDescent="0.25">
      <c r="A2788" s="15" t="s">
        <v>2928</v>
      </c>
      <c r="B2788" s="16">
        <v>1213</v>
      </c>
      <c r="C2788" s="16">
        <v>142194</v>
      </c>
      <c r="D2788" s="31">
        <v>44739</v>
      </c>
      <c r="E2788" s="16">
        <v>22</v>
      </c>
      <c r="F2788" s="15" t="str">
        <f t="shared" si="43"/>
        <v>1213-142194-44739</v>
      </c>
    </row>
    <row r="2789" spans="1:6" ht="14.25" customHeight="1" x14ac:dyDescent="0.25">
      <c r="A2789" s="15" t="s">
        <v>2929</v>
      </c>
      <c r="B2789" s="16">
        <v>1213</v>
      </c>
      <c r="C2789" s="16">
        <v>142194</v>
      </c>
      <c r="D2789" s="31">
        <v>44746</v>
      </c>
      <c r="E2789" s="16">
        <v>7</v>
      </c>
      <c r="F2789" s="15" t="str">
        <f t="shared" si="43"/>
        <v>1213-142194-44746</v>
      </c>
    </row>
    <row r="2790" spans="1:6" ht="14.25" customHeight="1" x14ac:dyDescent="0.25">
      <c r="A2790" s="15" t="s">
        <v>2930</v>
      </c>
      <c r="B2790" s="16">
        <v>1213</v>
      </c>
      <c r="C2790" s="16">
        <v>142194</v>
      </c>
      <c r="D2790" s="31">
        <v>44753</v>
      </c>
      <c r="E2790" s="16">
        <v>24</v>
      </c>
      <c r="F2790" s="15" t="str">
        <f t="shared" si="43"/>
        <v>1213-142194-44753</v>
      </c>
    </row>
    <row r="2791" spans="1:6" ht="14.25" customHeight="1" x14ac:dyDescent="0.25">
      <c r="A2791" s="15" t="s">
        <v>2931</v>
      </c>
      <c r="B2791" s="16">
        <v>1213</v>
      </c>
      <c r="C2791" s="16">
        <v>142194</v>
      </c>
      <c r="D2791" s="31">
        <v>44760</v>
      </c>
      <c r="E2791" s="16">
        <v>15</v>
      </c>
      <c r="F2791" s="15" t="str">
        <f t="shared" si="43"/>
        <v>1213-142194-44760</v>
      </c>
    </row>
    <row r="2792" spans="1:6" ht="14.25" customHeight="1" x14ac:dyDescent="0.25">
      <c r="A2792" s="15" t="s">
        <v>2932</v>
      </c>
      <c r="B2792" s="16">
        <v>1213</v>
      </c>
      <c r="C2792" s="16">
        <v>142194</v>
      </c>
      <c r="D2792" s="31">
        <v>44767</v>
      </c>
      <c r="E2792" s="16">
        <v>17</v>
      </c>
      <c r="F2792" s="15" t="str">
        <f t="shared" si="43"/>
        <v>1213-142194-44767</v>
      </c>
    </row>
    <row r="2793" spans="1:6" ht="14.25" customHeight="1" x14ac:dyDescent="0.25">
      <c r="A2793" s="15" t="s">
        <v>2933</v>
      </c>
      <c r="B2793" s="16">
        <v>1213</v>
      </c>
      <c r="C2793" s="16">
        <v>142194</v>
      </c>
      <c r="D2793" s="31">
        <v>44774</v>
      </c>
      <c r="E2793" s="16">
        <v>20</v>
      </c>
      <c r="F2793" s="15" t="str">
        <f t="shared" si="43"/>
        <v>1213-142194-44774</v>
      </c>
    </row>
    <row r="2794" spans="1:6" ht="14.25" customHeight="1" x14ac:dyDescent="0.25">
      <c r="A2794" s="15" t="s">
        <v>2934</v>
      </c>
      <c r="B2794" s="16">
        <v>1213</v>
      </c>
      <c r="C2794" s="16">
        <v>142194</v>
      </c>
      <c r="D2794" s="31">
        <v>44781</v>
      </c>
      <c r="E2794" s="16">
        <v>2</v>
      </c>
      <c r="F2794" s="15" t="str">
        <f t="shared" si="43"/>
        <v>1213-142194-44781</v>
      </c>
    </row>
    <row r="2795" spans="1:6" ht="14.25" customHeight="1" x14ac:dyDescent="0.25">
      <c r="A2795" s="15" t="s">
        <v>2935</v>
      </c>
      <c r="B2795" s="16">
        <v>1213</v>
      </c>
      <c r="C2795" s="16">
        <v>142194</v>
      </c>
      <c r="D2795" s="31">
        <v>44788</v>
      </c>
      <c r="E2795" s="16">
        <v>15</v>
      </c>
      <c r="F2795" s="15" t="str">
        <f t="shared" si="43"/>
        <v>1213-142194-44788</v>
      </c>
    </row>
    <row r="2796" spans="1:6" ht="14.25" customHeight="1" x14ac:dyDescent="0.25">
      <c r="A2796" s="15" t="s">
        <v>2936</v>
      </c>
      <c r="B2796" s="16">
        <v>1213</v>
      </c>
      <c r="C2796" s="16">
        <v>149729</v>
      </c>
      <c r="D2796" s="31">
        <v>44739</v>
      </c>
      <c r="E2796" s="16">
        <v>91</v>
      </c>
      <c r="F2796" s="15" t="str">
        <f t="shared" si="43"/>
        <v>1213-149729-44739</v>
      </c>
    </row>
    <row r="2797" spans="1:6" ht="14.25" customHeight="1" x14ac:dyDescent="0.25">
      <c r="A2797" s="15" t="s">
        <v>2937</v>
      </c>
      <c r="B2797" s="16">
        <v>1213</v>
      </c>
      <c r="C2797" s="16">
        <v>149729</v>
      </c>
      <c r="D2797" s="31">
        <v>44746</v>
      </c>
      <c r="E2797" s="16">
        <v>93</v>
      </c>
      <c r="F2797" s="15" t="str">
        <f t="shared" si="43"/>
        <v>1213-149729-44746</v>
      </c>
    </row>
    <row r="2798" spans="1:6" ht="14.25" customHeight="1" x14ac:dyDescent="0.25">
      <c r="A2798" s="15" t="s">
        <v>2938</v>
      </c>
      <c r="B2798" s="16">
        <v>1213</v>
      </c>
      <c r="C2798" s="16">
        <v>149729</v>
      </c>
      <c r="D2798" s="31">
        <v>44753</v>
      </c>
      <c r="E2798" s="16">
        <v>24</v>
      </c>
      <c r="F2798" s="15" t="str">
        <f t="shared" si="43"/>
        <v>1213-149729-44753</v>
      </c>
    </row>
    <row r="2799" spans="1:6" ht="14.25" customHeight="1" x14ac:dyDescent="0.25">
      <c r="A2799" s="15" t="s">
        <v>2939</v>
      </c>
      <c r="B2799" s="16">
        <v>1213</v>
      </c>
      <c r="C2799" s="16">
        <v>149729</v>
      </c>
      <c r="D2799" s="31">
        <v>44760</v>
      </c>
      <c r="E2799" s="16">
        <v>36</v>
      </c>
      <c r="F2799" s="15" t="str">
        <f t="shared" si="43"/>
        <v>1213-149729-44760</v>
      </c>
    </row>
    <row r="2800" spans="1:6" ht="14.25" customHeight="1" x14ac:dyDescent="0.25">
      <c r="A2800" s="15" t="s">
        <v>2940</v>
      </c>
      <c r="B2800" s="16">
        <v>1213</v>
      </c>
      <c r="C2800" s="16">
        <v>149729</v>
      </c>
      <c r="D2800" s="31">
        <v>44767</v>
      </c>
      <c r="E2800" s="16">
        <v>102</v>
      </c>
      <c r="F2800" s="15" t="str">
        <f t="shared" si="43"/>
        <v>1213-149729-44767</v>
      </c>
    </row>
    <row r="2801" spans="1:6" ht="14.25" customHeight="1" x14ac:dyDescent="0.25">
      <c r="A2801" s="15" t="s">
        <v>2941</v>
      </c>
      <c r="B2801" s="16">
        <v>1213</v>
      </c>
      <c r="C2801" s="16">
        <v>149729</v>
      </c>
      <c r="D2801" s="31">
        <v>44774</v>
      </c>
      <c r="E2801" s="16">
        <v>114</v>
      </c>
      <c r="F2801" s="15" t="str">
        <f t="shared" si="43"/>
        <v>1213-149729-44774</v>
      </c>
    </row>
    <row r="2802" spans="1:6" ht="14.25" customHeight="1" x14ac:dyDescent="0.25">
      <c r="A2802" s="15" t="s">
        <v>2942</v>
      </c>
      <c r="B2802" s="16">
        <v>1213</v>
      </c>
      <c r="C2802" s="16">
        <v>149729</v>
      </c>
      <c r="D2802" s="31">
        <v>44781</v>
      </c>
      <c r="E2802" s="16">
        <v>86</v>
      </c>
      <c r="F2802" s="15" t="str">
        <f t="shared" si="43"/>
        <v>1213-149729-44781</v>
      </c>
    </row>
    <row r="2803" spans="1:6" ht="14.25" customHeight="1" x14ac:dyDescent="0.25">
      <c r="A2803" s="15" t="s">
        <v>2943</v>
      </c>
      <c r="B2803" s="16">
        <v>1213</v>
      </c>
      <c r="C2803" s="16">
        <v>149729</v>
      </c>
      <c r="D2803" s="31">
        <v>44788</v>
      </c>
      <c r="E2803" s="16">
        <v>29</v>
      </c>
      <c r="F2803" s="15" t="str">
        <f t="shared" si="43"/>
        <v>1213-149729-44788</v>
      </c>
    </row>
    <row r="2804" spans="1:6" ht="14.25" customHeight="1" x14ac:dyDescent="0.25">
      <c r="A2804" s="15" t="s">
        <v>2944</v>
      </c>
      <c r="B2804" s="16">
        <v>1213</v>
      </c>
      <c r="C2804" s="16">
        <v>149779</v>
      </c>
      <c r="D2804" s="31">
        <v>44739</v>
      </c>
      <c r="E2804" s="16">
        <v>350</v>
      </c>
      <c r="F2804" s="15" t="str">
        <f t="shared" si="43"/>
        <v>1213-149779-44739</v>
      </c>
    </row>
    <row r="2805" spans="1:6" ht="14.25" customHeight="1" x14ac:dyDescent="0.25">
      <c r="A2805" s="15" t="s">
        <v>2945</v>
      </c>
      <c r="B2805" s="16">
        <v>1213</v>
      </c>
      <c r="C2805" s="16">
        <v>149779</v>
      </c>
      <c r="D2805" s="31">
        <v>44746</v>
      </c>
      <c r="E2805" s="16">
        <v>125</v>
      </c>
      <c r="F2805" s="15" t="str">
        <f t="shared" si="43"/>
        <v>1213-149779-44746</v>
      </c>
    </row>
    <row r="2806" spans="1:6" ht="14.25" customHeight="1" x14ac:dyDescent="0.25">
      <c r="A2806" s="15" t="s">
        <v>2946</v>
      </c>
      <c r="B2806" s="16">
        <v>1213</v>
      </c>
      <c r="C2806" s="16">
        <v>149779</v>
      </c>
      <c r="D2806" s="31">
        <v>44753</v>
      </c>
      <c r="E2806" s="16">
        <v>304</v>
      </c>
      <c r="F2806" s="15" t="str">
        <f t="shared" si="43"/>
        <v>1213-149779-44753</v>
      </c>
    </row>
    <row r="2807" spans="1:6" ht="14.25" customHeight="1" x14ac:dyDescent="0.25">
      <c r="A2807" s="15" t="s">
        <v>2947</v>
      </c>
      <c r="B2807" s="16">
        <v>1213</v>
      </c>
      <c r="C2807" s="16">
        <v>149779</v>
      </c>
      <c r="D2807" s="31">
        <v>44760</v>
      </c>
      <c r="E2807" s="16">
        <v>406</v>
      </c>
      <c r="F2807" s="15" t="str">
        <f t="shared" si="43"/>
        <v>1213-149779-44760</v>
      </c>
    </row>
    <row r="2808" spans="1:6" ht="14.25" customHeight="1" x14ac:dyDescent="0.25">
      <c r="A2808" s="15" t="s">
        <v>2948</v>
      </c>
      <c r="B2808" s="16">
        <v>1213</v>
      </c>
      <c r="C2808" s="16">
        <v>149779</v>
      </c>
      <c r="D2808" s="31">
        <v>44767</v>
      </c>
      <c r="E2808" s="16">
        <v>360</v>
      </c>
      <c r="F2808" s="15" t="str">
        <f t="shared" si="43"/>
        <v>1213-149779-44767</v>
      </c>
    </row>
    <row r="2809" spans="1:6" ht="14.25" customHeight="1" x14ac:dyDescent="0.25">
      <c r="A2809" s="15" t="s">
        <v>2949</v>
      </c>
      <c r="B2809" s="16">
        <v>1213</v>
      </c>
      <c r="C2809" s="16">
        <v>149779</v>
      </c>
      <c r="D2809" s="31">
        <v>44774</v>
      </c>
      <c r="E2809" s="16">
        <v>376</v>
      </c>
      <c r="F2809" s="15" t="str">
        <f t="shared" si="43"/>
        <v>1213-149779-44774</v>
      </c>
    </row>
    <row r="2810" spans="1:6" ht="14.25" customHeight="1" x14ac:dyDescent="0.25">
      <c r="A2810" s="15" t="s">
        <v>2950</v>
      </c>
      <c r="B2810" s="16">
        <v>1213</v>
      </c>
      <c r="C2810" s="16">
        <v>149779</v>
      </c>
      <c r="D2810" s="31">
        <v>44781</v>
      </c>
      <c r="E2810" s="16">
        <v>129</v>
      </c>
      <c r="F2810" s="15" t="str">
        <f t="shared" si="43"/>
        <v>1213-149779-44781</v>
      </c>
    </row>
    <row r="2811" spans="1:6" ht="14.25" customHeight="1" x14ac:dyDescent="0.25">
      <c r="A2811" s="15" t="s">
        <v>2951</v>
      </c>
      <c r="B2811" s="16">
        <v>1213</v>
      </c>
      <c r="C2811" s="16">
        <v>149779</v>
      </c>
      <c r="D2811" s="31">
        <v>44788</v>
      </c>
      <c r="E2811" s="16">
        <v>127</v>
      </c>
      <c r="F2811" s="15" t="str">
        <f t="shared" si="43"/>
        <v>1213-149779-44788</v>
      </c>
    </row>
    <row r="2812" spans="1:6" ht="14.25" customHeight="1" x14ac:dyDescent="0.25">
      <c r="A2812" s="15" t="s">
        <v>2952</v>
      </c>
      <c r="B2812" s="16">
        <v>1213</v>
      </c>
      <c r="C2812" s="16">
        <v>189933</v>
      </c>
      <c r="D2812" s="31">
        <v>44739</v>
      </c>
      <c r="E2812" s="16">
        <v>117</v>
      </c>
      <c r="F2812" s="15" t="str">
        <f t="shared" si="43"/>
        <v>1213-189933-44739</v>
      </c>
    </row>
    <row r="2813" spans="1:6" ht="14.25" customHeight="1" x14ac:dyDescent="0.25">
      <c r="A2813" s="15" t="s">
        <v>2953</v>
      </c>
      <c r="B2813" s="16">
        <v>1213</v>
      </c>
      <c r="C2813" s="16">
        <v>189933</v>
      </c>
      <c r="D2813" s="31">
        <v>44746</v>
      </c>
      <c r="E2813" s="16">
        <v>61</v>
      </c>
      <c r="F2813" s="15" t="str">
        <f t="shared" si="43"/>
        <v>1213-189933-44746</v>
      </c>
    </row>
    <row r="2814" spans="1:6" ht="14.25" customHeight="1" x14ac:dyDescent="0.25">
      <c r="A2814" s="15" t="s">
        <v>2954</v>
      </c>
      <c r="B2814" s="16">
        <v>1213</v>
      </c>
      <c r="C2814" s="16">
        <v>189933</v>
      </c>
      <c r="D2814" s="31">
        <v>44753</v>
      </c>
      <c r="E2814" s="16">
        <v>63</v>
      </c>
      <c r="F2814" s="15" t="str">
        <f t="shared" si="43"/>
        <v>1213-189933-44753</v>
      </c>
    </row>
    <row r="2815" spans="1:6" ht="14.25" customHeight="1" x14ac:dyDescent="0.25">
      <c r="A2815" s="15" t="s">
        <v>2955</v>
      </c>
      <c r="B2815" s="16">
        <v>1213</v>
      </c>
      <c r="C2815" s="16">
        <v>189933</v>
      </c>
      <c r="D2815" s="31">
        <v>44760</v>
      </c>
      <c r="E2815" s="16">
        <v>179</v>
      </c>
      <c r="F2815" s="15" t="str">
        <f t="shared" si="43"/>
        <v>1213-189933-44760</v>
      </c>
    </row>
    <row r="2816" spans="1:6" ht="14.25" customHeight="1" x14ac:dyDescent="0.25">
      <c r="A2816" s="15" t="s">
        <v>2956</v>
      </c>
      <c r="B2816" s="16">
        <v>1213</v>
      </c>
      <c r="C2816" s="16">
        <v>189933</v>
      </c>
      <c r="D2816" s="31">
        <v>44767</v>
      </c>
      <c r="E2816" s="16">
        <v>166</v>
      </c>
      <c r="F2816" s="15" t="str">
        <f t="shared" si="43"/>
        <v>1213-189933-44767</v>
      </c>
    </row>
    <row r="2817" spans="1:6" ht="14.25" customHeight="1" x14ac:dyDescent="0.25">
      <c r="A2817" s="15" t="s">
        <v>2957</v>
      </c>
      <c r="B2817" s="16">
        <v>1213</v>
      </c>
      <c r="C2817" s="16">
        <v>189933</v>
      </c>
      <c r="D2817" s="31">
        <v>44774</v>
      </c>
      <c r="E2817" s="16">
        <v>215</v>
      </c>
      <c r="F2817" s="15" t="str">
        <f t="shared" si="43"/>
        <v>1213-189933-44774</v>
      </c>
    </row>
    <row r="2818" spans="1:6" ht="14.25" customHeight="1" x14ac:dyDescent="0.25">
      <c r="A2818" s="15" t="s">
        <v>2958</v>
      </c>
      <c r="B2818" s="16">
        <v>1213</v>
      </c>
      <c r="C2818" s="16">
        <v>189933</v>
      </c>
      <c r="D2818" s="31">
        <v>44781</v>
      </c>
      <c r="E2818" s="16">
        <v>230</v>
      </c>
      <c r="F2818" s="15" t="str">
        <f t="shared" si="43"/>
        <v>1213-189933-44781</v>
      </c>
    </row>
    <row r="2819" spans="1:6" ht="14.25" customHeight="1" x14ac:dyDescent="0.25">
      <c r="A2819" s="15" t="s">
        <v>2959</v>
      </c>
      <c r="B2819" s="16">
        <v>1213</v>
      </c>
      <c r="C2819" s="16">
        <v>189933</v>
      </c>
      <c r="D2819" s="31">
        <v>44788</v>
      </c>
      <c r="E2819" s="16">
        <v>60</v>
      </c>
      <c r="F2819" s="15" t="str">
        <f t="shared" ref="F2819:F2882" si="44">B2819&amp;"-"&amp;C2819&amp;"-"&amp;INT(D2819)</f>
        <v>1213-189933-44788</v>
      </c>
    </row>
    <row r="2820" spans="1:6" ht="14.25" customHeight="1" x14ac:dyDescent="0.25">
      <c r="A2820" s="15" t="s">
        <v>2960</v>
      </c>
      <c r="B2820" s="16">
        <v>1213</v>
      </c>
      <c r="C2820" s="16">
        <v>202577</v>
      </c>
      <c r="D2820" s="31">
        <v>44739</v>
      </c>
      <c r="E2820" s="16">
        <v>54</v>
      </c>
      <c r="F2820" s="15" t="str">
        <f t="shared" si="44"/>
        <v>1213-202577-44739</v>
      </c>
    </row>
    <row r="2821" spans="1:6" ht="14.25" customHeight="1" x14ac:dyDescent="0.25">
      <c r="A2821" s="15" t="s">
        <v>2961</v>
      </c>
      <c r="B2821" s="16">
        <v>1213</v>
      </c>
      <c r="C2821" s="16">
        <v>202577</v>
      </c>
      <c r="D2821" s="31">
        <v>44746</v>
      </c>
      <c r="E2821" s="16">
        <v>20</v>
      </c>
      <c r="F2821" s="15" t="str">
        <f t="shared" si="44"/>
        <v>1213-202577-44746</v>
      </c>
    </row>
    <row r="2822" spans="1:6" ht="14.25" customHeight="1" x14ac:dyDescent="0.25">
      <c r="A2822" s="15" t="s">
        <v>2962</v>
      </c>
      <c r="B2822" s="16">
        <v>1213</v>
      </c>
      <c r="C2822" s="16">
        <v>202577</v>
      </c>
      <c r="D2822" s="31">
        <v>44753</v>
      </c>
      <c r="E2822" s="16">
        <v>63</v>
      </c>
      <c r="F2822" s="15" t="str">
        <f t="shared" si="44"/>
        <v>1213-202577-44753</v>
      </c>
    </row>
    <row r="2823" spans="1:6" ht="14.25" customHeight="1" x14ac:dyDescent="0.25">
      <c r="A2823" s="15" t="s">
        <v>2963</v>
      </c>
      <c r="B2823" s="16">
        <v>1213</v>
      </c>
      <c r="C2823" s="16">
        <v>202577</v>
      </c>
      <c r="D2823" s="31">
        <v>44760</v>
      </c>
      <c r="E2823" s="16">
        <v>34</v>
      </c>
      <c r="F2823" s="15" t="str">
        <f t="shared" si="44"/>
        <v>1213-202577-44760</v>
      </c>
    </row>
    <row r="2824" spans="1:6" ht="14.25" customHeight="1" x14ac:dyDescent="0.25">
      <c r="A2824" s="15" t="s">
        <v>2964</v>
      </c>
      <c r="B2824" s="16">
        <v>1213</v>
      </c>
      <c r="C2824" s="16">
        <v>202577</v>
      </c>
      <c r="D2824" s="31">
        <v>44767</v>
      </c>
      <c r="E2824" s="16">
        <v>56</v>
      </c>
      <c r="F2824" s="15" t="str">
        <f t="shared" si="44"/>
        <v>1213-202577-44767</v>
      </c>
    </row>
    <row r="2825" spans="1:6" ht="14.25" customHeight="1" x14ac:dyDescent="0.25">
      <c r="A2825" s="15" t="s">
        <v>2965</v>
      </c>
      <c r="B2825" s="16">
        <v>1213</v>
      </c>
      <c r="C2825" s="16">
        <v>202577</v>
      </c>
      <c r="D2825" s="31">
        <v>44774</v>
      </c>
      <c r="E2825" s="16">
        <v>52</v>
      </c>
      <c r="F2825" s="15" t="str">
        <f t="shared" si="44"/>
        <v>1213-202577-44774</v>
      </c>
    </row>
    <row r="2826" spans="1:6" ht="14.25" customHeight="1" x14ac:dyDescent="0.25">
      <c r="A2826" s="15" t="s">
        <v>2966</v>
      </c>
      <c r="B2826" s="16">
        <v>1213</v>
      </c>
      <c r="C2826" s="16">
        <v>202577</v>
      </c>
      <c r="D2826" s="31">
        <v>44781</v>
      </c>
      <c r="E2826" s="16">
        <v>58</v>
      </c>
      <c r="F2826" s="15" t="str">
        <f t="shared" si="44"/>
        <v>1213-202577-44781</v>
      </c>
    </row>
    <row r="2827" spans="1:6" ht="14.25" customHeight="1" x14ac:dyDescent="0.25">
      <c r="A2827" s="15" t="s">
        <v>2967</v>
      </c>
      <c r="B2827" s="16">
        <v>1213</v>
      </c>
      <c r="C2827" s="16">
        <v>202577</v>
      </c>
      <c r="D2827" s="31">
        <v>44788</v>
      </c>
      <c r="E2827" s="16">
        <v>24</v>
      </c>
      <c r="F2827" s="15" t="str">
        <f t="shared" si="44"/>
        <v>1213-202577-44788</v>
      </c>
    </row>
    <row r="2828" spans="1:6" ht="14.25" customHeight="1" x14ac:dyDescent="0.25">
      <c r="A2828" s="15" t="s">
        <v>2968</v>
      </c>
      <c r="B2828" s="16">
        <v>1213</v>
      </c>
      <c r="C2828" s="16">
        <v>234334</v>
      </c>
      <c r="D2828" s="31">
        <v>44739</v>
      </c>
      <c r="E2828" s="16">
        <v>19</v>
      </c>
      <c r="F2828" s="15" t="str">
        <f t="shared" si="44"/>
        <v>1213-234334-44739</v>
      </c>
    </row>
    <row r="2829" spans="1:6" ht="14.25" customHeight="1" x14ac:dyDescent="0.25">
      <c r="A2829" s="15" t="s">
        <v>2969</v>
      </c>
      <c r="B2829" s="16">
        <v>1213</v>
      </c>
      <c r="C2829" s="16">
        <v>234334</v>
      </c>
      <c r="D2829" s="31">
        <v>44746</v>
      </c>
      <c r="E2829" s="16">
        <v>19</v>
      </c>
      <c r="F2829" s="15" t="str">
        <f t="shared" si="44"/>
        <v>1213-234334-44746</v>
      </c>
    </row>
    <row r="2830" spans="1:6" ht="14.25" customHeight="1" x14ac:dyDescent="0.25">
      <c r="A2830" s="15" t="s">
        <v>2970</v>
      </c>
      <c r="B2830" s="16">
        <v>1213</v>
      </c>
      <c r="C2830" s="16">
        <v>234334</v>
      </c>
      <c r="D2830" s="31">
        <v>44753</v>
      </c>
      <c r="E2830" s="16">
        <v>17</v>
      </c>
      <c r="F2830" s="15" t="str">
        <f t="shared" si="44"/>
        <v>1213-234334-44753</v>
      </c>
    </row>
    <row r="2831" spans="1:6" ht="14.25" customHeight="1" x14ac:dyDescent="0.25">
      <c r="A2831" s="15" t="s">
        <v>2971</v>
      </c>
      <c r="B2831" s="16">
        <v>1213</v>
      </c>
      <c r="C2831" s="16">
        <v>234334</v>
      </c>
      <c r="D2831" s="31">
        <v>44760</v>
      </c>
      <c r="E2831" s="16">
        <v>18</v>
      </c>
      <c r="F2831" s="15" t="str">
        <f t="shared" si="44"/>
        <v>1213-234334-44760</v>
      </c>
    </row>
    <row r="2832" spans="1:6" ht="14.25" customHeight="1" x14ac:dyDescent="0.25">
      <c r="A2832" s="15" t="s">
        <v>2972</v>
      </c>
      <c r="B2832" s="16">
        <v>1213</v>
      </c>
      <c r="C2832" s="16">
        <v>234334</v>
      </c>
      <c r="D2832" s="31">
        <v>44767</v>
      </c>
      <c r="E2832" s="16">
        <v>5</v>
      </c>
      <c r="F2832" s="15" t="str">
        <f t="shared" si="44"/>
        <v>1213-234334-44767</v>
      </c>
    </row>
    <row r="2833" spans="1:6" ht="14.25" customHeight="1" x14ac:dyDescent="0.25">
      <c r="A2833" s="15" t="s">
        <v>2973</v>
      </c>
      <c r="B2833" s="16">
        <v>1213</v>
      </c>
      <c r="C2833" s="16">
        <v>234334</v>
      </c>
      <c r="D2833" s="31">
        <v>44774</v>
      </c>
      <c r="E2833" s="16">
        <v>9</v>
      </c>
      <c r="F2833" s="15" t="str">
        <f t="shared" si="44"/>
        <v>1213-234334-44774</v>
      </c>
    </row>
    <row r="2834" spans="1:6" ht="14.25" customHeight="1" x14ac:dyDescent="0.25">
      <c r="A2834" s="15" t="s">
        <v>2974</v>
      </c>
      <c r="B2834" s="16">
        <v>1213</v>
      </c>
      <c r="C2834" s="16">
        <v>234334</v>
      </c>
      <c r="D2834" s="31">
        <v>44781</v>
      </c>
      <c r="E2834" s="16">
        <v>16</v>
      </c>
      <c r="F2834" s="15" t="str">
        <f t="shared" si="44"/>
        <v>1213-234334-44781</v>
      </c>
    </row>
    <row r="2835" spans="1:6" ht="14.25" customHeight="1" x14ac:dyDescent="0.25">
      <c r="A2835" s="15" t="s">
        <v>2975</v>
      </c>
      <c r="B2835" s="16">
        <v>1213</v>
      </c>
      <c r="C2835" s="16">
        <v>234334</v>
      </c>
      <c r="D2835" s="31">
        <v>44788</v>
      </c>
      <c r="E2835" s="16">
        <v>15</v>
      </c>
      <c r="F2835" s="15" t="str">
        <f t="shared" si="44"/>
        <v>1213-234334-44788</v>
      </c>
    </row>
    <row r="2836" spans="1:6" ht="14.25" customHeight="1" x14ac:dyDescent="0.25">
      <c r="A2836" s="15" t="s">
        <v>2976</v>
      </c>
      <c r="B2836" s="16">
        <v>1213</v>
      </c>
      <c r="C2836" s="16">
        <v>249444</v>
      </c>
      <c r="D2836" s="31">
        <v>44739</v>
      </c>
      <c r="E2836" s="16">
        <v>380</v>
      </c>
      <c r="F2836" s="15" t="str">
        <f t="shared" si="44"/>
        <v>1213-249444-44739</v>
      </c>
    </row>
    <row r="2837" spans="1:6" ht="14.25" customHeight="1" x14ac:dyDescent="0.25">
      <c r="A2837" s="15" t="s">
        <v>2977</v>
      </c>
      <c r="B2837" s="16">
        <v>1213</v>
      </c>
      <c r="C2837" s="16">
        <v>249444</v>
      </c>
      <c r="D2837" s="31">
        <v>44746</v>
      </c>
      <c r="E2837" s="16">
        <v>85</v>
      </c>
      <c r="F2837" s="15" t="str">
        <f t="shared" si="44"/>
        <v>1213-249444-44746</v>
      </c>
    </row>
    <row r="2838" spans="1:6" ht="14.25" customHeight="1" x14ac:dyDescent="0.25">
      <c r="A2838" s="15" t="s">
        <v>2978</v>
      </c>
      <c r="B2838" s="16">
        <v>1213</v>
      </c>
      <c r="C2838" s="16">
        <v>249444</v>
      </c>
      <c r="D2838" s="31">
        <v>44753</v>
      </c>
      <c r="E2838" s="16">
        <v>98</v>
      </c>
      <c r="F2838" s="15" t="str">
        <f t="shared" si="44"/>
        <v>1213-249444-44753</v>
      </c>
    </row>
    <row r="2839" spans="1:6" ht="14.25" customHeight="1" x14ac:dyDescent="0.25">
      <c r="A2839" s="15" t="s">
        <v>2979</v>
      </c>
      <c r="B2839" s="16">
        <v>1213</v>
      </c>
      <c r="C2839" s="16">
        <v>249444</v>
      </c>
      <c r="D2839" s="31">
        <v>44760</v>
      </c>
      <c r="E2839" s="16">
        <v>84</v>
      </c>
      <c r="F2839" s="15" t="str">
        <f t="shared" si="44"/>
        <v>1213-249444-44760</v>
      </c>
    </row>
    <row r="2840" spans="1:6" ht="14.25" customHeight="1" x14ac:dyDescent="0.25">
      <c r="A2840" s="15" t="s">
        <v>2980</v>
      </c>
      <c r="B2840" s="16">
        <v>1213</v>
      </c>
      <c r="C2840" s="16">
        <v>249444</v>
      </c>
      <c r="D2840" s="31">
        <v>44767</v>
      </c>
      <c r="E2840" s="16">
        <v>238</v>
      </c>
      <c r="F2840" s="15" t="str">
        <f t="shared" si="44"/>
        <v>1213-249444-44767</v>
      </c>
    </row>
    <row r="2841" spans="1:6" ht="14.25" customHeight="1" x14ac:dyDescent="0.25">
      <c r="A2841" s="15" t="s">
        <v>2981</v>
      </c>
      <c r="B2841" s="16">
        <v>1213</v>
      </c>
      <c r="C2841" s="16">
        <v>249444</v>
      </c>
      <c r="D2841" s="31">
        <v>44774</v>
      </c>
      <c r="E2841" s="16">
        <v>83</v>
      </c>
      <c r="F2841" s="15" t="str">
        <f t="shared" si="44"/>
        <v>1213-249444-44774</v>
      </c>
    </row>
    <row r="2842" spans="1:6" ht="14.25" customHeight="1" x14ac:dyDescent="0.25">
      <c r="A2842" s="15" t="s">
        <v>2982</v>
      </c>
      <c r="B2842" s="16">
        <v>1213</v>
      </c>
      <c r="C2842" s="16">
        <v>249444</v>
      </c>
      <c r="D2842" s="31">
        <v>44781</v>
      </c>
      <c r="E2842" s="16">
        <v>85</v>
      </c>
      <c r="F2842" s="15" t="str">
        <f t="shared" si="44"/>
        <v>1213-249444-44781</v>
      </c>
    </row>
    <row r="2843" spans="1:6" ht="14.25" customHeight="1" x14ac:dyDescent="0.25">
      <c r="A2843" s="15" t="s">
        <v>2983</v>
      </c>
      <c r="B2843" s="16">
        <v>1213</v>
      </c>
      <c r="C2843" s="16">
        <v>249444</v>
      </c>
      <c r="D2843" s="31">
        <v>44788</v>
      </c>
      <c r="E2843" s="16">
        <v>330</v>
      </c>
      <c r="F2843" s="15" t="str">
        <f t="shared" si="44"/>
        <v>1213-249444-44788</v>
      </c>
    </row>
    <row r="2844" spans="1:6" ht="14.25" customHeight="1" x14ac:dyDescent="0.25">
      <c r="A2844" s="15" t="s">
        <v>2984</v>
      </c>
      <c r="B2844" s="16">
        <v>1213</v>
      </c>
      <c r="C2844" s="16">
        <v>249795</v>
      </c>
      <c r="D2844" s="31">
        <v>44739</v>
      </c>
      <c r="E2844" s="16">
        <v>16</v>
      </c>
      <c r="F2844" s="15" t="str">
        <f t="shared" si="44"/>
        <v>1213-249795-44739</v>
      </c>
    </row>
    <row r="2845" spans="1:6" ht="14.25" customHeight="1" x14ac:dyDescent="0.25">
      <c r="A2845" s="15" t="s">
        <v>2985</v>
      </c>
      <c r="B2845" s="16">
        <v>1213</v>
      </c>
      <c r="C2845" s="16">
        <v>249795</v>
      </c>
      <c r="D2845" s="31">
        <v>44746</v>
      </c>
      <c r="E2845" s="16">
        <v>16</v>
      </c>
      <c r="F2845" s="15" t="str">
        <f t="shared" si="44"/>
        <v>1213-249795-44746</v>
      </c>
    </row>
    <row r="2846" spans="1:6" ht="14.25" customHeight="1" x14ac:dyDescent="0.25">
      <c r="A2846" s="15" t="s">
        <v>2986</v>
      </c>
      <c r="B2846" s="16">
        <v>1213</v>
      </c>
      <c r="C2846" s="16">
        <v>249795</v>
      </c>
      <c r="D2846" s="31">
        <v>44753</v>
      </c>
      <c r="E2846" s="16">
        <v>15</v>
      </c>
      <c r="F2846" s="15" t="str">
        <f t="shared" si="44"/>
        <v>1213-249795-44753</v>
      </c>
    </row>
    <row r="2847" spans="1:6" ht="14.25" customHeight="1" x14ac:dyDescent="0.25">
      <c r="A2847" s="15" t="s">
        <v>2987</v>
      </c>
      <c r="B2847" s="16">
        <v>1213</v>
      </c>
      <c r="C2847" s="16">
        <v>249795</v>
      </c>
      <c r="D2847" s="31">
        <v>44760</v>
      </c>
      <c r="E2847" s="16">
        <v>16</v>
      </c>
      <c r="F2847" s="15" t="str">
        <f t="shared" si="44"/>
        <v>1213-249795-44760</v>
      </c>
    </row>
    <row r="2848" spans="1:6" ht="14.25" customHeight="1" x14ac:dyDescent="0.25">
      <c r="A2848" s="15" t="s">
        <v>2988</v>
      </c>
      <c r="B2848" s="16">
        <v>1213</v>
      </c>
      <c r="C2848" s="16">
        <v>249795</v>
      </c>
      <c r="D2848" s="31">
        <v>44767</v>
      </c>
      <c r="E2848" s="16">
        <v>15</v>
      </c>
      <c r="F2848" s="15" t="str">
        <f t="shared" si="44"/>
        <v>1213-249795-44767</v>
      </c>
    </row>
    <row r="2849" spans="1:6" ht="14.25" customHeight="1" x14ac:dyDescent="0.25">
      <c r="A2849" s="15" t="s">
        <v>2989</v>
      </c>
      <c r="B2849" s="16">
        <v>1213</v>
      </c>
      <c r="C2849" s="16">
        <v>249795</v>
      </c>
      <c r="D2849" s="31">
        <v>44774</v>
      </c>
      <c r="E2849" s="16">
        <v>12</v>
      </c>
      <c r="F2849" s="15" t="str">
        <f t="shared" si="44"/>
        <v>1213-249795-44774</v>
      </c>
    </row>
    <row r="2850" spans="1:6" ht="14.25" customHeight="1" x14ac:dyDescent="0.25">
      <c r="A2850" s="15" t="s">
        <v>2990</v>
      </c>
      <c r="B2850" s="16">
        <v>1213</v>
      </c>
      <c r="C2850" s="16">
        <v>249795</v>
      </c>
      <c r="D2850" s="31">
        <v>44781</v>
      </c>
      <c r="E2850" s="16">
        <v>16</v>
      </c>
      <c r="F2850" s="15" t="str">
        <f t="shared" si="44"/>
        <v>1213-249795-44781</v>
      </c>
    </row>
    <row r="2851" spans="1:6" ht="14.25" customHeight="1" x14ac:dyDescent="0.25">
      <c r="A2851" s="15" t="s">
        <v>2991</v>
      </c>
      <c r="B2851" s="16">
        <v>1213</v>
      </c>
      <c r="C2851" s="16">
        <v>249795</v>
      </c>
      <c r="D2851" s="31">
        <v>44788</v>
      </c>
      <c r="E2851" s="16">
        <v>12</v>
      </c>
      <c r="F2851" s="15" t="str">
        <f t="shared" si="44"/>
        <v>1213-249795-44788</v>
      </c>
    </row>
    <row r="2852" spans="1:6" ht="14.25" customHeight="1" x14ac:dyDescent="0.25">
      <c r="A2852" s="15" t="s">
        <v>2992</v>
      </c>
      <c r="B2852" s="16">
        <v>1213</v>
      </c>
      <c r="C2852" s="16">
        <v>250979</v>
      </c>
      <c r="D2852" s="31">
        <v>44739</v>
      </c>
      <c r="E2852" s="16">
        <v>30</v>
      </c>
      <c r="F2852" s="15" t="str">
        <f t="shared" si="44"/>
        <v>1213-250979-44739</v>
      </c>
    </row>
    <row r="2853" spans="1:6" ht="14.25" customHeight="1" x14ac:dyDescent="0.25">
      <c r="A2853" s="15" t="s">
        <v>2993</v>
      </c>
      <c r="B2853" s="16">
        <v>1213</v>
      </c>
      <c r="C2853" s="16">
        <v>250979</v>
      </c>
      <c r="D2853" s="31">
        <v>44746</v>
      </c>
      <c r="E2853" s="16">
        <v>46</v>
      </c>
      <c r="F2853" s="15" t="str">
        <f t="shared" si="44"/>
        <v>1213-250979-44746</v>
      </c>
    </row>
    <row r="2854" spans="1:6" ht="14.25" customHeight="1" x14ac:dyDescent="0.25">
      <c r="A2854" s="15" t="s">
        <v>2994</v>
      </c>
      <c r="B2854" s="16">
        <v>1213</v>
      </c>
      <c r="C2854" s="16">
        <v>250979</v>
      </c>
      <c r="D2854" s="31">
        <v>44753</v>
      </c>
      <c r="E2854" s="16">
        <v>64</v>
      </c>
      <c r="F2854" s="15" t="str">
        <f t="shared" si="44"/>
        <v>1213-250979-44753</v>
      </c>
    </row>
    <row r="2855" spans="1:6" ht="14.25" customHeight="1" x14ac:dyDescent="0.25">
      <c r="A2855" s="15" t="s">
        <v>2995</v>
      </c>
      <c r="B2855" s="16">
        <v>1213</v>
      </c>
      <c r="C2855" s="16">
        <v>250979</v>
      </c>
      <c r="D2855" s="31">
        <v>44760</v>
      </c>
      <c r="E2855" s="16">
        <v>41</v>
      </c>
      <c r="F2855" s="15" t="str">
        <f t="shared" si="44"/>
        <v>1213-250979-44760</v>
      </c>
    </row>
    <row r="2856" spans="1:6" ht="14.25" customHeight="1" x14ac:dyDescent="0.25">
      <c r="A2856" s="15" t="s">
        <v>2996</v>
      </c>
      <c r="B2856" s="16">
        <v>1213</v>
      </c>
      <c r="C2856" s="16">
        <v>250979</v>
      </c>
      <c r="D2856" s="31">
        <v>44767</v>
      </c>
      <c r="E2856" s="16">
        <v>48</v>
      </c>
      <c r="F2856" s="15" t="str">
        <f t="shared" si="44"/>
        <v>1213-250979-44767</v>
      </c>
    </row>
    <row r="2857" spans="1:6" ht="14.25" customHeight="1" x14ac:dyDescent="0.25">
      <c r="A2857" s="15" t="s">
        <v>2997</v>
      </c>
      <c r="B2857" s="16">
        <v>1213</v>
      </c>
      <c r="C2857" s="16">
        <v>250979</v>
      </c>
      <c r="D2857" s="31">
        <v>44774</v>
      </c>
      <c r="E2857" s="16">
        <v>62</v>
      </c>
      <c r="F2857" s="15" t="str">
        <f t="shared" si="44"/>
        <v>1213-250979-44774</v>
      </c>
    </row>
    <row r="2858" spans="1:6" ht="14.25" customHeight="1" x14ac:dyDescent="0.25">
      <c r="A2858" s="15" t="s">
        <v>2998</v>
      </c>
      <c r="B2858" s="16">
        <v>1213</v>
      </c>
      <c r="C2858" s="16">
        <v>250979</v>
      </c>
      <c r="D2858" s="31">
        <v>44781</v>
      </c>
      <c r="E2858" s="16">
        <v>20</v>
      </c>
      <c r="F2858" s="15" t="str">
        <f t="shared" si="44"/>
        <v>1213-250979-44781</v>
      </c>
    </row>
    <row r="2859" spans="1:6" ht="14.25" customHeight="1" x14ac:dyDescent="0.25">
      <c r="A2859" s="15" t="s">
        <v>2999</v>
      </c>
      <c r="B2859" s="16">
        <v>1213</v>
      </c>
      <c r="C2859" s="16">
        <v>250979</v>
      </c>
      <c r="D2859" s="31">
        <v>44788</v>
      </c>
      <c r="E2859" s="16">
        <v>19</v>
      </c>
      <c r="F2859" s="15" t="str">
        <f t="shared" si="44"/>
        <v>1213-250979-44788</v>
      </c>
    </row>
    <row r="2860" spans="1:6" ht="14.25" customHeight="1" x14ac:dyDescent="0.25">
      <c r="A2860" s="15" t="s">
        <v>3000</v>
      </c>
      <c r="B2860" s="16">
        <v>1213</v>
      </c>
      <c r="C2860" s="16">
        <v>250981</v>
      </c>
      <c r="D2860" s="31">
        <v>44739</v>
      </c>
      <c r="E2860" s="16">
        <v>11</v>
      </c>
      <c r="F2860" s="15" t="str">
        <f t="shared" si="44"/>
        <v>1213-250981-44739</v>
      </c>
    </row>
    <row r="2861" spans="1:6" ht="14.25" customHeight="1" x14ac:dyDescent="0.25">
      <c r="A2861" s="15" t="s">
        <v>3001</v>
      </c>
      <c r="B2861" s="16">
        <v>1213</v>
      </c>
      <c r="C2861" s="16">
        <v>250981</v>
      </c>
      <c r="D2861" s="31">
        <v>44746</v>
      </c>
      <c r="E2861" s="16">
        <v>6</v>
      </c>
      <c r="F2861" s="15" t="str">
        <f t="shared" si="44"/>
        <v>1213-250981-44746</v>
      </c>
    </row>
    <row r="2862" spans="1:6" ht="14.25" customHeight="1" x14ac:dyDescent="0.25">
      <c r="A2862" s="15" t="s">
        <v>3002</v>
      </c>
      <c r="B2862" s="16">
        <v>1213</v>
      </c>
      <c r="C2862" s="16">
        <v>250981</v>
      </c>
      <c r="D2862" s="31">
        <v>44753</v>
      </c>
      <c r="E2862" s="16">
        <v>-1</v>
      </c>
      <c r="F2862" s="15" t="str">
        <f t="shared" si="44"/>
        <v>1213-250981-44753</v>
      </c>
    </row>
    <row r="2863" spans="1:6" ht="14.25" customHeight="1" x14ac:dyDescent="0.25">
      <c r="A2863" s="15" t="s">
        <v>3003</v>
      </c>
      <c r="B2863" s="16">
        <v>1213</v>
      </c>
      <c r="C2863" s="16">
        <v>250981</v>
      </c>
      <c r="D2863" s="31">
        <v>44760</v>
      </c>
      <c r="E2863" s="16">
        <v>6</v>
      </c>
      <c r="F2863" s="15" t="str">
        <f t="shared" si="44"/>
        <v>1213-250981-44760</v>
      </c>
    </row>
    <row r="2864" spans="1:6" ht="14.25" customHeight="1" x14ac:dyDescent="0.25">
      <c r="A2864" s="15" t="s">
        <v>3004</v>
      </c>
      <c r="B2864" s="16">
        <v>1213</v>
      </c>
      <c r="C2864" s="16">
        <v>250981</v>
      </c>
      <c r="D2864" s="31">
        <v>44767</v>
      </c>
      <c r="E2864" s="16">
        <v>9</v>
      </c>
      <c r="F2864" s="15" t="str">
        <f t="shared" si="44"/>
        <v>1213-250981-44767</v>
      </c>
    </row>
    <row r="2865" spans="1:6" ht="14.25" customHeight="1" x14ac:dyDescent="0.25">
      <c r="A2865" s="15" t="s">
        <v>3005</v>
      </c>
      <c r="B2865" s="16">
        <v>1213</v>
      </c>
      <c r="C2865" s="16">
        <v>250981</v>
      </c>
      <c r="D2865" s="31">
        <v>44774</v>
      </c>
      <c r="E2865" s="16">
        <v>3</v>
      </c>
      <c r="F2865" s="15" t="str">
        <f t="shared" si="44"/>
        <v>1213-250981-44774</v>
      </c>
    </row>
    <row r="2866" spans="1:6" ht="14.25" customHeight="1" x14ac:dyDescent="0.25">
      <c r="A2866" s="15" t="s">
        <v>3006</v>
      </c>
      <c r="B2866" s="16">
        <v>1213</v>
      </c>
      <c r="C2866" s="16">
        <v>250981</v>
      </c>
      <c r="D2866" s="31">
        <v>44781</v>
      </c>
      <c r="E2866" s="16">
        <v>11</v>
      </c>
      <c r="F2866" s="15" t="str">
        <f t="shared" si="44"/>
        <v>1213-250981-44781</v>
      </c>
    </row>
    <row r="2867" spans="1:6" ht="14.25" customHeight="1" x14ac:dyDescent="0.25">
      <c r="A2867" s="15" t="s">
        <v>3007</v>
      </c>
      <c r="B2867" s="16">
        <v>1213</v>
      </c>
      <c r="C2867" s="16">
        <v>250981</v>
      </c>
      <c r="D2867" s="31">
        <v>44788</v>
      </c>
      <c r="E2867" s="16">
        <v>6</v>
      </c>
      <c r="F2867" s="15" t="str">
        <f t="shared" si="44"/>
        <v>1213-250981-44788</v>
      </c>
    </row>
    <row r="2868" spans="1:6" ht="14.25" customHeight="1" x14ac:dyDescent="0.25">
      <c r="A2868" s="15" t="s">
        <v>3008</v>
      </c>
      <c r="B2868" s="16">
        <v>1213</v>
      </c>
      <c r="C2868" s="16">
        <v>262294</v>
      </c>
      <c r="D2868" s="31">
        <v>44739</v>
      </c>
      <c r="E2868" s="16">
        <v>67</v>
      </c>
      <c r="F2868" s="15" t="str">
        <f t="shared" si="44"/>
        <v>1213-262294-44739</v>
      </c>
    </row>
    <row r="2869" spans="1:6" ht="14.25" customHeight="1" x14ac:dyDescent="0.25">
      <c r="A2869" s="15" t="s">
        <v>3009</v>
      </c>
      <c r="B2869" s="16">
        <v>1213</v>
      </c>
      <c r="C2869" s="16">
        <v>262294</v>
      </c>
      <c r="D2869" s="31">
        <v>44746</v>
      </c>
      <c r="E2869" s="16">
        <v>168</v>
      </c>
      <c r="F2869" s="15" t="str">
        <f t="shared" si="44"/>
        <v>1213-262294-44746</v>
      </c>
    </row>
    <row r="2870" spans="1:6" ht="14.25" customHeight="1" x14ac:dyDescent="0.25">
      <c r="A2870" s="15" t="s">
        <v>3010</v>
      </c>
      <c r="B2870" s="16">
        <v>1213</v>
      </c>
      <c r="C2870" s="16">
        <v>262294</v>
      </c>
      <c r="D2870" s="31">
        <v>44753</v>
      </c>
      <c r="E2870" s="16">
        <v>138</v>
      </c>
      <c r="F2870" s="15" t="str">
        <f t="shared" si="44"/>
        <v>1213-262294-44753</v>
      </c>
    </row>
    <row r="2871" spans="1:6" ht="14.25" customHeight="1" x14ac:dyDescent="0.25">
      <c r="A2871" s="15" t="s">
        <v>3011</v>
      </c>
      <c r="B2871" s="16">
        <v>1213</v>
      </c>
      <c r="C2871" s="16">
        <v>262294</v>
      </c>
      <c r="D2871" s="31">
        <v>44760</v>
      </c>
      <c r="E2871" s="16">
        <v>164</v>
      </c>
      <c r="F2871" s="15" t="str">
        <f t="shared" si="44"/>
        <v>1213-262294-44760</v>
      </c>
    </row>
    <row r="2872" spans="1:6" ht="14.25" customHeight="1" x14ac:dyDescent="0.25">
      <c r="A2872" s="15" t="s">
        <v>3012</v>
      </c>
      <c r="B2872" s="16">
        <v>1213</v>
      </c>
      <c r="C2872" s="16">
        <v>262294</v>
      </c>
      <c r="D2872" s="31">
        <v>44767</v>
      </c>
      <c r="E2872" s="16">
        <v>162</v>
      </c>
      <c r="F2872" s="15" t="str">
        <f t="shared" si="44"/>
        <v>1213-262294-44767</v>
      </c>
    </row>
    <row r="2873" spans="1:6" ht="14.25" customHeight="1" x14ac:dyDescent="0.25">
      <c r="A2873" s="15" t="s">
        <v>3013</v>
      </c>
      <c r="B2873" s="16">
        <v>1213</v>
      </c>
      <c r="C2873" s="16">
        <v>262294</v>
      </c>
      <c r="D2873" s="31">
        <v>44774</v>
      </c>
      <c r="E2873" s="16">
        <v>140</v>
      </c>
      <c r="F2873" s="15" t="str">
        <f t="shared" si="44"/>
        <v>1213-262294-44774</v>
      </c>
    </row>
    <row r="2874" spans="1:6" ht="14.25" customHeight="1" x14ac:dyDescent="0.25">
      <c r="A2874" s="15" t="s">
        <v>3014</v>
      </c>
      <c r="B2874" s="16">
        <v>1213</v>
      </c>
      <c r="C2874" s="16">
        <v>262294</v>
      </c>
      <c r="D2874" s="31">
        <v>44781</v>
      </c>
      <c r="E2874" s="16">
        <v>150</v>
      </c>
      <c r="F2874" s="15" t="str">
        <f t="shared" si="44"/>
        <v>1213-262294-44781</v>
      </c>
    </row>
    <row r="2875" spans="1:6" ht="14.25" customHeight="1" x14ac:dyDescent="0.25">
      <c r="A2875" s="15" t="s">
        <v>3015</v>
      </c>
      <c r="B2875" s="16">
        <v>1213</v>
      </c>
      <c r="C2875" s="16">
        <v>262294</v>
      </c>
      <c r="D2875" s="31">
        <v>44788</v>
      </c>
      <c r="E2875" s="16">
        <v>120</v>
      </c>
      <c r="F2875" s="15" t="str">
        <f t="shared" si="44"/>
        <v>1213-262294-44788</v>
      </c>
    </row>
    <row r="2876" spans="1:6" ht="14.25" customHeight="1" x14ac:dyDescent="0.25">
      <c r="A2876" s="15" t="s">
        <v>3016</v>
      </c>
      <c r="B2876" s="16">
        <v>1213</v>
      </c>
      <c r="C2876" s="16">
        <v>268831</v>
      </c>
      <c r="D2876" s="31">
        <v>44739</v>
      </c>
      <c r="E2876" s="16">
        <v>169</v>
      </c>
      <c r="F2876" s="15" t="str">
        <f t="shared" si="44"/>
        <v>1213-268831-44739</v>
      </c>
    </row>
    <row r="2877" spans="1:6" ht="14.25" customHeight="1" x14ac:dyDescent="0.25">
      <c r="A2877" s="15" t="s">
        <v>3017</v>
      </c>
      <c r="B2877" s="16">
        <v>1213</v>
      </c>
      <c r="C2877" s="16">
        <v>268831</v>
      </c>
      <c r="D2877" s="31">
        <v>44746</v>
      </c>
      <c r="E2877" s="16">
        <v>167</v>
      </c>
      <c r="F2877" s="15" t="str">
        <f t="shared" si="44"/>
        <v>1213-268831-44746</v>
      </c>
    </row>
    <row r="2878" spans="1:6" ht="14.25" customHeight="1" x14ac:dyDescent="0.25">
      <c r="A2878" s="15" t="s">
        <v>3018</v>
      </c>
      <c r="B2878" s="16">
        <v>1213</v>
      </c>
      <c r="C2878" s="16">
        <v>268831</v>
      </c>
      <c r="D2878" s="31">
        <v>44753</v>
      </c>
      <c r="E2878" s="16">
        <v>166</v>
      </c>
      <c r="F2878" s="15" t="str">
        <f t="shared" si="44"/>
        <v>1213-268831-44753</v>
      </c>
    </row>
    <row r="2879" spans="1:6" ht="14.25" customHeight="1" x14ac:dyDescent="0.25">
      <c r="A2879" s="15" t="s">
        <v>3019</v>
      </c>
      <c r="B2879" s="16">
        <v>1213</v>
      </c>
      <c r="C2879" s="16">
        <v>268831</v>
      </c>
      <c r="D2879" s="31">
        <v>44760</v>
      </c>
      <c r="E2879" s="16">
        <v>690</v>
      </c>
      <c r="F2879" s="15" t="str">
        <f t="shared" si="44"/>
        <v>1213-268831-44760</v>
      </c>
    </row>
    <row r="2880" spans="1:6" ht="14.25" customHeight="1" x14ac:dyDescent="0.25">
      <c r="A2880" s="15" t="s">
        <v>3020</v>
      </c>
      <c r="B2880" s="16">
        <v>1213</v>
      </c>
      <c r="C2880" s="16">
        <v>268831</v>
      </c>
      <c r="D2880" s="31">
        <v>44767</v>
      </c>
      <c r="E2880" s="16">
        <v>516</v>
      </c>
      <c r="F2880" s="15" t="str">
        <f t="shared" si="44"/>
        <v>1213-268831-44767</v>
      </c>
    </row>
    <row r="2881" spans="1:6" ht="14.25" customHeight="1" x14ac:dyDescent="0.25">
      <c r="A2881" s="15" t="s">
        <v>3021</v>
      </c>
      <c r="B2881" s="16">
        <v>1213</v>
      </c>
      <c r="C2881" s="16">
        <v>268831</v>
      </c>
      <c r="D2881" s="31">
        <v>44774</v>
      </c>
      <c r="E2881" s="16">
        <v>496</v>
      </c>
      <c r="F2881" s="15" t="str">
        <f t="shared" si="44"/>
        <v>1213-268831-44774</v>
      </c>
    </row>
    <row r="2882" spans="1:6" ht="14.25" customHeight="1" x14ac:dyDescent="0.25">
      <c r="A2882" s="15" t="s">
        <v>3022</v>
      </c>
      <c r="B2882" s="16">
        <v>1213</v>
      </c>
      <c r="C2882" s="16">
        <v>268831</v>
      </c>
      <c r="D2882" s="31">
        <v>44781</v>
      </c>
      <c r="E2882" s="16">
        <v>464</v>
      </c>
      <c r="F2882" s="15" t="str">
        <f t="shared" si="44"/>
        <v>1213-268831-44781</v>
      </c>
    </row>
    <row r="2883" spans="1:6" ht="14.25" customHeight="1" x14ac:dyDescent="0.25">
      <c r="A2883" s="15" t="s">
        <v>3023</v>
      </c>
      <c r="B2883" s="16">
        <v>1213</v>
      </c>
      <c r="C2883" s="16">
        <v>268831</v>
      </c>
      <c r="D2883" s="31">
        <v>44788</v>
      </c>
      <c r="E2883" s="16">
        <v>566</v>
      </c>
      <c r="F2883" s="15" t="str">
        <f t="shared" ref="F2883:F2946" si="45">B2883&amp;"-"&amp;C2883&amp;"-"&amp;INT(D2883)</f>
        <v>1213-268831-44788</v>
      </c>
    </row>
    <row r="2884" spans="1:6" ht="14.25" customHeight="1" x14ac:dyDescent="0.25">
      <c r="A2884" s="15" t="s">
        <v>3024</v>
      </c>
      <c r="B2884" s="16">
        <v>1213</v>
      </c>
      <c r="C2884" s="16">
        <v>273701</v>
      </c>
      <c r="D2884" s="31">
        <v>44739</v>
      </c>
      <c r="E2884" s="16">
        <v>70</v>
      </c>
      <c r="F2884" s="15" t="str">
        <f t="shared" si="45"/>
        <v>1213-273701-44739</v>
      </c>
    </row>
    <row r="2885" spans="1:6" ht="14.25" customHeight="1" x14ac:dyDescent="0.25">
      <c r="A2885" s="15" t="s">
        <v>3025</v>
      </c>
      <c r="B2885" s="16">
        <v>1213</v>
      </c>
      <c r="C2885" s="16">
        <v>273701</v>
      </c>
      <c r="D2885" s="31">
        <v>44746</v>
      </c>
      <c r="E2885" s="16">
        <v>54</v>
      </c>
      <c r="F2885" s="15" t="str">
        <f t="shared" si="45"/>
        <v>1213-273701-44746</v>
      </c>
    </row>
    <row r="2886" spans="1:6" ht="14.25" customHeight="1" x14ac:dyDescent="0.25">
      <c r="A2886" s="15" t="s">
        <v>3026</v>
      </c>
      <c r="B2886" s="16">
        <v>1213</v>
      </c>
      <c r="C2886" s="16">
        <v>273701</v>
      </c>
      <c r="D2886" s="31">
        <v>44753</v>
      </c>
      <c r="E2886" s="16">
        <v>59</v>
      </c>
      <c r="F2886" s="15" t="str">
        <f t="shared" si="45"/>
        <v>1213-273701-44753</v>
      </c>
    </row>
    <row r="2887" spans="1:6" ht="14.25" customHeight="1" x14ac:dyDescent="0.25">
      <c r="A2887" s="15" t="s">
        <v>3027</v>
      </c>
      <c r="B2887" s="16">
        <v>1213</v>
      </c>
      <c r="C2887" s="16">
        <v>273701</v>
      </c>
      <c r="D2887" s="31">
        <v>44760</v>
      </c>
      <c r="E2887" s="16">
        <v>61</v>
      </c>
      <c r="F2887" s="15" t="str">
        <f t="shared" si="45"/>
        <v>1213-273701-44760</v>
      </c>
    </row>
    <row r="2888" spans="1:6" ht="14.25" customHeight="1" x14ac:dyDescent="0.25">
      <c r="A2888" s="15" t="s">
        <v>3028</v>
      </c>
      <c r="B2888" s="16">
        <v>1213</v>
      </c>
      <c r="C2888" s="16">
        <v>273701</v>
      </c>
      <c r="D2888" s="31">
        <v>44767</v>
      </c>
      <c r="E2888" s="16">
        <v>27</v>
      </c>
      <c r="F2888" s="15" t="str">
        <f t="shared" si="45"/>
        <v>1213-273701-44767</v>
      </c>
    </row>
    <row r="2889" spans="1:6" ht="14.25" customHeight="1" x14ac:dyDescent="0.25">
      <c r="A2889" s="15" t="s">
        <v>3029</v>
      </c>
      <c r="B2889" s="16">
        <v>1213</v>
      </c>
      <c r="C2889" s="16">
        <v>273701</v>
      </c>
      <c r="D2889" s="31">
        <v>44774</v>
      </c>
      <c r="E2889" s="16">
        <v>52</v>
      </c>
      <c r="F2889" s="15" t="str">
        <f t="shared" si="45"/>
        <v>1213-273701-44774</v>
      </c>
    </row>
    <row r="2890" spans="1:6" ht="14.25" customHeight="1" x14ac:dyDescent="0.25">
      <c r="A2890" s="15" t="s">
        <v>3030</v>
      </c>
      <c r="B2890" s="16">
        <v>1213</v>
      </c>
      <c r="C2890" s="16">
        <v>273701</v>
      </c>
      <c r="D2890" s="31">
        <v>44781</v>
      </c>
      <c r="E2890" s="16">
        <v>27</v>
      </c>
      <c r="F2890" s="15" t="str">
        <f t="shared" si="45"/>
        <v>1213-273701-44781</v>
      </c>
    </row>
    <row r="2891" spans="1:6" ht="14.25" customHeight="1" x14ac:dyDescent="0.25">
      <c r="A2891" s="15" t="s">
        <v>3031</v>
      </c>
      <c r="B2891" s="16">
        <v>1213</v>
      </c>
      <c r="C2891" s="16">
        <v>273701</v>
      </c>
      <c r="D2891" s="31">
        <v>44788</v>
      </c>
      <c r="E2891" s="16">
        <v>64</v>
      </c>
      <c r="F2891" s="15" t="str">
        <f t="shared" si="45"/>
        <v>1213-273701-44788</v>
      </c>
    </row>
    <row r="2892" spans="1:6" ht="14.25" customHeight="1" x14ac:dyDescent="0.25">
      <c r="A2892" s="15" t="s">
        <v>3032</v>
      </c>
      <c r="B2892" s="16">
        <v>1213</v>
      </c>
      <c r="C2892" s="16">
        <v>291726</v>
      </c>
      <c r="D2892" s="31">
        <v>44739</v>
      </c>
      <c r="E2892" s="16">
        <v>22</v>
      </c>
      <c r="F2892" s="15" t="str">
        <f t="shared" si="45"/>
        <v>1213-291726-44739</v>
      </c>
    </row>
    <row r="2893" spans="1:6" ht="14.25" customHeight="1" x14ac:dyDescent="0.25">
      <c r="A2893" s="15" t="s">
        <v>3033</v>
      </c>
      <c r="B2893" s="16">
        <v>1213</v>
      </c>
      <c r="C2893" s="16">
        <v>291726</v>
      </c>
      <c r="D2893" s="31">
        <v>44746</v>
      </c>
      <c r="E2893" s="16">
        <v>22</v>
      </c>
      <c r="F2893" s="15" t="str">
        <f t="shared" si="45"/>
        <v>1213-291726-44746</v>
      </c>
    </row>
    <row r="2894" spans="1:6" ht="14.25" customHeight="1" x14ac:dyDescent="0.25">
      <c r="A2894" s="15" t="s">
        <v>3034</v>
      </c>
      <c r="B2894" s="16">
        <v>1213</v>
      </c>
      <c r="C2894" s="16">
        <v>291726</v>
      </c>
      <c r="D2894" s="31">
        <v>44753</v>
      </c>
      <c r="E2894" s="16">
        <v>24</v>
      </c>
      <c r="F2894" s="15" t="str">
        <f t="shared" si="45"/>
        <v>1213-291726-44753</v>
      </c>
    </row>
    <row r="2895" spans="1:6" ht="14.25" customHeight="1" x14ac:dyDescent="0.25">
      <c r="A2895" s="15" t="s">
        <v>3035</v>
      </c>
      <c r="B2895" s="16">
        <v>1213</v>
      </c>
      <c r="C2895" s="16">
        <v>291726</v>
      </c>
      <c r="D2895" s="31">
        <v>44760</v>
      </c>
      <c r="E2895" s="16">
        <v>18</v>
      </c>
      <c r="F2895" s="15" t="str">
        <f t="shared" si="45"/>
        <v>1213-291726-44760</v>
      </c>
    </row>
    <row r="2896" spans="1:6" ht="14.25" customHeight="1" x14ac:dyDescent="0.25">
      <c r="A2896" s="15" t="s">
        <v>3036</v>
      </c>
      <c r="B2896" s="16">
        <v>1213</v>
      </c>
      <c r="C2896" s="16">
        <v>291726</v>
      </c>
      <c r="D2896" s="31">
        <v>44767</v>
      </c>
      <c r="E2896" s="16">
        <v>22</v>
      </c>
      <c r="F2896" s="15" t="str">
        <f t="shared" si="45"/>
        <v>1213-291726-44767</v>
      </c>
    </row>
    <row r="2897" spans="1:6" ht="14.25" customHeight="1" x14ac:dyDescent="0.25">
      <c r="A2897" s="15" t="s">
        <v>3037</v>
      </c>
      <c r="B2897" s="16">
        <v>1213</v>
      </c>
      <c r="C2897" s="16">
        <v>291726</v>
      </c>
      <c r="D2897" s="31">
        <v>44774</v>
      </c>
      <c r="E2897" s="16">
        <v>24</v>
      </c>
      <c r="F2897" s="15" t="str">
        <f t="shared" si="45"/>
        <v>1213-291726-44774</v>
      </c>
    </row>
    <row r="2898" spans="1:6" ht="14.25" customHeight="1" x14ac:dyDescent="0.25">
      <c r="A2898" s="15" t="s">
        <v>3038</v>
      </c>
      <c r="B2898" s="16">
        <v>1213</v>
      </c>
      <c r="C2898" s="16">
        <v>291726</v>
      </c>
      <c r="D2898" s="31">
        <v>44781</v>
      </c>
      <c r="E2898" s="16">
        <v>21</v>
      </c>
      <c r="F2898" s="15" t="str">
        <f t="shared" si="45"/>
        <v>1213-291726-44781</v>
      </c>
    </row>
    <row r="2899" spans="1:6" ht="14.25" customHeight="1" x14ac:dyDescent="0.25">
      <c r="A2899" s="15" t="s">
        <v>3039</v>
      </c>
      <c r="B2899" s="16">
        <v>1213</v>
      </c>
      <c r="C2899" s="16">
        <v>291726</v>
      </c>
      <c r="D2899" s="31">
        <v>44788</v>
      </c>
      <c r="E2899" s="16">
        <v>21</v>
      </c>
      <c r="F2899" s="15" t="str">
        <f t="shared" si="45"/>
        <v>1213-291726-44788</v>
      </c>
    </row>
    <row r="2900" spans="1:6" ht="14.25" customHeight="1" x14ac:dyDescent="0.25">
      <c r="A2900" s="15" t="s">
        <v>3040</v>
      </c>
      <c r="B2900" s="16">
        <v>1213</v>
      </c>
      <c r="C2900" s="16">
        <v>291728</v>
      </c>
      <c r="D2900" s="31">
        <v>44739</v>
      </c>
      <c r="E2900" s="16">
        <v>59</v>
      </c>
      <c r="F2900" s="15" t="str">
        <f t="shared" si="45"/>
        <v>1213-291728-44739</v>
      </c>
    </row>
    <row r="2901" spans="1:6" ht="14.25" customHeight="1" x14ac:dyDescent="0.25">
      <c r="A2901" s="15" t="s">
        <v>3041</v>
      </c>
      <c r="B2901" s="16">
        <v>1213</v>
      </c>
      <c r="C2901" s="16">
        <v>291728</v>
      </c>
      <c r="D2901" s="31">
        <v>44746</v>
      </c>
      <c r="E2901" s="16">
        <v>69</v>
      </c>
      <c r="F2901" s="15" t="str">
        <f t="shared" si="45"/>
        <v>1213-291728-44746</v>
      </c>
    </row>
    <row r="2902" spans="1:6" ht="14.25" customHeight="1" x14ac:dyDescent="0.25">
      <c r="A2902" s="15" t="s">
        <v>3042</v>
      </c>
      <c r="B2902" s="16">
        <v>1213</v>
      </c>
      <c r="C2902" s="16">
        <v>291728</v>
      </c>
      <c r="D2902" s="31">
        <v>44753</v>
      </c>
      <c r="E2902" s="16">
        <v>60</v>
      </c>
      <c r="F2902" s="15" t="str">
        <f t="shared" si="45"/>
        <v>1213-291728-44753</v>
      </c>
    </row>
    <row r="2903" spans="1:6" ht="14.25" customHeight="1" x14ac:dyDescent="0.25">
      <c r="A2903" s="15" t="s">
        <v>3043</v>
      </c>
      <c r="B2903" s="16">
        <v>1213</v>
      </c>
      <c r="C2903" s="16">
        <v>291728</v>
      </c>
      <c r="D2903" s="31">
        <v>44760</v>
      </c>
      <c r="E2903" s="16">
        <v>30</v>
      </c>
      <c r="F2903" s="15" t="str">
        <f t="shared" si="45"/>
        <v>1213-291728-44760</v>
      </c>
    </row>
    <row r="2904" spans="1:6" ht="14.25" customHeight="1" x14ac:dyDescent="0.25">
      <c r="A2904" s="15" t="s">
        <v>3044</v>
      </c>
      <c r="B2904" s="16">
        <v>1213</v>
      </c>
      <c r="C2904" s="16">
        <v>291728</v>
      </c>
      <c r="D2904" s="31">
        <v>44767</v>
      </c>
      <c r="E2904" s="16">
        <v>55</v>
      </c>
      <c r="F2904" s="15" t="str">
        <f t="shared" si="45"/>
        <v>1213-291728-44767</v>
      </c>
    </row>
    <row r="2905" spans="1:6" ht="14.25" customHeight="1" x14ac:dyDescent="0.25">
      <c r="A2905" s="15" t="s">
        <v>3045</v>
      </c>
      <c r="B2905" s="16">
        <v>1213</v>
      </c>
      <c r="C2905" s="16">
        <v>291728</v>
      </c>
      <c r="D2905" s="31">
        <v>44774</v>
      </c>
      <c r="E2905" s="16">
        <v>54</v>
      </c>
      <c r="F2905" s="15" t="str">
        <f t="shared" si="45"/>
        <v>1213-291728-44774</v>
      </c>
    </row>
    <row r="2906" spans="1:6" ht="14.25" customHeight="1" x14ac:dyDescent="0.25">
      <c r="A2906" s="15" t="s">
        <v>3046</v>
      </c>
      <c r="B2906" s="16">
        <v>1213</v>
      </c>
      <c r="C2906" s="16">
        <v>291728</v>
      </c>
      <c r="D2906" s="31">
        <v>44781</v>
      </c>
      <c r="E2906" s="16">
        <v>25</v>
      </c>
      <c r="F2906" s="15" t="str">
        <f t="shared" si="45"/>
        <v>1213-291728-44781</v>
      </c>
    </row>
    <row r="2907" spans="1:6" ht="14.25" customHeight="1" x14ac:dyDescent="0.25">
      <c r="A2907" s="15" t="s">
        <v>3047</v>
      </c>
      <c r="B2907" s="16">
        <v>1213</v>
      </c>
      <c r="C2907" s="16">
        <v>291728</v>
      </c>
      <c r="D2907" s="31">
        <v>44788</v>
      </c>
      <c r="E2907" s="16">
        <v>48</v>
      </c>
      <c r="F2907" s="15" t="str">
        <f t="shared" si="45"/>
        <v>1213-291728-44788</v>
      </c>
    </row>
    <row r="2908" spans="1:6" ht="14.25" customHeight="1" x14ac:dyDescent="0.25">
      <c r="A2908" s="15" t="s">
        <v>3048</v>
      </c>
      <c r="B2908" s="16">
        <v>1213</v>
      </c>
      <c r="C2908" s="16">
        <v>300380</v>
      </c>
      <c r="D2908" s="31">
        <v>44739</v>
      </c>
      <c r="E2908" s="16">
        <v>36</v>
      </c>
      <c r="F2908" s="15" t="str">
        <f t="shared" si="45"/>
        <v>1213-300380-44739</v>
      </c>
    </row>
    <row r="2909" spans="1:6" ht="14.25" customHeight="1" x14ac:dyDescent="0.25">
      <c r="A2909" s="15" t="s">
        <v>3049</v>
      </c>
      <c r="B2909" s="16">
        <v>1213</v>
      </c>
      <c r="C2909" s="16">
        <v>300380</v>
      </c>
      <c r="D2909" s="31">
        <v>44746</v>
      </c>
      <c r="E2909" s="16">
        <v>36</v>
      </c>
      <c r="F2909" s="15" t="str">
        <f t="shared" si="45"/>
        <v>1213-300380-44746</v>
      </c>
    </row>
    <row r="2910" spans="1:6" ht="14.25" customHeight="1" x14ac:dyDescent="0.25">
      <c r="A2910" s="15" t="s">
        <v>3050</v>
      </c>
      <c r="B2910" s="16">
        <v>1213</v>
      </c>
      <c r="C2910" s="16">
        <v>300380</v>
      </c>
      <c r="D2910" s="31">
        <v>44753</v>
      </c>
      <c r="E2910" s="16">
        <v>36</v>
      </c>
      <c r="F2910" s="15" t="str">
        <f t="shared" si="45"/>
        <v>1213-300380-44753</v>
      </c>
    </row>
    <row r="2911" spans="1:6" ht="14.25" customHeight="1" x14ac:dyDescent="0.25">
      <c r="A2911" s="15" t="s">
        <v>3051</v>
      </c>
      <c r="B2911" s="16">
        <v>1213</v>
      </c>
      <c r="C2911" s="16">
        <v>300380</v>
      </c>
      <c r="D2911" s="31">
        <v>44760</v>
      </c>
      <c r="E2911" s="16">
        <v>36</v>
      </c>
      <c r="F2911" s="15" t="str">
        <f t="shared" si="45"/>
        <v>1213-300380-44760</v>
      </c>
    </row>
    <row r="2912" spans="1:6" ht="14.25" customHeight="1" x14ac:dyDescent="0.25">
      <c r="A2912" s="15" t="s">
        <v>3052</v>
      </c>
      <c r="B2912" s="16">
        <v>1213</v>
      </c>
      <c r="C2912" s="16">
        <v>300380</v>
      </c>
      <c r="D2912" s="31">
        <v>44767</v>
      </c>
      <c r="E2912" s="16">
        <v>36</v>
      </c>
      <c r="F2912" s="15" t="str">
        <f t="shared" si="45"/>
        <v>1213-300380-44767</v>
      </c>
    </row>
    <row r="2913" spans="1:6" ht="14.25" customHeight="1" x14ac:dyDescent="0.25">
      <c r="A2913" s="15" t="s">
        <v>3053</v>
      </c>
      <c r="B2913" s="16">
        <v>1213</v>
      </c>
      <c r="C2913" s="16">
        <v>300380</v>
      </c>
      <c r="D2913" s="31">
        <v>44774</v>
      </c>
      <c r="E2913" s="16">
        <v>36</v>
      </c>
      <c r="F2913" s="15" t="str">
        <f t="shared" si="45"/>
        <v>1213-300380-44774</v>
      </c>
    </row>
    <row r="2914" spans="1:6" ht="14.25" customHeight="1" x14ac:dyDescent="0.25">
      <c r="A2914" s="15" t="s">
        <v>3054</v>
      </c>
      <c r="B2914" s="16">
        <v>1213</v>
      </c>
      <c r="C2914" s="16">
        <v>300380</v>
      </c>
      <c r="D2914" s="31">
        <v>44781</v>
      </c>
      <c r="E2914" s="16">
        <v>36</v>
      </c>
      <c r="F2914" s="15" t="str">
        <f t="shared" si="45"/>
        <v>1213-300380-44781</v>
      </c>
    </row>
    <row r="2915" spans="1:6" ht="14.25" customHeight="1" x14ac:dyDescent="0.25">
      <c r="A2915" s="15" t="s">
        <v>3055</v>
      </c>
      <c r="B2915" s="16">
        <v>1213</v>
      </c>
      <c r="C2915" s="16">
        <v>300380</v>
      </c>
      <c r="D2915" s="31">
        <v>44788</v>
      </c>
      <c r="E2915" s="16">
        <v>36</v>
      </c>
      <c r="F2915" s="15" t="str">
        <f t="shared" si="45"/>
        <v>1213-300380-44788</v>
      </c>
    </row>
    <row r="2916" spans="1:6" ht="14.25" customHeight="1" x14ac:dyDescent="0.25">
      <c r="A2916" s="15" t="s">
        <v>3056</v>
      </c>
      <c r="B2916" s="16">
        <v>1213</v>
      </c>
      <c r="C2916" s="16">
        <v>571521</v>
      </c>
      <c r="D2916" s="31">
        <v>44739</v>
      </c>
      <c r="E2916" s="16">
        <v>522</v>
      </c>
      <c r="F2916" s="15" t="str">
        <f t="shared" si="45"/>
        <v>1213-571521-44739</v>
      </c>
    </row>
    <row r="2917" spans="1:6" ht="14.25" customHeight="1" x14ac:dyDescent="0.25">
      <c r="A2917" s="15" t="s">
        <v>3057</v>
      </c>
      <c r="B2917" s="16">
        <v>1213</v>
      </c>
      <c r="C2917" s="16">
        <v>571521</v>
      </c>
      <c r="D2917" s="31">
        <v>44746</v>
      </c>
      <c r="E2917" s="16">
        <v>695</v>
      </c>
      <c r="F2917" s="15" t="str">
        <f t="shared" si="45"/>
        <v>1213-571521-44746</v>
      </c>
    </row>
    <row r="2918" spans="1:6" ht="14.25" customHeight="1" x14ac:dyDescent="0.25">
      <c r="A2918" s="15" t="s">
        <v>3058</v>
      </c>
      <c r="B2918" s="16">
        <v>1213</v>
      </c>
      <c r="C2918" s="16">
        <v>571521</v>
      </c>
      <c r="D2918" s="31">
        <v>44753</v>
      </c>
      <c r="E2918" s="16">
        <v>476</v>
      </c>
      <c r="F2918" s="15" t="str">
        <f t="shared" si="45"/>
        <v>1213-571521-44753</v>
      </c>
    </row>
    <row r="2919" spans="1:6" ht="14.25" customHeight="1" x14ac:dyDescent="0.25">
      <c r="A2919" s="15" t="s">
        <v>3059</v>
      </c>
      <c r="B2919" s="16">
        <v>1213</v>
      </c>
      <c r="C2919" s="16">
        <v>571521</v>
      </c>
      <c r="D2919" s="31">
        <v>44760</v>
      </c>
      <c r="E2919" s="16">
        <v>131</v>
      </c>
      <c r="F2919" s="15" t="str">
        <f t="shared" si="45"/>
        <v>1213-571521-44760</v>
      </c>
    </row>
    <row r="2920" spans="1:6" ht="14.25" customHeight="1" x14ac:dyDescent="0.25">
      <c r="A2920" s="15" t="s">
        <v>3060</v>
      </c>
      <c r="B2920" s="16">
        <v>1213</v>
      </c>
      <c r="C2920" s="16">
        <v>571521</v>
      </c>
      <c r="D2920" s="31">
        <v>44767</v>
      </c>
      <c r="E2920" s="16">
        <v>131</v>
      </c>
      <c r="F2920" s="15" t="str">
        <f t="shared" si="45"/>
        <v>1213-571521-44767</v>
      </c>
    </row>
    <row r="2921" spans="1:6" ht="14.25" customHeight="1" x14ac:dyDescent="0.25">
      <c r="A2921" s="15" t="s">
        <v>3061</v>
      </c>
      <c r="B2921" s="16">
        <v>1213</v>
      </c>
      <c r="C2921" s="16">
        <v>571521</v>
      </c>
      <c r="D2921" s="31">
        <v>44774</v>
      </c>
      <c r="E2921" s="16">
        <v>687</v>
      </c>
      <c r="F2921" s="15" t="str">
        <f t="shared" si="45"/>
        <v>1213-571521-44774</v>
      </c>
    </row>
    <row r="2922" spans="1:6" ht="14.25" customHeight="1" x14ac:dyDescent="0.25">
      <c r="A2922" s="15" t="s">
        <v>3062</v>
      </c>
      <c r="B2922" s="16">
        <v>1213</v>
      </c>
      <c r="C2922" s="16">
        <v>571521</v>
      </c>
      <c r="D2922" s="31">
        <v>44781</v>
      </c>
      <c r="E2922" s="16">
        <v>510</v>
      </c>
      <c r="F2922" s="15" t="str">
        <f t="shared" si="45"/>
        <v>1213-571521-44781</v>
      </c>
    </row>
    <row r="2923" spans="1:6" ht="14.25" customHeight="1" x14ac:dyDescent="0.25">
      <c r="A2923" s="15" t="s">
        <v>3063</v>
      </c>
      <c r="B2923" s="16">
        <v>1213</v>
      </c>
      <c r="C2923" s="16">
        <v>571521</v>
      </c>
      <c r="D2923" s="31">
        <v>44788</v>
      </c>
      <c r="E2923" s="16">
        <v>683</v>
      </c>
      <c r="F2923" s="15" t="str">
        <f t="shared" si="45"/>
        <v>1213-571521-44788</v>
      </c>
    </row>
    <row r="2924" spans="1:6" ht="14.25" customHeight="1" x14ac:dyDescent="0.25">
      <c r="A2924" s="15" t="s">
        <v>3064</v>
      </c>
      <c r="B2924" s="16">
        <v>1213</v>
      </c>
      <c r="C2924" s="16">
        <v>614993</v>
      </c>
      <c r="D2924" s="31">
        <v>44739</v>
      </c>
      <c r="E2924" s="16">
        <v>91</v>
      </c>
      <c r="F2924" s="15" t="str">
        <f t="shared" si="45"/>
        <v>1213-614993-44739</v>
      </c>
    </row>
    <row r="2925" spans="1:6" ht="14.25" customHeight="1" x14ac:dyDescent="0.25">
      <c r="A2925" s="15" t="s">
        <v>3065</v>
      </c>
      <c r="B2925" s="16">
        <v>1213</v>
      </c>
      <c r="C2925" s="16">
        <v>614993</v>
      </c>
      <c r="D2925" s="31">
        <v>44746</v>
      </c>
      <c r="E2925" s="16">
        <v>46</v>
      </c>
      <c r="F2925" s="15" t="str">
        <f t="shared" si="45"/>
        <v>1213-614993-44746</v>
      </c>
    </row>
    <row r="2926" spans="1:6" ht="14.25" customHeight="1" x14ac:dyDescent="0.25">
      <c r="A2926" s="15" t="s">
        <v>3066</v>
      </c>
      <c r="B2926" s="16">
        <v>1213</v>
      </c>
      <c r="C2926" s="16">
        <v>614993</v>
      </c>
      <c r="D2926" s="31">
        <v>44753</v>
      </c>
      <c r="E2926" s="16">
        <v>36</v>
      </c>
      <c r="F2926" s="15" t="str">
        <f t="shared" si="45"/>
        <v>1213-614993-44753</v>
      </c>
    </row>
    <row r="2927" spans="1:6" ht="14.25" customHeight="1" x14ac:dyDescent="0.25">
      <c r="A2927" s="15" t="s">
        <v>3067</v>
      </c>
      <c r="B2927" s="16">
        <v>1213</v>
      </c>
      <c r="C2927" s="16">
        <v>614993</v>
      </c>
      <c r="D2927" s="31">
        <v>44760</v>
      </c>
      <c r="E2927" s="16">
        <v>108</v>
      </c>
      <c r="F2927" s="15" t="str">
        <f t="shared" si="45"/>
        <v>1213-614993-44760</v>
      </c>
    </row>
    <row r="2928" spans="1:6" ht="14.25" customHeight="1" x14ac:dyDescent="0.25">
      <c r="A2928" s="15" t="s">
        <v>3068</v>
      </c>
      <c r="B2928" s="16">
        <v>1213</v>
      </c>
      <c r="C2928" s="16">
        <v>614993</v>
      </c>
      <c r="D2928" s="31">
        <v>44767</v>
      </c>
      <c r="E2928" s="16">
        <v>76</v>
      </c>
      <c r="F2928" s="15" t="str">
        <f t="shared" si="45"/>
        <v>1213-614993-44767</v>
      </c>
    </row>
    <row r="2929" spans="1:6" ht="14.25" customHeight="1" x14ac:dyDescent="0.25">
      <c r="A2929" s="15" t="s">
        <v>3069</v>
      </c>
      <c r="B2929" s="16">
        <v>1213</v>
      </c>
      <c r="C2929" s="16">
        <v>614993</v>
      </c>
      <c r="D2929" s="31">
        <v>44774</v>
      </c>
      <c r="E2929" s="16">
        <v>119</v>
      </c>
      <c r="F2929" s="15" t="str">
        <f t="shared" si="45"/>
        <v>1213-614993-44774</v>
      </c>
    </row>
    <row r="2930" spans="1:6" ht="14.25" customHeight="1" x14ac:dyDescent="0.25">
      <c r="A2930" s="15" t="s">
        <v>3070</v>
      </c>
      <c r="B2930" s="16">
        <v>1213</v>
      </c>
      <c r="C2930" s="16">
        <v>614993</v>
      </c>
      <c r="D2930" s="31">
        <v>44781</v>
      </c>
      <c r="E2930" s="16">
        <v>102</v>
      </c>
      <c r="F2930" s="15" t="str">
        <f t="shared" si="45"/>
        <v>1213-614993-44781</v>
      </c>
    </row>
    <row r="2931" spans="1:6" ht="14.25" customHeight="1" x14ac:dyDescent="0.25">
      <c r="A2931" s="15" t="s">
        <v>3071</v>
      </c>
      <c r="B2931" s="16">
        <v>1213</v>
      </c>
      <c r="C2931" s="16">
        <v>614993</v>
      </c>
      <c r="D2931" s="31">
        <v>44788</v>
      </c>
      <c r="E2931" s="16">
        <v>62</v>
      </c>
      <c r="F2931" s="15" t="str">
        <f t="shared" si="45"/>
        <v>1213-614993-44788</v>
      </c>
    </row>
    <row r="2932" spans="1:6" ht="14.25" customHeight="1" x14ac:dyDescent="0.25">
      <c r="A2932" s="15" t="s">
        <v>3072</v>
      </c>
      <c r="B2932" s="16">
        <v>1214</v>
      </c>
      <c r="C2932" s="16">
        <v>23393</v>
      </c>
      <c r="D2932" s="31">
        <v>32874</v>
      </c>
      <c r="E2932" s="16">
        <v>146</v>
      </c>
      <c r="F2932" s="15" t="str">
        <f t="shared" si="45"/>
        <v>1214-23393-32874</v>
      </c>
    </row>
    <row r="2933" spans="1:6" ht="14.25" customHeight="1" x14ac:dyDescent="0.25">
      <c r="A2933" s="15" t="s">
        <v>3073</v>
      </c>
      <c r="B2933" s="16">
        <v>1214</v>
      </c>
      <c r="C2933" s="16">
        <v>23393</v>
      </c>
      <c r="D2933" s="31">
        <v>44739</v>
      </c>
      <c r="E2933" s="16">
        <v>312</v>
      </c>
      <c r="F2933" s="15" t="str">
        <f t="shared" si="45"/>
        <v>1214-23393-44739</v>
      </c>
    </row>
    <row r="2934" spans="1:6" ht="14.25" customHeight="1" x14ac:dyDescent="0.25">
      <c r="A2934" s="15" t="s">
        <v>3074</v>
      </c>
      <c r="B2934" s="16">
        <v>1214</v>
      </c>
      <c r="C2934" s="16">
        <v>23393</v>
      </c>
      <c r="D2934" s="31">
        <v>44746</v>
      </c>
      <c r="E2934" s="16">
        <v>258</v>
      </c>
      <c r="F2934" s="15" t="str">
        <f t="shared" si="45"/>
        <v>1214-23393-44746</v>
      </c>
    </row>
    <row r="2935" spans="1:6" ht="14.25" customHeight="1" x14ac:dyDescent="0.25">
      <c r="A2935" s="15" t="s">
        <v>3075</v>
      </c>
      <c r="B2935" s="16">
        <v>1214</v>
      </c>
      <c r="C2935" s="16">
        <v>23393</v>
      </c>
      <c r="D2935" s="31">
        <v>44753</v>
      </c>
      <c r="E2935" s="16">
        <v>256</v>
      </c>
      <c r="F2935" s="15" t="str">
        <f t="shared" si="45"/>
        <v>1214-23393-44753</v>
      </c>
    </row>
    <row r="2936" spans="1:6" ht="14.25" customHeight="1" x14ac:dyDescent="0.25">
      <c r="A2936" s="15" t="s">
        <v>3076</v>
      </c>
      <c r="B2936" s="16">
        <v>1214</v>
      </c>
      <c r="C2936" s="16">
        <v>23393</v>
      </c>
      <c r="D2936" s="31">
        <v>44760</v>
      </c>
      <c r="E2936" s="16">
        <v>266</v>
      </c>
      <c r="F2936" s="15" t="str">
        <f t="shared" si="45"/>
        <v>1214-23393-44760</v>
      </c>
    </row>
    <row r="2937" spans="1:6" ht="14.25" customHeight="1" x14ac:dyDescent="0.25">
      <c r="A2937" s="15" t="s">
        <v>3077</v>
      </c>
      <c r="B2937" s="16">
        <v>1214</v>
      </c>
      <c r="C2937" s="16">
        <v>23393</v>
      </c>
      <c r="D2937" s="31">
        <v>44767</v>
      </c>
      <c r="E2937" s="16">
        <v>146</v>
      </c>
      <c r="F2937" s="15" t="str">
        <f t="shared" si="45"/>
        <v>1214-23393-44767</v>
      </c>
    </row>
    <row r="2938" spans="1:6" ht="14.25" customHeight="1" x14ac:dyDescent="0.25">
      <c r="A2938" s="15" t="s">
        <v>3078</v>
      </c>
      <c r="B2938" s="16">
        <v>1214</v>
      </c>
      <c r="C2938" s="16">
        <v>23393</v>
      </c>
      <c r="D2938" s="31">
        <v>44774</v>
      </c>
      <c r="E2938" s="16">
        <v>282</v>
      </c>
      <c r="F2938" s="15" t="str">
        <f t="shared" si="45"/>
        <v>1214-23393-44774</v>
      </c>
    </row>
    <row r="2939" spans="1:6" ht="14.25" customHeight="1" x14ac:dyDescent="0.25">
      <c r="A2939" s="15" t="s">
        <v>3079</v>
      </c>
      <c r="B2939" s="16">
        <v>1214</v>
      </c>
      <c r="C2939" s="16">
        <v>23393</v>
      </c>
      <c r="D2939" s="31">
        <v>44781</v>
      </c>
      <c r="E2939" s="16">
        <v>306</v>
      </c>
      <c r="F2939" s="15" t="str">
        <f t="shared" si="45"/>
        <v>1214-23393-44781</v>
      </c>
    </row>
    <row r="2940" spans="1:6" ht="14.25" customHeight="1" x14ac:dyDescent="0.25">
      <c r="A2940" s="15" t="s">
        <v>3080</v>
      </c>
      <c r="B2940" s="16">
        <v>1214</v>
      </c>
      <c r="C2940" s="16">
        <v>23393</v>
      </c>
      <c r="D2940" s="31">
        <v>44788</v>
      </c>
      <c r="E2940" s="16">
        <v>190</v>
      </c>
      <c r="F2940" s="15" t="str">
        <f t="shared" si="45"/>
        <v>1214-23393-44788</v>
      </c>
    </row>
    <row r="2941" spans="1:6" ht="14.25" customHeight="1" x14ac:dyDescent="0.25">
      <c r="A2941" s="15" t="s">
        <v>3081</v>
      </c>
      <c r="B2941" s="16">
        <v>1214</v>
      </c>
      <c r="C2941" s="16">
        <v>26764</v>
      </c>
      <c r="D2941" s="31">
        <v>44739</v>
      </c>
      <c r="E2941" s="16">
        <v>96</v>
      </c>
      <c r="F2941" s="15" t="str">
        <f t="shared" si="45"/>
        <v>1214-26764-44739</v>
      </c>
    </row>
    <row r="2942" spans="1:6" ht="14.25" customHeight="1" x14ac:dyDescent="0.25">
      <c r="A2942" s="15" t="s">
        <v>3082</v>
      </c>
      <c r="B2942" s="16">
        <v>1214</v>
      </c>
      <c r="C2942" s="16">
        <v>26764</v>
      </c>
      <c r="D2942" s="31">
        <v>44746</v>
      </c>
      <c r="E2942" s="16">
        <v>126</v>
      </c>
      <c r="F2942" s="15" t="str">
        <f t="shared" si="45"/>
        <v>1214-26764-44746</v>
      </c>
    </row>
    <row r="2943" spans="1:6" ht="14.25" customHeight="1" x14ac:dyDescent="0.25">
      <c r="A2943" s="15" t="s">
        <v>3083</v>
      </c>
      <c r="B2943" s="16">
        <v>1214</v>
      </c>
      <c r="C2943" s="16">
        <v>26764</v>
      </c>
      <c r="D2943" s="31">
        <v>44753</v>
      </c>
      <c r="E2943" s="16">
        <v>94</v>
      </c>
      <c r="F2943" s="15" t="str">
        <f t="shared" si="45"/>
        <v>1214-26764-44753</v>
      </c>
    </row>
    <row r="2944" spans="1:6" ht="14.25" customHeight="1" x14ac:dyDescent="0.25">
      <c r="A2944" s="15" t="s">
        <v>3084</v>
      </c>
      <c r="B2944" s="16">
        <v>1214</v>
      </c>
      <c r="C2944" s="16">
        <v>26764</v>
      </c>
      <c r="D2944" s="31">
        <v>44760</v>
      </c>
      <c r="E2944" s="16">
        <v>45</v>
      </c>
      <c r="F2944" s="15" t="str">
        <f t="shared" si="45"/>
        <v>1214-26764-44760</v>
      </c>
    </row>
    <row r="2945" spans="1:6" ht="14.25" customHeight="1" x14ac:dyDescent="0.25">
      <c r="A2945" s="15" t="s">
        <v>3085</v>
      </c>
      <c r="B2945" s="16">
        <v>1214</v>
      </c>
      <c r="C2945" s="16">
        <v>26764</v>
      </c>
      <c r="D2945" s="31">
        <v>44767</v>
      </c>
      <c r="E2945" s="16">
        <v>105</v>
      </c>
      <c r="F2945" s="15" t="str">
        <f t="shared" si="45"/>
        <v>1214-26764-44767</v>
      </c>
    </row>
    <row r="2946" spans="1:6" ht="14.25" customHeight="1" x14ac:dyDescent="0.25">
      <c r="A2946" s="15" t="s">
        <v>3086</v>
      </c>
      <c r="B2946" s="16">
        <v>1214</v>
      </c>
      <c r="C2946" s="16">
        <v>26764</v>
      </c>
      <c r="D2946" s="31">
        <v>44774</v>
      </c>
      <c r="E2946" s="16">
        <v>118</v>
      </c>
      <c r="F2946" s="15" t="str">
        <f t="shared" si="45"/>
        <v>1214-26764-44774</v>
      </c>
    </row>
    <row r="2947" spans="1:6" ht="14.25" customHeight="1" x14ac:dyDescent="0.25">
      <c r="A2947" s="15" t="s">
        <v>3087</v>
      </c>
      <c r="B2947" s="16">
        <v>1214</v>
      </c>
      <c r="C2947" s="16">
        <v>26764</v>
      </c>
      <c r="D2947" s="31">
        <v>44781</v>
      </c>
      <c r="E2947" s="16">
        <v>133</v>
      </c>
      <c r="F2947" s="15" t="str">
        <f t="shared" ref="F2947:F3010" si="46">B2947&amp;"-"&amp;C2947&amp;"-"&amp;INT(D2947)</f>
        <v>1214-26764-44781</v>
      </c>
    </row>
    <row r="2948" spans="1:6" ht="14.25" customHeight="1" x14ac:dyDescent="0.25">
      <c r="A2948" s="15" t="s">
        <v>3088</v>
      </c>
      <c r="B2948" s="16">
        <v>1214</v>
      </c>
      <c r="C2948" s="16">
        <v>26764</v>
      </c>
      <c r="D2948" s="31">
        <v>44788</v>
      </c>
      <c r="E2948" s="16">
        <v>36</v>
      </c>
      <c r="F2948" s="15" t="str">
        <f t="shared" si="46"/>
        <v>1214-26764-44788</v>
      </c>
    </row>
    <row r="2949" spans="1:6" ht="14.25" customHeight="1" x14ac:dyDescent="0.25">
      <c r="A2949" s="15" t="s">
        <v>3089</v>
      </c>
      <c r="B2949" s="16">
        <v>1214</v>
      </c>
      <c r="C2949" s="16">
        <v>53934</v>
      </c>
      <c r="D2949" s="31">
        <v>44739</v>
      </c>
      <c r="E2949" s="16">
        <v>210</v>
      </c>
      <c r="F2949" s="15" t="str">
        <f t="shared" si="46"/>
        <v>1214-53934-44739</v>
      </c>
    </row>
    <row r="2950" spans="1:6" ht="14.25" customHeight="1" x14ac:dyDescent="0.25">
      <c r="A2950" s="15" t="s">
        <v>3090</v>
      </c>
      <c r="B2950" s="16">
        <v>1214</v>
      </c>
      <c r="C2950" s="16">
        <v>53934</v>
      </c>
      <c r="D2950" s="31">
        <v>44746</v>
      </c>
      <c r="E2950" s="16">
        <v>334</v>
      </c>
      <c r="F2950" s="15" t="str">
        <f t="shared" si="46"/>
        <v>1214-53934-44746</v>
      </c>
    </row>
    <row r="2951" spans="1:6" ht="14.25" customHeight="1" x14ac:dyDescent="0.25">
      <c r="A2951" s="15" t="s">
        <v>3091</v>
      </c>
      <c r="B2951" s="16">
        <v>1214</v>
      </c>
      <c r="C2951" s="16">
        <v>53934</v>
      </c>
      <c r="D2951" s="31">
        <v>44753</v>
      </c>
      <c r="E2951" s="16">
        <v>224</v>
      </c>
      <c r="F2951" s="15" t="str">
        <f t="shared" si="46"/>
        <v>1214-53934-44753</v>
      </c>
    </row>
    <row r="2952" spans="1:6" ht="14.25" customHeight="1" x14ac:dyDescent="0.25">
      <c r="A2952" s="15" t="s">
        <v>3092</v>
      </c>
      <c r="B2952" s="16">
        <v>1214</v>
      </c>
      <c r="C2952" s="16">
        <v>53934</v>
      </c>
      <c r="D2952" s="31">
        <v>44760</v>
      </c>
      <c r="E2952" s="16">
        <v>224</v>
      </c>
      <c r="F2952" s="15" t="str">
        <f t="shared" si="46"/>
        <v>1214-53934-44760</v>
      </c>
    </row>
    <row r="2953" spans="1:6" ht="14.25" customHeight="1" x14ac:dyDescent="0.25">
      <c r="A2953" s="15" t="s">
        <v>3093</v>
      </c>
      <c r="B2953" s="16">
        <v>1214</v>
      </c>
      <c r="C2953" s="16">
        <v>53934</v>
      </c>
      <c r="D2953" s="31">
        <v>44767</v>
      </c>
      <c r="E2953" s="16">
        <v>320</v>
      </c>
      <c r="F2953" s="15" t="str">
        <f t="shared" si="46"/>
        <v>1214-53934-44767</v>
      </c>
    </row>
    <row r="2954" spans="1:6" ht="14.25" customHeight="1" x14ac:dyDescent="0.25">
      <c r="A2954" s="15" t="s">
        <v>3094</v>
      </c>
      <c r="B2954" s="16">
        <v>1214</v>
      </c>
      <c r="C2954" s="16">
        <v>53934</v>
      </c>
      <c r="D2954" s="31">
        <v>44774</v>
      </c>
      <c r="E2954" s="16">
        <v>167</v>
      </c>
      <c r="F2954" s="15" t="str">
        <f t="shared" si="46"/>
        <v>1214-53934-44774</v>
      </c>
    </row>
    <row r="2955" spans="1:6" ht="14.25" customHeight="1" x14ac:dyDescent="0.25">
      <c r="A2955" s="15" t="s">
        <v>3095</v>
      </c>
      <c r="B2955" s="16">
        <v>1214</v>
      </c>
      <c r="C2955" s="16">
        <v>53934</v>
      </c>
      <c r="D2955" s="31">
        <v>44781</v>
      </c>
      <c r="E2955" s="16">
        <v>317</v>
      </c>
      <c r="F2955" s="15" t="str">
        <f t="shared" si="46"/>
        <v>1214-53934-44781</v>
      </c>
    </row>
    <row r="2956" spans="1:6" ht="14.25" customHeight="1" x14ac:dyDescent="0.25">
      <c r="A2956" s="15" t="s">
        <v>3096</v>
      </c>
      <c r="B2956" s="16">
        <v>1214</v>
      </c>
      <c r="C2956" s="16">
        <v>53934</v>
      </c>
      <c r="D2956" s="31">
        <v>44788</v>
      </c>
      <c r="E2956" s="16">
        <v>174</v>
      </c>
      <c r="F2956" s="15" t="str">
        <f t="shared" si="46"/>
        <v>1214-53934-44788</v>
      </c>
    </row>
    <row r="2957" spans="1:6" ht="14.25" customHeight="1" x14ac:dyDescent="0.25">
      <c r="A2957" s="15" t="s">
        <v>3097</v>
      </c>
      <c r="B2957" s="16">
        <v>1214</v>
      </c>
      <c r="C2957" s="16">
        <v>78699</v>
      </c>
      <c r="D2957" s="31">
        <v>44739</v>
      </c>
      <c r="E2957" s="16">
        <v>3</v>
      </c>
      <c r="F2957" s="15" t="str">
        <f t="shared" si="46"/>
        <v>1214-78699-44739</v>
      </c>
    </row>
    <row r="2958" spans="1:6" ht="14.25" customHeight="1" x14ac:dyDescent="0.25">
      <c r="A2958" s="15" t="s">
        <v>3098</v>
      </c>
      <c r="B2958" s="16">
        <v>1214</v>
      </c>
      <c r="C2958" s="16">
        <v>78699</v>
      </c>
      <c r="D2958" s="31">
        <v>44746</v>
      </c>
      <c r="E2958" s="16">
        <v>3</v>
      </c>
      <c r="F2958" s="15" t="str">
        <f t="shared" si="46"/>
        <v>1214-78699-44746</v>
      </c>
    </row>
    <row r="2959" spans="1:6" ht="14.25" customHeight="1" x14ac:dyDescent="0.25">
      <c r="A2959" s="15" t="s">
        <v>3099</v>
      </c>
      <c r="B2959" s="16">
        <v>1214</v>
      </c>
      <c r="C2959" s="16">
        <v>78699</v>
      </c>
      <c r="D2959" s="31">
        <v>44753</v>
      </c>
      <c r="E2959" s="16">
        <v>3</v>
      </c>
      <c r="F2959" s="15" t="str">
        <f t="shared" si="46"/>
        <v>1214-78699-44753</v>
      </c>
    </row>
    <row r="2960" spans="1:6" ht="14.25" customHeight="1" x14ac:dyDescent="0.25">
      <c r="A2960" s="15" t="s">
        <v>3100</v>
      </c>
      <c r="B2960" s="16">
        <v>1214</v>
      </c>
      <c r="C2960" s="16">
        <v>78699</v>
      </c>
      <c r="D2960" s="31">
        <v>44760</v>
      </c>
      <c r="E2960" s="16">
        <v>3</v>
      </c>
      <c r="F2960" s="15" t="str">
        <f t="shared" si="46"/>
        <v>1214-78699-44760</v>
      </c>
    </row>
    <row r="2961" spans="1:6" ht="14.25" customHeight="1" x14ac:dyDescent="0.25">
      <c r="A2961" s="15" t="s">
        <v>3101</v>
      </c>
      <c r="B2961" s="16">
        <v>1214</v>
      </c>
      <c r="C2961" s="16">
        <v>78699</v>
      </c>
      <c r="D2961" s="31">
        <v>44767</v>
      </c>
      <c r="E2961" s="16">
        <v>3</v>
      </c>
      <c r="F2961" s="15" t="str">
        <f t="shared" si="46"/>
        <v>1214-78699-44767</v>
      </c>
    </row>
    <row r="2962" spans="1:6" ht="14.25" customHeight="1" x14ac:dyDescent="0.25">
      <c r="A2962" s="15" t="s">
        <v>3102</v>
      </c>
      <c r="B2962" s="16">
        <v>1214</v>
      </c>
      <c r="C2962" s="16">
        <v>78699</v>
      </c>
      <c r="D2962" s="31">
        <v>44774</v>
      </c>
      <c r="E2962" s="16">
        <v>3</v>
      </c>
      <c r="F2962" s="15" t="str">
        <f t="shared" si="46"/>
        <v>1214-78699-44774</v>
      </c>
    </row>
    <row r="2963" spans="1:6" ht="14.25" customHeight="1" x14ac:dyDescent="0.25">
      <c r="A2963" s="15" t="s">
        <v>3103</v>
      </c>
      <c r="B2963" s="16">
        <v>1214</v>
      </c>
      <c r="C2963" s="16">
        <v>78699</v>
      </c>
      <c r="D2963" s="31">
        <v>44781</v>
      </c>
      <c r="E2963" s="16">
        <v>3</v>
      </c>
      <c r="F2963" s="15" t="str">
        <f t="shared" si="46"/>
        <v>1214-78699-44781</v>
      </c>
    </row>
    <row r="2964" spans="1:6" ht="14.25" customHeight="1" x14ac:dyDescent="0.25">
      <c r="A2964" s="15" t="s">
        <v>3104</v>
      </c>
      <c r="B2964" s="16">
        <v>1214</v>
      </c>
      <c r="C2964" s="16">
        <v>78699</v>
      </c>
      <c r="D2964" s="31">
        <v>44788</v>
      </c>
      <c r="E2964" s="16">
        <v>3</v>
      </c>
      <c r="F2964" s="15" t="str">
        <f t="shared" si="46"/>
        <v>1214-78699-44788</v>
      </c>
    </row>
    <row r="2965" spans="1:6" ht="14.25" customHeight="1" x14ac:dyDescent="0.25">
      <c r="A2965" s="15" t="s">
        <v>3105</v>
      </c>
      <c r="B2965" s="16">
        <v>1214</v>
      </c>
      <c r="C2965" s="16">
        <v>78869</v>
      </c>
      <c r="D2965" s="31">
        <v>44739</v>
      </c>
      <c r="E2965" s="16">
        <v>6</v>
      </c>
      <c r="F2965" s="15" t="str">
        <f t="shared" si="46"/>
        <v>1214-78869-44739</v>
      </c>
    </row>
    <row r="2966" spans="1:6" ht="14.25" customHeight="1" x14ac:dyDescent="0.25">
      <c r="A2966" s="15" t="s">
        <v>3106</v>
      </c>
      <c r="B2966" s="16">
        <v>1214</v>
      </c>
      <c r="C2966" s="16">
        <v>78869</v>
      </c>
      <c r="D2966" s="31">
        <v>44746</v>
      </c>
      <c r="E2966" s="16">
        <v>6</v>
      </c>
      <c r="F2966" s="15" t="str">
        <f t="shared" si="46"/>
        <v>1214-78869-44746</v>
      </c>
    </row>
    <row r="2967" spans="1:6" ht="14.25" customHeight="1" x14ac:dyDescent="0.25">
      <c r="A2967" s="15" t="s">
        <v>3107</v>
      </c>
      <c r="B2967" s="16">
        <v>1214</v>
      </c>
      <c r="C2967" s="16">
        <v>78869</v>
      </c>
      <c r="D2967" s="31">
        <v>44753</v>
      </c>
      <c r="E2967" s="16">
        <v>6</v>
      </c>
      <c r="F2967" s="15" t="str">
        <f t="shared" si="46"/>
        <v>1214-78869-44753</v>
      </c>
    </row>
    <row r="2968" spans="1:6" ht="14.25" customHeight="1" x14ac:dyDescent="0.25">
      <c r="A2968" s="15" t="s">
        <v>3108</v>
      </c>
      <c r="B2968" s="16">
        <v>1214</v>
      </c>
      <c r="C2968" s="16">
        <v>78869</v>
      </c>
      <c r="D2968" s="31">
        <v>44760</v>
      </c>
      <c r="E2968" s="16">
        <v>6</v>
      </c>
      <c r="F2968" s="15" t="str">
        <f t="shared" si="46"/>
        <v>1214-78869-44760</v>
      </c>
    </row>
    <row r="2969" spans="1:6" ht="14.25" customHeight="1" x14ac:dyDescent="0.25">
      <c r="A2969" s="15" t="s">
        <v>3109</v>
      </c>
      <c r="B2969" s="16">
        <v>1214</v>
      </c>
      <c r="C2969" s="16">
        <v>78869</v>
      </c>
      <c r="D2969" s="31">
        <v>44767</v>
      </c>
      <c r="E2969" s="16">
        <v>6</v>
      </c>
      <c r="F2969" s="15" t="str">
        <f t="shared" si="46"/>
        <v>1214-78869-44767</v>
      </c>
    </row>
    <row r="2970" spans="1:6" ht="14.25" customHeight="1" x14ac:dyDescent="0.25">
      <c r="A2970" s="15" t="s">
        <v>3110</v>
      </c>
      <c r="B2970" s="16">
        <v>1214</v>
      </c>
      <c r="C2970" s="16">
        <v>78869</v>
      </c>
      <c r="D2970" s="31">
        <v>44774</v>
      </c>
      <c r="E2970" s="16">
        <v>6</v>
      </c>
      <c r="F2970" s="15" t="str">
        <f t="shared" si="46"/>
        <v>1214-78869-44774</v>
      </c>
    </row>
    <row r="2971" spans="1:6" ht="14.25" customHeight="1" x14ac:dyDescent="0.25">
      <c r="A2971" s="15" t="s">
        <v>3111</v>
      </c>
      <c r="B2971" s="16">
        <v>1214</v>
      </c>
      <c r="C2971" s="16">
        <v>78869</v>
      </c>
      <c r="D2971" s="31">
        <v>44781</v>
      </c>
      <c r="E2971" s="16">
        <v>6</v>
      </c>
      <c r="F2971" s="15" t="str">
        <f t="shared" si="46"/>
        <v>1214-78869-44781</v>
      </c>
    </row>
    <row r="2972" spans="1:6" ht="14.25" customHeight="1" x14ac:dyDescent="0.25">
      <c r="A2972" s="15" t="s">
        <v>3112</v>
      </c>
      <c r="B2972" s="16">
        <v>1214</v>
      </c>
      <c r="C2972" s="16">
        <v>78869</v>
      </c>
      <c r="D2972" s="31">
        <v>44788</v>
      </c>
      <c r="E2972" s="16">
        <v>6</v>
      </c>
      <c r="F2972" s="15" t="str">
        <f t="shared" si="46"/>
        <v>1214-78869-44788</v>
      </c>
    </row>
    <row r="2973" spans="1:6" ht="14.25" customHeight="1" x14ac:dyDescent="0.25">
      <c r="A2973" s="15" t="s">
        <v>3113</v>
      </c>
      <c r="B2973" s="16">
        <v>1214</v>
      </c>
      <c r="C2973" s="16">
        <v>115600</v>
      </c>
      <c r="D2973" s="31">
        <v>32874</v>
      </c>
      <c r="E2973" s="16">
        <v>41</v>
      </c>
      <c r="F2973" s="15" t="str">
        <f t="shared" si="46"/>
        <v>1214-115600-32874</v>
      </c>
    </row>
    <row r="2974" spans="1:6" ht="14.25" customHeight="1" x14ac:dyDescent="0.25">
      <c r="A2974" s="15" t="s">
        <v>3114</v>
      </c>
      <c r="B2974" s="16">
        <v>1214</v>
      </c>
      <c r="C2974" s="16">
        <v>115600</v>
      </c>
      <c r="D2974" s="31">
        <v>44739</v>
      </c>
      <c r="E2974" s="16">
        <v>54</v>
      </c>
      <c r="F2974" s="15" t="str">
        <f t="shared" si="46"/>
        <v>1214-115600-44739</v>
      </c>
    </row>
    <row r="2975" spans="1:6" ht="14.25" customHeight="1" x14ac:dyDescent="0.25">
      <c r="A2975" s="15" t="s">
        <v>3115</v>
      </c>
      <c r="B2975" s="16">
        <v>1214</v>
      </c>
      <c r="C2975" s="16">
        <v>115600</v>
      </c>
      <c r="D2975" s="31">
        <v>44746</v>
      </c>
      <c r="E2975" s="16">
        <v>54</v>
      </c>
      <c r="F2975" s="15" t="str">
        <f t="shared" si="46"/>
        <v>1214-115600-44746</v>
      </c>
    </row>
    <row r="2976" spans="1:6" ht="14.25" customHeight="1" x14ac:dyDescent="0.25">
      <c r="A2976" s="15" t="s">
        <v>3116</v>
      </c>
      <c r="B2976" s="16">
        <v>1214</v>
      </c>
      <c r="C2976" s="16">
        <v>115600</v>
      </c>
      <c r="D2976" s="31">
        <v>44753</v>
      </c>
      <c r="E2976" s="16">
        <v>54</v>
      </c>
      <c r="F2976" s="15" t="str">
        <f t="shared" si="46"/>
        <v>1214-115600-44753</v>
      </c>
    </row>
    <row r="2977" spans="1:6" ht="14.25" customHeight="1" x14ac:dyDescent="0.25">
      <c r="A2977" s="15" t="s">
        <v>3117</v>
      </c>
      <c r="B2977" s="16">
        <v>1214</v>
      </c>
      <c r="C2977" s="16">
        <v>115600</v>
      </c>
      <c r="D2977" s="31">
        <v>44760</v>
      </c>
      <c r="E2977" s="16">
        <v>54</v>
      </c>
      <c r="F2977" s="15" t="str">
        <f t="shared" si="46"/>
        <v>1214-115600-44760</v>
      </c>
    </row>
    <row r="2978" spans="1:6" ht="14.25" customHeight="1" x14ac:dyDescent="0.25">
      <c r="A2978" s="15" t="s">
        <v>3118</v>
      </c>
      <c r="B2978" s="16">
        <v>1214</v>
      </c>
      <c r="C2978" s="16">
        <v>115600</v>
      </c>
      <c r="D2978" s="31">
        <v>44767</v>
      </c>
      <c r="E2978" s="16">
        <v>54</v>
      </c>
      <c r="F2978" s="15" t="str">
        <f t="shared" si="46"/>
        <v>1214-115600-44767</v>
      </c>
    </row>
    <row r="2979" spans="1:6" ht="14.25" customHeight="1" x14ac:dyDescent="0.25">
      <c r="A2979" s="15" t="s">
        <v>3119</v>
      </c>
      <c r="B2979" s="16">
        <v>1214</v>
      </c>
      <c r="C2979" s="16">
        <v>115600</v>
      </c>
      <c r="D2979" s="31">
        <v>44774</v>
      </c>
      <c r="E2979" s="16">
        <v>54</v>
      </c>
      <c r="F2979" s="15" t="str">
        <f t="shared" si="46"/>
        <v>1214-115600-44774</v>
      </c>
    </row>
    <row r="2980" spans="1:6" ht="14.25" customHeight="1" x14ac:dyDescent="0.25">
      <c r="A2980" s="15" t="s">
        <v>3120</v>
      </c>
      <c r="B2980" s="16">
        <v>1214</v>
      </c>
      <c r="C2980" s="16">
        <v>115600</v>
      </c>
      <c r="D2980" s="31">
        <v>44781</v>
      </c>
      <c r="E2980" s="16">
        <v>54</v>
      </c>
      <c r="F2980" s="15" t="str">
        <f t="shared" si="46"/>
        <v>1214-115600-44781</v>
      </c>
    </row>
    <row r="2981" spans="1:6" ht="14.25" customHeight="1" x14ac:dyDescent="0.25">
      <c r="A2981" s="15" t="s">
        <v>3121</v>
      </c>
      <c r="B2981" s="16">
        <v>1214</v>
      </c>
      <c r="C2981" s="16">
        <v>115600</v>
      </c>
      <c r="D2981" s="31">
        <v>44788</v>
      </c>
      <c r="E2981" s="16">
        <v>54</v>
      </c>
      <c r="F2981" s="15" t="str">
        <f t="shared" si="46"/>
        <v>1214-115600-44788</v>
      </c>
    </row>
    <row r="2982" spans="1:6" ht="14.25" customHeight="1" x14ac:dyDescent="0.25">
      <c r="A2982" s="15" t="s">
        <v>3122</v>
      </c>
      <c r="B2982" s="16">
        <v>1214</v>
      </c>
      <c r="C2982" s="16">
        <v>129208</v>
      </c>
      <c r="D2982" s="31">
        <v>32874</v>
      </c>
      <c r="E2982" s="16">
        <v>25</v>
      </c>
      <c r="F2982" s="15" t="str">
        <f t="shared" si="46"/>
        <v>1214-129208-32874</v>
      </c>
    </row>
    <row r="2983" spans="1:6" ht="14.25" customHeight="1" x14ac:dyDescent="0.25">
      <c r="A2983" s="15" t="s">
        <v>3123</v>
      </c>
      <c r="B2983" s="16">
        <v>1214</v>
      </c>
      <c r="C2983" s="16">
        <v>129208</v>
      </c>
      <c r="D2983" s="31">
        <v>44739</v>
      </c>
      <c r="E2983" s="16">
        <v>38</v>
      </c>
      <c r="F2983" s="15" t="str">
        <f t="shared" si="46"/>
        <v>1214-129208-44739</v>
      </c>
    </row>
    <row r="2984" spans="1:6" ht="14.25" customHeight="1" x14ac:dyDescent="0.25">
      <c r="A2984" s="15" t="s">
        <v>3124</v>
      </c>
      <c r="B2984" s="16">
        <v>1214</v>
      </c>
      <c r="C2984" s="16">
        <v>129208</v>
      </c>
      <c r="D2984" s="31">
        <v>44746</v>
      </c>
      <c r="E2984" s="16">
        <v>42</v>
      </c>
      <c r="F2984" s="15" t="str">
        <f t="shared" si="46"/>
        <v>1214-129208-44746</v>
      </c>
    </row>
    <row r="2985" spans="1:6" ht="14.25" customHeight="1" x14ac:dyDescent="0.25">
      <c r="A2985" s="15" t="s">
        <v>3125</v>
      </c>
      <c r="B2985" s="16">
        <v>1214</v>
      </c>
      <c r="C2985" s="16">
        <v>129208</v>
      </c>
      <c r="D2985" s="31">
        <v>44753</v>
      </c>
      <c r="E2985" s="16">
        <v>33</v>
      </c>
      <c r="F2985" s="15" t="str">
        <f t="shared" si="46"/>
        <v>1214-129208-44753</v>
      </c>
    </row>
    <row r="2986" spans="1:6" ht="14.25" customHeight="1" x14ac:dyDescent="0.25">
      <c r="A2986" s="15" t="s">
        <v>3126</v>
      </c>
      <c r="B2986" s="16">
        <v>1214</v>
      </c>
      <c r="C2986" s="16">
        <v>129208</v>
      </c>
      <c r="D2986" s="31">
        <v>44760</v>
      </c>
      <c r="E2986" s="16">
        <v>24</v>
      </c>
      <c r="F2986" s="15" t="str">
        <f t="shared" si="46"/>
        <v>1214-129208-44760</v>
      </c>
    </row>
    <row r="2987" spans="1:6" ht="14.25" customHeight="1" x14ac:dyDescent="0.25">
      <c r="A2987" s="15" t="s">
        <v>3127</v>
      </c>
      <c r="B2987" s="16">
        <v>1214</v>
      </c>
      <c r="C2987" s="16">
        <v>129208</v>
      </c>
      <c r="D2987" s="31">
        <v>44767</v>
      </c>
      <c r="E2987" s="16">
        <v>40</v>
      </c>
      <c r="F2987" s="15" t="str">
        <f t="shared" si="46"/>
        <v>1214-129208-44767</v>
      </c>
    </row>
    <row r="2988" spans="1:6" ht="14.25" customHeight="1" x14ac:dyDescent="0.25">
      <c r="A2988" s="15" t="s">
        <v>3128</v>
      </c>
      <c r="B2988" s="16">
        <v>1214</v>
      </c>
      <c r="C2988" s="16">
        <v>129208</v>
      </c>
      <c r="D2988" s="31">
        <v>44774</v>
      </c>
      <c r="E2988" s="16">
        <v>34</v>
      </c>
      <c r="F2988" s="15" t="str">
        <f t="shared" si="46"/>
        <v>1214-129208-44774</v>
      </c>
    </row>
    <row r="2989" spans="1:6" ht="14.25" customHeight="1" x14ac:dyDescent="0.25">
      <c r="A2989" s="15" t="s">
        <v>3129</v>
      </c>
      <c r="B2989" s="16">
        <v>1214</v>
      </c>
      <c r="C2989" s="16">
        <v>129208</v>
      </c>
      <c r="D2989" s="31">
        <v>44781</v>
      </c>
      <c r="E2989" s="16">
        <v>38</v>
      </c>
      <c r="F2989" s="15" t="str">
        <f t="shared" si="46"/>
        <v>1214-129208-44781</v>
      </c>
    </row>
    <row r="2990" spans="1:6" ht="14.25" customHeight="1" x14ac:dyDescent="0.25">
      <c r="A2990" s="15" t="s">
        <v>3130</v>
      </c>
      <c r="B2990" s="16">
        <v>1214</v>
      </c>
      <c r="C2990" s="16">
        <v>129208</v>
      </c>
      <c r="D2990" s="31">
        <v>44788</v>
      </c>
      <c r="E2990" s="16">
        <v>36</v>
      </c>
      <c r="F2990" s="15" t="str">
        <f t="shared" si="46"/>
        <v>1214-129208-44788</v>
      </c>
    </row>
    <row r="2991" spans="1:6" ht="14.25" customHeight="1" x14ac:dyDescent="0.25">
      <c r="A2991" s="15" t="s">
        <v>3131</v>
      </c>
      <c r="B2991" s="16">
        <v>1214</v>
      </c>
      <c r="C2991" s="16">
        <v>141622</v>
      </c>
      <c r="D2991" s="31">
        <v>44739</v>
      </c>
      <c r="E2991" s="16">
        <v>8</v>
      </c>
      <c r="F2991" s="15" t="str">
        <f t="shared" si="46"/>
        <v>1214-141622-44739</v>
      </c>
    </row>
    <row r="2992" spans="1:6" ht="14.25" customHeight="1" x14ac:dyDescent="0.25">
      <c r="A2992" s="15" t="s">
        <v>3132</v>
      </c>
      <c r="B2992" s="16">
        <v>1214</v>
      </c>
      <c r="C2992" s="16">
        <v>141622</v>
      </c>
      <c r="D2992" s="31">
        <v>44746</v>
      </c>
      <c r="E2992" s="16">
        <v>30</v>
      </c>
      <c r="F2992" s="15" t="str">
        <f t="shared" si="46"/>
        <v>1214-141622-44746</v>
      </c>
    </row>
    <row r="2993" spans="1:6" ht="14.25" customHeight="1" x14ac:dyDescent="0.25">
      <c r="A2993" s="15" t="s">
        <v>3133</v>
      </c>
      <c r="B2993" s="16">
        <v>1214</v>
      </c>
      <c r="C2993" s="16">
        <v>141622</v>
      </c>
      <c r="D2993" s="31">
        <v>44753</v>
      </c>
      <c r="E2993" s="16">
        <v>27</v>
      </c>
      <c r="F2993" s="15" t="str">
        <f t="shared" si="46"/>
        <v>1214-141622-44753</v>
      </c>
    </row>
    <row r="2994" spans="1:6" ht="14.25" customHeight="1" x14ac:dyDescent="0.25">
      <c r="A2994" s="15" t="s">
        <v>3134</v>
      </c>
      <c r="B2994" s="16">
        <v>1214</v>
      </c>
      <c r="C2994" s="16">
        <v>141622</v>
      </c>
      <c r="D2994" s="31">
        <v>44760</v>
      </c>
      <c r="E2994" s="16">
        <v>13</v>
      </c>
      <c r="F2994" s="15" t="str">
        <f t="shared" si="46"/>
        <v>1214-141622-44760</v>
      </c>
    </row>
    <row r="2995" spans="1:6" ht="14.25" customHeight="1" x14ac:dyDescent="0.25">
      <c r="A2995" s="15" t="s">
        <v>3135</v>
      </c>
      <c r="B2995" s="16">
        <v>1214</v>
      </c>
      <c r="C2995" s="16">
        <v>141622</v>
      </c>
      <c r="D2995" s="31">
        <v>44767</v>
      </c>
      <c r="E2995" s="16">
        <v>12</v>
      </c>
      <c r="F2995" s="15" t="str">
        <f t="shared" si="46"/>
        <v>1214-141622-44767</v>
      </c>
    </row>
    <row r="2996" spans="1:6" ht="14.25" customHeight="1" x14ac:dyDescent="0.25">
      <c r="A2996" s="15" t="s">
        <v>3136</v>
      </c>
      <c r="B2996" s="16">
        <v>1214</v>
      </c>
      <c r="C2996" s="16">
        <v>141622</v>
      </c>
      <c r="D2996" s="31">
        <v>44774</v>
      </c>
      <c r="E2996" s="16">
        <v>37</v>
      </c>
      <c r="F2996" s="15" t="str">
        <f t="shared" si="46"/>
        <v>1214-141622-44774</v>
      </c>
    </row>
    <row r="2997" spans="1:6" ht="14.25" customHeight="1" x14ac:dyDescent="0.25">
      <c r="A2997" s="15" t="s">
        <v>3137</v>
      </c>
      <c r="B2997" s="16">
        <v>1214</v>
      </c>
      <c r="C2997" s="16">
        <v>141622</v>
      </c>
      <c r="D2997" s="31">
        <v>44781</v>
      </c>
      <c r="E2997" s="16">
        <v>26</v>
      </c>
      <c r="F2997" s="15" t="str">
        <f t="shared" si="46"/>
        <v>1214-141622-44781</v>
      </c>
    </row>
    <row r="2998" spans="1:6" ht="14.25" customHeight="1" x14ac:dyDescent="0.25">
      <c r="A2998" s="15" t="s">
        <v>3138</v>
      </c>
      <c r="B2998" s="16">
        <v>1214</v>
      </c>
      <c r="C2998" s="16">
        <v>141622</v>
      </c>
      <c r="D2998" s="31">
        <v>44788</v>
      </c>
      <c r="E2998" s="16">
        <v>13</v>
      </c>
      <c r="F2998" s="15" t="str">
        <f t="shared" si="46"/>
        <v>1214-141622-44788</v>
      </c>
    </row>
    <row r="2999" spans="1:6" ht="14.25" customHeight="1" x14ac:dyDescent="0.25">
      <c r="A2999" s="15" t="s">
        <v>3139</v>
      </c>
      <c r="B2999" s="16">
        <v>1214</v>
      </c>
      <c r="C2999" s="16">
        <v>141626</v>
      </c>
      <c r="D2999" s="31">
        <v>44739</v>
      </c>
      <c r="E2999" s="16">
        <v>113</v>
      </c>
      <c r="F2999" s="15" t="str">
        <f t="shared" si="46"/>
        <v>1214-141626-44739</v>
      </c>
    </row>
    <row r="3000" spans="1:6" ht="14.25" customHeight="1" x14ac:dyDescent="0.25">
      <c r="A3000" s="15" t="s">
        <v>3140</v>
      </c>
      <c r="B3000" s="16">
        <v>1214</v>
      </c>
      <c r="C3000" s="16">
        <v>141626</v>
      </c>
      <c r="D3000" s="31">
        <v>44746</v>
      </c>
      <c r="E3000" s="16">
        <v>132</v>
      </c>
      <c r="F3000" s="15" t="str">
        <f t="shared" si="46"/>
        <v>1214-141626-44746</v>
      </c>
    </row>
    <row r="3001" spans="1:6" ht="14.25" customHeight="1" x14ac:dyDescent="0.25">
      <c r="A3001" s="15" t="s">
        <v>3141</v>
      </c>
      <c r="B3001" s="16">
        <v>1214</v>
      </c>
      <c r="C3001" s="16">
        <v>141626</v>
      </c>
      <c r="D3001" s="31">
        <v>44753</v>
      </c>
      <c r="E3001" s="16">
        <v>573</v>
      </c>
      <c r="F3001" s="15" t="str">
        <f t="shared" si="46"/>
        <v>1214-141626-44753</v>
      </c>
    </row>
    <row r="3002" spans="1:6" ht="14.25" customHeight="1" x14ac:dyDescent="0.25">
      <c r="A3002" s="15" t="s">
        <v>3142</v>
      </c>
      <c r="B3002" s="16">
        <v>1214</v>
      </c>
      <c r="C3002" s="16">
        <v>141626</v>
      </c>
      <c r="D3002" s="31">
        <v>44760</v>
      </c>
      <c r="E3002" s="16">
        <v>620</v>
      </c>
      <c r="F3002" s="15" t="str">
        <f t="shared" si="46"/>
        <v>1214-141626-44760</v>
      </c>
    </row>
    <row r="3003" spans="1:6" ht="14.25" customHeight="1" x14ac:dyDescent="0.25">
      <c r="A3003" s="15" t="s">
        <v>3143</v>
      </c>
      <c r="B3003" s="16">
        <v>1214</v>
      </c>
      <c r="C3003" s="16">
        <v>141626</v>
      </c>
      <c r="D3003" s="31">
        <v>44767</v>
      </c>
      <c r="E3003" s="16">
        <v>108</v>
      </c>
      <c r="F3003" s="15" t="str">
        <f t="shared" si="46"/>
        <v>1214-141626-44767</v>
      </c>
    </row>
    <row r="3004" spans="1:6" ht="14.25" customHeight="1" x14ac:dyDescent="0.25">
      <c r="A3004" s="15" t="s">
        <v>3144</v>
      </c>
      <c r="B3004" s="16">
        <v>1214</v>
      </c>
      <c r="C3004" s="16">
        <v>141626</v>
      </c>
      <c r="D3004" s="31">
        <v>44774</v>
      </c>
      <c r="E3004" s="16">
        <v>108</v>
      </c>
      <c r="F3004" s="15" t="str">
        <f t="shared" si="46"/>
        <v>1214-141626-44774</v>
      </c>
    </row>
    <row r="3005" spans="1:6" ht="14.25" customHeight="1" x14ac:dyDescent="0.25">
      <c r="A3005" s="15" t="s">
        <v>3145</v>
      </c>
      <c r="B3005" s="16">
        <v>1214</v>
      </c>
      <c r="C3005" s="16">
        <v>141626</v>
      </c>
      <c r="D3005" s="31">
        <v>44781</v>
      </c>
      <c r="E3005" s="16">
        <v>635</v>
      </c>
      <c r="F3005" s="15" t="str">
        <f t="shared" si="46"/>
        <v>1214-141626-44781</v>
      </c>
    </row>
    <row r="3006" spans="1:6" ht="14.25" customHeight="1" x14ac:dyDescent="0.25">
      <c r="A3006" s="15" t="s">
        <v>3146</v>
      </c>
      <c r="B3006" s="16">
        <v>1214</v>
      </c>
      <c r="C3006" s="16">
        <v>141626</v>
      </c>
      <c r="D3006" s="31">
        <v>44788</v>
      </c>
      <c r="E3006" s="16">
        <v>114</v>
      </c>
      <c r="F3006" s="15" t="str">
        <f t="shared" si="46"/>
        <v>1214-141626-44788</v>
      </c>
    </row>
    <row r="3007" spans="1:6" ht="14.25" customHeight="1" x14ac:dyDescent="0.25">
      <c r="A3007" s="15" t="s">
        <v>3147</v>
      </c>
      <c r="B3007" s="16">
        <v>1214</v>
      </c>
      <c r="C3007" s="16">
        <v>141791</v>
      </c>
      <c r="D3007" s="31">
        <v>44739</v>
      </c>
      <c r="E3007" s="16">
        <v>51</v>
      </c>
      <c r="F3007" s="15" t="str">
        <f t="shared" si="46"/>
        <v>1214-141791-44739</v>
      </c>
    </row>
    <row r="3008" spans="1:6" ht="14.25" customHeight="1" x14ac:dyDescent="0.25">
      <c r="A3008" s="15" t="s">
        <v>3148</v>
      </c>
      <c r="B3008" s="16">
        <v>1214</v>
      </c>
      <c r="C3008" s="16">
        <v>141791</v>
      </c>
      <c r="D3008" s="31">
        <v>44746</v>
      </c>
      <c r="E3008" s="16">
        <v>55</v>
      </c>
      <c r="F3008" s="15" t="str">
        <f t="shared" si="46"/>
        <v>1214-141791-44746</v>
      </c>
    </row>
    <row r="3009" spans="1:6" ht="14.25" customHeight="1" x14ac:dyDescent="0.25">
      <c r="A3009" s="15" t="s">
        <v>3149</v>
      </c>
      <c r="B3009" s="16">
        <v>1214</v>
      </c>
      <c r="C3009" s="16">
        <v>141791</v>
      </c>
      <c r="D3009" s="31">
        <v>44753</v>
      </c>
      <c r="E3009" s="16">
        <v>56</v>
      </c>
      <c r="F3009" s="15" t="str">
        <f t="shared" si="46"/>
        <v>1214-141791-44753</v>
      </c>
    </row>
    <row r="3010" spans="1:6" ht="14.25" customHeight="1" x14ac:dyDescent="0.25">
      <c r="A3010" s="15" t="s">
        <v>3150</v>
      </c>
      <c r="B3010" s="16">
        <v>1214</v>
      </c>
      <c r="C3010" s="16">
        <v>141791</v>
      </c>
      <c r="D3010" s="31">
        <v>44760</v>
      </c>
      <c r="E3010" s="16">
        <v>57</v>
      </c>
      <c r="F3010" s="15" t="str">
        <f t="shared" si="46"/>
        <v>1214-141791-44760</v>
      </c>
    </row>
    <row r="3011" spans="1:6" ht="14.25" customHeight="1" x14ac:dyDescent="0.25">
      <c r="A3011" s="15" t="s">
        <v>3151</v>
      </c>
      <c r="B3011" s="16">
        <v>1214</v>
      </c>
      <c r="C3011" s="16">
        <v>141791</v>
      </c>
      <c r="D3011" s="31">
        <v>44767</v>
      </c>
      <c r="E3011" s="16">
        <v>57</v>
      </c>
      <c r="F3011" s="15" t="str">
        <f t="shared" ref="F3011:F3074" si="47">B3011&amp;"-"&amp;C3011&amp;"-"&amp;INT(D3011)</f>
        <v>1214-141791-44767</v>
      </c>
    </row>
    <row r="3012" spans="1:6" ht="14.25" customHeight="1" x14ac:dyDescent="0.25">
      <c r="A3012" s="15" t="s">
        <v>3152</v>
      </c>
      <c r="B3012" s="16">
        <v>1214</v>
      </c>
      <c r="C3012" s="16">
        <v>141791</v>
      </c>
      <c r="D3012" s="31">
        <v>44774</v>
      </c>
      <c r="E3012" s="16">
        <v>48</v>
      </c>
      <c r="F3012" s="15" t="str">
        <f t="shared" si="47"/>
        <v>1214-141791-44774</v>
      </c>
    </row>
    <row r="3013" spans="1:6" ht="14.25" customHeight="1" x14ac:dyDescent="0.25">
      <c r="A3013" s="15" t="s">
        <v>3153</v>
      </c>
      <c r="B3013" s="16">
        <v>1214</v>
      </c>
      <c r="C3013" s="16">
        <v>141791</v>
      </c>
      <c r="D3013" s="31">
        <v>44781</v>
      </c>
      <c r="E3013" s="16">
        <v>54</v>
      </c>
      <c r="F3013" s="15" t="str">
        <f t="shared" si="47"/>
        <v>1214-141791-44781</v>
      </c>
    </row>
    <row r="3014" spans="1:6" ht="14.25" customHeight="1" x14ac:dyDescent="0.25">
      <c r="A3014" s="15" t="s">
        <v>3154</v>
      </c>
      <c r="B3014" s="16">
        <v>1214</v>
      </c>
      <c r="C3014" s="16">
        <v>141791</v>
      </c>
      <c r="D3014" s="31">
        <v>44788</v>
      </c>
      <c r="E3014" s="16">
        <v>57</v>
      </c>
      <c r="F3014" s="15" t="str">
        <f t="shared" si="47"/>
        <v>1214-141791-44788</v>
      </c>
    </row>
    <row r="3015" spans="1:6" ht="14.25" customHeight="1" x14ac:dyDescent="0.25">
      <c r="A3015" s="15" t="s">
        <v>3155</v>
      </c>
      <c r="B3015" s="16">
        <v>1214</v>
      </c>
      <c r="C3015" s="16">
        <v>141846</v>
      </c>
      <c r="D3015" s="31">
        <v>44739</v>
      </c>
      <c r="E3015" s="16">
        <v>6</v>
      </c>
      <c r="F3015" s="15" t="str">
        <f t="shared" si="47"/>
        <v>1214-141846-44739</v>
      </c>
    </row>
    <row r="3016" spans="1:6" ht="14.25" customHeight="1" x14ac:dyDescent="0.25">
      <c r="A3016" s="15" t="s">
        <v>3156</v>
      </c>
      <c r="B3016" s="16">
        <v>1214</v>
      </c>
      <c r="C3016" s="16">
        <v>141846</v>
      </c>
      <c r="D3016" s="31">
        <v>44746</v>
      </c>
      <c r="E3016" s="16">
        <v>21</v>
      </c>
      <c r="F3016" s="15" t="str">
        <f t="shared" si="47"/>
        <v>1214-141846-44746</v>
      </c>
    </row>
    <row r="3017" spans="1:6" ht="14.25" customHeight="1" x14ac:dyDescent="0.25">
      <c r="A3017" s="15" t="s">
        <v>3157</v>
      </c>
      <c r="B3017" s="16">
        <v>1214</v>
      </c>
      <c r="C3017" s="16">
        <v>141846</v>
      </c>
      <c r="D3017" s="31">
        <v>44753</v>
      </c>
      <c r="E3017" s="16">
        <v>36</v>
      </c>
      <c r="F3017" s="15" t="str">
        <f t="shared" si="47"/>
        <v>1214-141846-44753</v>
      </c>
    </row>
    <row r="3018" spans="1:6" ht="14.25" customHeight="1" x14ac:dyDescent="0.25">
      <c r="A3018" s="15" t="s">
        <v>3158</v>
      </c>
      <c r="B3018" s="16">
        <v>1214</v>
      </c>
      <c r="C3018" s="16">
        <v>141846</v>
      </c>
      <c r="D3018" s="31">
        <v>44760</v>
      </c>
      <c r="E3018" s="16">
        <v>30</v>
      </c>
      <c r="F3018" s="15" t="str">
        <f t="shared" si="47"/>
        <v>1214-141846-44760</v>
      </c>
    </row>
    <row r="3019" spans="1:6" ht="14.25" customHeight="1" x14ac:dyDescent="0.25">
      <c r="A3019" s="15" t="s">
        <v>3159</v>
      </c>
      <c r="B3019" s="16">
        <v>1214</v>
      </c>
      <c r="C3019" s="16">
        <v>141846</v>
      </c>
      <c r="D3019" s="31">
        <v>44767</v>
      </c>
      <c r="E3019" s="16">
        <v>20</v>
      </c>
      <c r="F3019" s="15" t="str">
        <f t="shared" si="47"/>
        <v>1214-141846-44767</v>
      </c>
    </row>
    <row r="3020" spans="1:6" ht="14.25" customHeight="1" x14ac:dyDescent="0.25">
      <c r="A3020" s="15" t="s">
        <v>3160</v>
      </c>
      <c r="B3020" s="16">
        <v>1214</v>
      </c>
      <c r="C3020" s="16">
        <v>141846</v>
      </c>
      <c r="D3020" s="31">
        <v>44774</v>
      </c>
      <c r="E3020" s="16">
        <v>33</v>
      </c>
      <c r="F3020" s="15" t="str">
        <f t="shared" si="47"/>
        <v>1214-141846-44774</v>
      </c>
    </row>
    <row r="3021" spans="1:6" ht="14.25" customHeight="1" x14ac:dyDescent="0.25">
      <c r="A3021" s="15" t="s">
        <v>3161</v>
      </c>
      <c r="B3021" s="16">
        <v>1214</v>
      </c>
      <c r="C3021" s="16">
        <v>141846</v>
      </c>
      <c r="D3021" s="31">
        <v>44781</v>
      </c>
      <c r="E3021" s="16">
        <v>21</v>
      </c>
      <c r="F3021" s="15" t="str">
        <f t="shared" si="47"/>
        <v>1214-141846-44781</v>
      </c>
    </row>
    <row r="3022" spans="1:6" ht="14.25" customHeight="1" x14ac:dyDescent="0.25">
      <c r="A3022" s="15" t="s">
        <v>3162</v>
      </c>
      <c r="B3022" s="16">
        <v>1214</v>
      </c>
      <c r="C3022" s="16">
        <v>141846</v>
      </c>
      <c r="D3022" s="31">
        <v>44788</v>
      </c>
      <c r="E3022" s="16">
        <v>5</v>
      </c>
      <c r="F3022" s="15" t="str">
        <f t="shared" si="47"/>
        <v>1214-141846-44788</v>
      </c>
    </row>
    <row r="3023" spans="1:6" ht="14.25" customHeight="1" x14ac:dyDescent="0.25">
      <c r="A3023" s="15" t="s">
        <v>3163</v>
      </c>
      <c r="B3023" s="16">
        <v>1214</v>
      </c>
      <c r="C3023" s="16">
        <v>141967</v>
      </c>
      <c r="D3023" s="31">
        <v>44739</v>
      </c>
      <c r="E3023" s="16">
        <v>3</v>
      </c>
      <c r="F3023" s="15" t="str">
        <f t="shared" si="47"/>
        <v>1214-141967-44739</v>
      </c>
    </row>
    <row r="3024" spans="1:6" ht="14.25" customHeight="1" x14ac:dyDescent="0.25">
      <c r="A3024" s="15" t="s">
        <v>3164</v>
      </c>
      <c r="B3024" s="16">
        <v>1214</v>
      </c>
      <c r="C3024" s="16">
        <v>141967</v>
      </c>
      <c r="D3024" s="31">
        <v>44746</v>
      </c>
      <c r="E3024" s="16">
        <v>-2</v>
      </c>
      <c r="F3024" s="15" t="str">
        <f t="shared" si="47"/>
        <v>1214-141967-44746</v>
      </c>
    </row>
    <row r="3025" spans="1:6" ht="14.25" customHeight="1" x14ac:dyDescent="0.25">
      <c r="A3025" s="15" t="s">
        <v>3165</v>
      </c>
      <c r="B3025" s="16">
        <v>1214</v>
      </c>
      <c r="C3025" s="16">
        <v>141967</v>
      </c>
      <c r="D3025" s="31">
        <v>44753</v>
      </c>
      <c r="E3025" s="16">
        <v>14</v>
      </c>
      <c r="F3025" s="15" t="str">
        <f t="shared" si="47"/>
        <v>1214-141967-44753</v>
      </c>
    </row>
    <row r="3026" spans="1:6" ht="14.25" customHeight="1" x14ac:dyDescent="0.25">
      <c r="A3026" s="15" t="s">
        <v>3166</v>
      </c>
      <c r="B3026" s="16">
        <v>1214</v>
      </c>
      <c r="C3026" s="16">
        <v>141967</v>
      </c>
      <c r="D3026" s="31">
        <v>44760</v>
      </c>
      <c r="E3026" s="16">
        <v>2</v>
      </c>
      <c r="F3026" s="15" t="str">
        <f t="shared" si="47"/>
        <v>1214-141967-44760</v>
      </c>
    </row>
    <row r="3027" spans="1:6" ht="14.25" customHeight="1" x14ac:dyDescent="0.25">
      <c r="A3027" s="15" t="s">
        <v>3167</v>
      </c>
      <c r="B3027" s="16">
        <v>1214</v>
      </c>
      <c r="C3027" s="16">
        <v>141967</v>
      </c>
      <c r="D3027" s="31">
        <v>44767</v>
      </c>
      <c r="E3027" s="16">
        <v>22</v>
      </c>
      <c r="F3027" s="15" t="str">
        <f t="shared" si="47"/>
        <v>1214-141967-44767</v>
      </c>
    </row>
    <row r="3028" spans="1:6" ht="14.25" customHeight="1" x14ac:dyDescent="0.25">
      <c r="A3028" s="15" t="s">
        <v>3168</v>
      </c>
      <c r="B3028" s="16">
        <v>1214</v>
      </c>
      <c r="C3028" s="16">
        <v>141967</v>
      </c>
      <c r="D3028" s="31">
        <v>44774</v>
      </c>
      <c r="E3028" s="16">
        <v>6</v>
      </c>
      <c r="F3028" s="15" t="str">
        <f t="shared" si="47"/>
        <v>1214-141967-44774</v>
      </c>
    </row>
    <row r="3029" spans="1:6" ht="14.25" customHeight="1" x14ac:dyDescent="0.25">
      <c r="A3029" s="15" t="s">
        <v>3169</v>
      </c>
      <c r="B3029" s="16">
        <v>1214</v>
      </c>
      <c r="C3029" s="16">
        <v>141967</v>
      </c>
      <c r="D3029" s="31">
        <v>44781</v>
      </c>
      <c r="E3029" s="16">
        <v>6</v>
      </c>
      <c r="F3029" s="15" t="str">
        <f t="shared" si="47"/>
        <v>1214-141967-44781</v>
      </c>
    </row>
    <row r="3030" spans="1:6" ht="14.25" customHeight="1" x14ac:dyDescent="0.25">
      <c r="A3030" s="15" t="s">
        <v>3170</v>
      </c>
      <c r="B3030" s="16">
        <v>1214</v>
      </c>
      <c r="C3030" s="16">
        <v>141967</v>
      </c>
      <c r="D3030" s="31">
        <v>44788</v>
      </c>
      <c r="E3030" s="16">
        <v>18</v>
      </c>
      <c r="F3030" s="15" t="str">
        <f t="shared" si="47"/>
        <v>1214-141967-44788</v>
      </c>
    </row>
    <row r="3031" spans="1:6" ht="14.25" customHeight="1" x14ac:dyDescent="0.25">
      <c r="A3031" s="15" t="s">
        <v>3171</v>
      </c>
      <c r="B3031" s="16">
        <v>1214</v>
      </c>
      <c r="C3031" s="16">
        <v>142194</v>
      </c>
      <c r="D3031" s="31">
        <v>44739</v>
      </c>
      <c r="E3031" s="16">
        <v>6</v>
      </c>
      <c r="F3031" s="15" t="str">
        <f t="shared" si="47"/>
        <v>1214-142194-44739</v>
      </c>
    </row>
    <row r="3032" spans="1:6" ht="14.25" customHeight="1" x14ac:dyDescent="0.25">
      <c r="A3032" s="15" t="s">
        <v>3172</v>
      </c>
      <c r="B3032" s="16">
        <v>1214</v>
      </c>
      <c r="C3032" s="16">
        <v>142194</v>
      </c>
      <c r="D3032" s="31">
        <v>44746</v>
      </c>
      <c r="E3032" s="16">
        <v>6</v>
      </c>
      <c r="F3032" s="15" t="str">
        <f t="shared" si="47"/>
        <v>1214-142194-44746</v>
      </c>
    </row>
    <row r="3033" spans="1:6" ht="14.25" customHeight="1" x14ac:dyDescent="0.25">
      <c r="A3033" s="15" t="s">
        <v>3173</v>
      </c>
      <c r="B3033" s="16">
        <v>1214</v>
      </c>
      <c r="C3033" s="16">
        <v>142194</v>
      </c>
      <c r="D3033" s="31">
        <v>44753</v>
      </c>
      <c r="E3033" s="16">
        <v>6</v>
      </c>
      <c r="F3033" s="15" t="str">
        <f t="shared" si="47"/>
        <v>1214-142194-44753</v>
      </c>
    </row>
    <row r="3034" spans="1:6" ht="14.25" customHeight="1" x14ac:dyDescent="0.25">
      <c r="A3034" s="15" t="s">
        <v>3174</v>
      </c>
      <c r="B3034" s="16">
        <v>1214</v>
      </c>
      <c r="C3034" s="16">
        <v>142194</v>
      </c>
      <c r="D3034" s="31">
        <v>44760</v>
      </c>
      <c r="E3034" s="16">
        <v>6</v>
      </c>
      <c r="F3034" s="15" t="str">
        <f t="shared" si="47"/>
        <v>1214-142194-44760</v>
      </c>
    </row>
    <row r="3035" spans="1:6" ht="14.25" customHeight="1" x14ac:dyDescent="0.25">
      <c r="A3035" s="15" t="s">
        <v>3175</v>
      </c>
      <c r="B3035" s="16">
        <v>1214</v>
      </c>
      <c r="C3035" s="16">
        <v>142194</v>
      </c>
      <c r="D3035" s="31">
        <v>44767</v>
      </c>
      <c r="E3035" s="16">
        <v>6</v>
      </c>
      <c r="F3035" s="15" t="str">
        <f t="shared" si="47"/>
        <v>1214-142194-44767</v>
      </c>
    </row>
    <row r="3036" spans="1:6" ht="14.25" customHeight="1" x14ac:dyDescent="0.25">
      <c r="A3036" s="15" t="s">
        <v>3176</v>
      </c>
      <c r="B3036" s="16">
        <v>1214</v>
      </c>
      <c r="C3036" s="16">
        <v>142194</v>
      </c>
      <c r="D3036" s="31">
        <v>44774</v>
      </c>
      <c r="E3036" s="16">
        <v>6</v>
      </c>
      <c r="F3036" s="15" t="str">
        <f t="shared" si="47"/>
        <v>1214-142194-44774</v>
      </c>
    </row>
    <row r="3037" spans="1:6" ht="14.25" customHeight="1" x14ac:dyDescent="0.25">
      <c r="A3037" s="15" t="s">
        <v>3177</v>
      </c>
      <c r="B3037" s="16">
        <v>1214</v>
      </c>
      <c r="C3037" s="16">
        <v>142194</v>
      </c>
      <c r="D3037" s="31">
        <v>44781</v>
      </c>
      <c r="E3037" s="16">
        <v>6</v>
      </c>
      <c r="F3037" s="15" t="str">
        <f t="shared" si="47"/>
        <v>1214-142194-44781</v>
      </c>
    </row>
    <row r="3038" spans="1:6" ht="14.25" customHeight="1" x14ac:dyDescent="0.25">
      <c r="A3038" s="15" t="s">
        <v>3178</v>
      </c>
      <c r="B3038" s="16">
        <v>1214</v>
      </c>
      <c r="C3038" s="16">
        <v>142194</v>
      </c>
      <c r="D3038" s="31">
        <v>44788</v>
      </c>
      <c r="E3038" s="16">
        <v>6</v>
      </c>
      <c r="F3038" s="15" t="str">
        <f t="shared" si="47"/>
        <v>1214-142194-44788</v>
      </c>
    </row>
    <row r="3039" spans="1:6" ht="14.25" customHeight="1" x14ac:dyDescent="0.25">
      <c r="A3039" s="15" t="s">
        <v>3179</v>
      </c>
      <c r="B3039" s="16">
        <v>1214</v>
      </c>
      <c r="C3039" s="16">
        <v>149729</v>
      </c>
      <c r="D3039" s="31">
        <v>44739</v>
      </c>
      <c r="E3039" s="16">
        <v>22</v>
      </c>
      <c r="F3039" s="15" t="str">
        <f t="shared" si="47"/>
        <v>1214-149729-44739</v>
      </c>
    </row>
    <row r="3040" spans="1:6" ht="14.25" customHeight="1" x14ac:dyDescent="0.25">
      <c r="A3040" s="15" t="s">
        <v>3180</v>
      </c>
      <c r="B3040" s="16">
        <v>1214</v>
      </c>
      <c r="C3040" s="16">
        <v>149729</v>
      </c>
      <c r="D3040" s="31">
        <v>44746</v>
      </c>
      <c r="E3040" s="16">
        <v>20</v>
      </c>
      <c r="F3040" s="15" t="str">
        <f t="shared" si="47"/>
        <v>1214-149729-44746</v>
      </c>
    </row>
    <row r="3041" spans="1:6" ht="14.25" customHeight="1" x14ac:dyDescent="0.25">
      <c r="A3041" s="15" t="s">
        <v>3181</v>
      </c>
      <c r="B3041" s="16">
        <v>1214</v>
      </c>
      <c r="C3041" s="16">
        <v>149729</v>
      </c>
      <c r="D3041" s="31">
        <v>44753</v>
      </c>
      <c r="E3041" s="16">
        <v>18</v>
      </c>
      <c r="F3041" s="15" t="str">
        <f t="shared" si="47"/>
        <v>1214-149729-44753</v>
      </c>
    </row>
    <row r="3042" spans="1:6" ht="14.25" customHeight="1" x14ac:dyDescent="0.25">
      <c r="A3042" s="15" t="s">
        <v>3182</v>
      </c>
      <c r="B3042" s="16">
        <v>1214</v>
      </c>
      <c r="C3042" s="16">
        <v>149729</v>
      </c>
      <c r="D3042" s="31">
        <v>44760</v>
      </c>
      <c r="E3042" s="16">
        <v>11</v>
      </c>
      <c r="F3042" s="15" t="str">
        <f t="shared" si="47"/>
        <v>1214-149729-44760</v>
      </c>
    </row>
    <row r="3043" spans="1:6" ht="14.25" customHeight="1" x14ac:dyDescent="0.25">
      <c r="A3043" s="15" t="s">
        <v>3183</v>
      </c>
      <c r="B3043" s="16">
        <v>1214</v>
      </c>
      <c r="C3043" s="16">
        <v>149729</v>
      </c>
      <c r="D3043" s="31">
        <v>44767</v>
      </c>
      <c r="E3043" s="16">
        <v>25</v>
      </c>
      <c r="F3043" s="15" t="str">
        <f t="shared" si="47"/>
        <v>1214-149729-44767</v>
      </c>
    </row>
    <row r="3044" spans="1:6" ht="14.25" customHeight="1" x14ac:dyDescent="0.25">
      <c r="A3044" s="15" t="s">
        <v>3184</v>
      </c>
      <c r="B3044" s="16">
        <v>1214</v>
      </c>
      <c r="C3044" s="16">
        <v>149729</v>
      </c>
      <c r="D3044" s="31">
        <v>44774</v>
      </c>
      <c r="E3044" s="16">
        <v>21</v>
      </c>
      <c r="F3044" s="15" t="str">
        <f t="shared" si="47"/>
        <v>1214-149729-44774</v>
      </c>
    </row>
    <row r="3045" spans="1:6" ht="14.25" customHeight="1" x14ac:dyDescent="0.25">
      <c r="A3045" s="15" t="s">
        <v>3185</v>
      </c>
      <c r="B3045" s="16">
        <v>1214</v>
      </c>
      <c r="C3045" s="16">
        <v>149729</v>
      </c>
      <c r="D3045" s="31">
        <v>44781</v>
      </c>
      <c r="E3045" s="16">
        <v>24</v>
      </c>
      <c r="F3045" s="15" t="str">
        <f t="shared" si="47"/>
        <v>1214-149729-44781</v>
      </c>
    </row>
    <row r="3046" spans="1:6" ht="14.25" customHeight="1" x14ac:dyDescent="0.25">
      <c r="A3046" s="15" t="s">
        <v>3186</v>
      </c>
      <c r="B3046" s="16">
        <v>1214</v>
      </c>
      <c r="C3046" s="16">
        <v>149729</v>
      </c>
      <c r="D3046" s="31">
        <v>44788</v>
      </c>
      <c r="E3046" s="16">
        <v>18</v>
      </c>
      <c r="F3046" s="15" t="str">
        <f t="shared" si="47"/>
        <v>1214-149729-44788</v>
      </c>
    </row>
    <row r="3047" spans="1:6" ht="14.25" customHeight="1" x14ac:dyDescent="0.25">
      <c r="A3047" s="15" t="s">
        <v>3187</v>
      </c>
      <c r="B3047" s="16">
        <v>1214</v>
      </c>
      <c r="C3047" s="16">
        <v>149779</v>
      </c>
      <c r="D3047" s="31">
        <v>44739</v>
      </c>
      <c r="E3047" s="16">
        <v>43</v>
      </c>
      <c r="F3047" s="15" t="str">
        <f t="shared" si="47"/>
        <v>1214-149779-44739</v>
      </c>
    </row>
    <row r="3048" spans="1:6" ht="14.25" customHeight="1" x14ac:dyDescent="0.25">
      <c r="A3048" s="15" t="s">
        <v>3188</v>
      </c>
      <c r="B3048" s="16">
        <v>1214</v>
      </c>
      <c r="C3048" s="16">
        <v>149779</v>
      </c>
      <c r="D3048" s="31">
        <v>44746</v>
      </c>
      <c r="E3048" s="16">
        <v>36</v>
      </c>
      <c r="F3048" s="15" t="str">
        <f t="shared" si="47"/>
        <v>1214-149779-44746</v>
      </c>
    </row>
    <row r="3049" spans="1:6" ht="14.25" customHeight="1" x14ac:dyDescent="0.25">
      <c r="A3049" s="15" t="s">
        <v>3189</v>
      </c>
      <c r="B3049" s="16">
        <v>1214</v>
      </c>
      <c r="C3049" s="16">
        <v>149779</v>
      </c>
      <c r="D3049" s="31">
        <v>44753</v>
      </c>
      <c r="E3049" s="16">
        <v>44</v>
      </c>
      <c r="F3049" s="15" t="str">
        <f t="shared" si="47"/>
        <v>1214-149779-44753</v>
      </c>
    </row>
    <row r="3050" spans="1:6" ht="14.25" customHeight="1" x14ac:dyDescent="0.25">
      <c r="A3050" s="15" t="s">
        <v>3190</v>
      </c>
      <c r="B3050" s="16">
        <v>1214</v>
      </c>
      <c r="C3050" s="16">
        <v>149779</v>
      </c>
      <c r="D3050" s="31">
        <v>44760</v>
      </c>
      <c r="E3050" s="16">
        <v>39</v>
      </c>
      <c r="F3050" s="15" t="str">
        <f t="shared" si="47"/>
        <v>1214-149779-44760</v>
      </c>
    </row>
    <row r="3051" spans="1:6" ht="14.25" customHeight="1" x14ac:dyDescent="0.25">
      <c r="A3051" s="15" t="s">
        <v>3191</v>
      </c>
      <c r="B3051" s="16">
        <v>1214</v>
      </c>
      <c r="C3051" s="16">
        <v>149779</v>
      </c>
      <c r="D3051" s="31">
        <v>44767</v>
      </c>
      <c r="E3051" s="16">
        <v>17</v>
      </c>
      <c r="F3051" s="15" t="str">
        <f t="shared" si="47"/>
        <v>1214-149779-44767</v>
      </c>
    </row>
    <row r="3052" spans="1:6" ht="14.25" customHeight="1" x14ac:dyDescent="0.25">
      <c r="A3052" s="15" t="s">
        <v>3192</v>
      </c>
      <c r="B3052" s="16">
        <v>1214</v>
      </c>
      <c r="C3052" s="16">
        <v>149779</v>
      </c>
      <c r="D3052" s="31">
        <v>44774</v>
      </c>
      <c r="E3052" s="16">
        <v>21</v>
      </c>
      <c r="F3052" s="15" t="str">
        <f t="shared" si="47"/>
        <v>1214-149779-44774</v>
      </c>
    </row>
    <row r="3053" spans="1:6" ht="14.25" customHeight="1" x14ac:dyDescent="0.25">
      <c r="A3053" s="15" t="s">
        <v>3193</v>
      </c>
      <c r="B3053" s="16">
        <v>1214</v>
      </c>
      <c r="C3053" s="16">
        <v>149779</v>
      </c>
      <c r="D3053" s="31">
        <v>44781</v>
      </c>
      <c r="E3053" s="16">
        <v>42</v>
      </c>
      <c r="F3053" s="15" t="str">
        <f t="shared" si="47"/>
        <v>1214-149779-44781</v>
      </c>
    </row>
    <row r="3054" spans="1:6" ht="14.25" customHeight="1" x14ac:dyDescent="0.25">
      <c r="A3054" s="15" t="s">
        <v>3194</v>
      </c>
      <c r="B3054" s="16">
        <v>1214</v>
      </c>
      <c r="C3054" s="16">
        <v>149779</v>
      </c>
      <c r="D3054" s="31">
        <v>44788</v>
      </c>
      <c r="E3054" s="16">
        <v>49</v>
      </c>
      <c r="F3054" s="15" t="str">
        <f t="shared" si="47"/>
        <v>1214-149779-44788</v>
      </c>
    </row>
    <row r="3055" spans="1:6" ht="14.25" customHeight="1" x14ac:dyDescent="0.25">
      <c r="A3055" s="15" t="s">
        <v>3195</v>
      </c>
      <c r="B3055" s="16">
        <v>1214</v>
      </c>
      <c r="C3055" s="16">
        <v>189933</v>
      </c>
      <c r="D3055" s="31">
        <v>44739</v>
      </c>
      <c r="E3055" s="16">
        <v>12</v>
      </c>
      <c r="F3055" s="15" t="str">
        <f t="shared" si="47"/>
        <v>1214-189933-44739</v>
      </c>
    </row>
    <row r="3056" spans="1:6" ht="14.25" customHeight="1" x14ac:dyDescent="0.25">
      <c r="A3056" s="15" t="s">
        <v>3196</v>
      </c>
      <c r="B3056" s="16">
        <v>1214</v>
      </c>
      <c r="C3056" s="16">
        <v>189933</v>
      </c>
      <c r="D3056" s="31">
        <v>44746</v>
      </c>
      <c r="E3056" s="16">
        <v>15</v>
      </c>
      <c r="F3056" s="15" t="str">
        <f t="shared" si="47"/>
        <v>1214-189933-44746</v>
      </c>
    </row>
    <row r="3057" spans="1:6" ht="14.25" customHeight="1" x14ac:dyDescent="0.25">
      <c r="A3057" s="15" t="s">
        <v>3197</v>
      </c>
      <c r="B3057" s="16">
        <v>1214</v>
      </c>
      <c r="C3057" s="16">
        <v>189933</v>
      </c>
      <c r="D3057" s="31">
        <v>44753</v>
      </c>
      <c r="E3057" s="16">
        <v>6</v>
      </c>
      <c r="F3057" s="15" t="str">
        <f t="shared" si="47"/>
        <v>1214-189933-44753</v>
      </c>
    </row>
    <row r="3058" spans="1:6" ht="14.25" customHeight="1" x14ac:dyDescent="0.25">
      <c r="A3058" s="15" t="s">
        <v>3198</v>
      </c>
      <c r="B3058" s="16">
        <v>1214</v>
      </c>
      <c r="C3058" s="16">
        <v>189933</v>
      </c>
      <c r="D3058" s="31">
        <v>44760</v>
      </c>
      <c r="E3058" s="16">
        <v>48</v>
      </c>
      <c r="F3058" s="15" t="str">
        <f t="shared" si="47"/>
        <v>1214-189933-44760</v>
      </c>
    </row>
    <row r="3059" spans="1:6" ht="14.25" customHeight="1" x14ac:dyDescent="0.25">
      <c r="A3059" s="15" t="s">
        <v>3199</v>
      </c>
      <c r="B3059" s="16">
        <v>1214</v>
      </c>
      <c r="C3059" s="16">
        <v>189933</v>
      </c>
      <c r="D3059" s="31">
        <v>44767</v>
      </c>
      <c r="E3059" s="16">
        <v>8</v>
      </c>
      <c r="F3059" s="15" t="str">
        <f t="shared" si="47"/>
        <v>1214-189933-44767</v>
      </c>
    </row>
    <row r="3060" spans="1:6" ht="14.25" customHeight="1" x14ac:dyDescent="0.25">
      <c r="A3060" s="15" t="s">
        <v>3200</v>
      </c>
      <c r="B3060" s="16">
        <v>1214</v>
      </c>
      <c r="C3060" s="16">
        <v>189933</v>
      </c>
      <c r="D3060" s="31">
        <v>44774</v>
      </c>
      <c r="E3060" s="16">
        <v>42</v>
      </c>
      <c r="F3060" s="15" t="str">
        <f t="shared" si="47"/>
        <v>1214-189933-44774</v>
      </c>
    </row>
    <row r="3061" spans="1:6" ht="14.25" customHeight="1" x14ac:dyDescent="0.25">
      <c r="A3061" s="15" t="s">
        <v>3201</v>
      </c>
      <c r="B3061" s="16">
        <v>1214</v>
      </c>
      <c r="C3061" s="16">
        <v>189933</v>
      </c>
      <c r="D3061" s="31">
        <v>44781</v>
      </c>
      <c r="E3061" s="16">
        <v>6</v>
      </c>
      <c r="F3061" s="15" t="str">
        <f t="shared" si="47"/>
        <v>1214-189933-44781</v>
      </c>
    </row>
    <row r="3062" spans="1:6" ht="14.25" customHeight="1" x14ac:dyDescent="0.25">
      <c r="A3062" s="15" t="s">
        <v>3202</v>
      </c>
      <c r="B3062" s="16">
        <v>1214</v>
      </c>
      <c r="C3062" s="16">
        <v>189933</v>
      </c>
      <c r="D3062" s="31">
        <v>44788</v>
      </c>
      <c r="E3062" s="16">
        <v>7</v>
      </c>
      <c r="F3062" s="15" t="str">
        <f t="shared" si="47"/>
        <v>1214-189933-44788</v>
      </c>
    </row>
    <row r="3063" spans="1:6" ht="14.25" customHeight="1" x14ac:dyDescent="0.25">
      <c r="A3063" s="15" t="s">
        <v>3203</v>
      </c>
      <c r="B3063" s="16">
        <v>1214</v>
      </c>
      <c r="C3063" s="16">
        <v>202577</v>
      </c>
      <c r="D3063" s="31">
        <v>44739</v>
      </c>
      <c r="E3063" s="16">
        <v>47</v>
      </c>
      <c r="F3063" s="15" t="str">
        <f t="shared" si="47"/>
        <v>1214-202577-44739</v>
      </c>
    </row>
    <row r="3064" spans="1:6" ht="14.25" customHeight="1" x14ac:dyDescent="0.25">
      <c r="A3064" s="15" t="s">
        <v>3204</v>
      </c>
      <c r="B3064" s="16">
        <v>1214</v>
      </c>
      <c r="C3064" s="16">
        <v>202577</v>
      </c>
      <c r="D3064" s="31">
        <v>44746</v>
      </c>
      <c r="E3064" s="16">
        <v>20</v>
      </c>
      <c r="F3064" s="15" t="str">
        <f t="shared" si="47"/>
        <v>1214-202577-44746</v>
      </c>
    </row>
    <row r="3065" spans="1:6" ht="14.25" customHeight="1" x14ac:dyDescent="0.25">
      <c r="A3065" s="15" t="s">
        <v>3205</v>
      </c>
      <c r="B3065" s="16">
        <v>1214</v>
      </c>
      <c r="C3065" s="16">
        <v>202577</v>
      </c>
      <c r="D3065" s="31">
        <v>44753</v>
      </c>
      <c r="E3065" s="16">
        <v>39</v>
      </c>
      <c r="F3065" s="15" t="str">
        <f t="shared" si="47"/>
        <v>1214-202577-44753</v>
      </c>
    </row>
    <row r="3066" spans="1:6" ht="14.25" customHeight="1" x14ac:dyDescent="0.25">
      <c r="A3066" s="15" t="s">
        <v>3206</v>
      </c>
      <c r="B3066" s="16">
        <v>1214</v>
      </c>
      <c r="C3066" s="16">
        <v>202577</v>
      </c>
      <c r="D3066" s="31">
        <v>44760</v>
      </c>
      <c r="E3066" s="16">
        <v>46</v>
      </c>
      <c r="F3066" s="15" t="str">
        <f t="shared" si="47"/>
        <v>1214-202577-44760</v>
      </c>
    </row>
    <row r="3067" spans="1:6" ht="14.25" customHeight="1" x14ac:dyDescent="0.25">
      <c r="A3067" s="15" t="s">
        <v>3207</v>
      </c>
      <c r="B3067" s="16">
        <v>1214</v>
      </c>
      <c r="C3067" s="16">
        <v>202577</v>
      </c>
      <c r="D3067" s="31">
        <v>44767</v>
      </c>
      <c r="E3067" s="16">
        <v>30</v>
      </c>
      <c r="F3067" s="15" t="str">
        <f t="shared" si="47"/>
        <v>1214-202577-44767</v>
      </c>
    </row>
    <row r="3068" spans="1:6" ht="14.25" customHeight="1" x14ac:dyDescent="0.25">
      <c r="A3068" s="15" t="s">
        <v>3208</v>
      </c>
      <c r="B3068" s="16">
        <v>1214</v>
      </c>
      <c r="C3068" s="16">
        <v>202577</v>
      </c>
      <c r="D3068" s="31">
        <v>44774</v>
      </c>
      <c r="E3068" s="16">
        <v>41</v>
      </c>
      <c r="F3068" s="15" t="str">
        <f t="shared" si="47"/>
        <v>1214-202577-44774</v>
      </c>
    </row>
    <row r="3069" spans="1:6" ht="14.25" customHeight="1" x14ac:dyDescent="0.25">
      <c r="A3069" s="15" t="s">
        <v>3209</v>
      </c>
      <c r="B3069" s="16">
        <v>1214</v>
      </c>
      <c r="C3069" s="16">
        <v>202577</v>
      </c>
      <c r="D3069" s="31">
        <v>44781</v>
      </c>
      <c r="E3069" s="16">
        <v>48</v>
      </c>
      <c r="F3069" s="15" t="str">
        <f t="shared" si="47"/>
        <v>1214-202577-44781</v>
      </c>
    </row>
    <row r="3070" spans="1:6" ht="14.25" customHeight="1" x14ac:dyDescent="0.25">
      <c r="A3070" s="15" t="s">
        <v>3210</v>
      </c>
      <c r="B3070" s="16">
        <v>1214</v>
      </c>
      <c r="C3070" s="16">
        <v>202577</v>
      </c>
      <c r="D3070" s="31">
        <v>44788</v>
      </c>
      <c r="E3070" s="16">
        <v>43</v>
      </c>
      <c r="F3070" s="15" t="str">
        <f t="shared" si="47"/>
        <v>1214-202577-44788</v>
      </c>
    </row>
    <row r="3071" spans="1:6" ht="14.25" customHeight="1" x14ac:dyDescent="0.25">
      <c r="A3071" s="15" t="s">
        <v>3211</v>
      </c>
      <c r="B3071" s="16">
        <v>1214</v>
      </c>
      <c r="C3071" s="16">
        <v>234334</v>
      </c>
      <c r="D3071" s="31">
        <v>44739</v>
      </c>
      <c r="E3071" s="16">
        <v>68</v>
      </c>
      <c r="F3071" s="15" t="str">
        <f t="shared" si="47"/>
        <v>1214-234334-44739</v>
      </c>
    </row>
    <row r="3072" spans="1:6" ht="14.25" customHeight="1" x14ac:dyDescent="0.25">
      <c r="A3072" s="15" t="s">
        <v>3212</v>
      </c>
      <c r="B3072" s="16">
        <v>1214</v>
      </c>
      <c r="C3072" s="16">
        <v>234334</v>
      </c>
      <c r="D3072" s="31">
        <v>44746</v>
      </c>
      <c r="E3072" s="16">
        <v>56</v>
      </c>
      <c r="F3072" s="15" t="str">
        <f t="shared" si="47"/>
        <v>1214-234334-44746</v>
      </c>
    </row>
    <row r="3073" spans="1:6" ht="14.25" customHeight="1" x14ac:dyDescent="0.25">
      <c r="A3073" s="15" t="s">
        <v>3213</v>
      </c>
      <c r="B3073" s="16">
        <v>1214</v>
      </c>
      <c r="C3073" s="16">
        <v>234334</v>
      </c>
      <c r="D3073" s="31">
        <v>44753</v>
      </c>
      <c r="E3073" s="16">
        <v>78</v>
      </c>
      <c r="F3073" s="15" t="str">
        <f t="shared" si="47"/>
        <v>1214-234334-44753</v>
      </c>
    </row>
    <row r="3074" spans="1:6" ht="14.25" customHeight="1" x14ac:dyDescent="0.25">
      <c r="A3074" s="15" t="s">
        <v>3214</v>
      </c>
      <c r="B3074" s="16">
        <v>1214</v>
      </c>
      <c r="C3074" s="16">
        <v>234334</v>
      </c>
      <c r="D3074" s="31">
        <v>44760</v>
      </c>
      <c r="E3074" s="16">
        <v>66</v>
      </c>
      <c r="F3074" s="15" t="str">
        <f t="shared" si="47"/>
        <v>1214-234334-44760</v>
      </c>
    </row>
    <row r="3075" spans="1:6" ht="14.25" customHeight="1" x14ac:dyDescent="0.25">
      <c r="A3075" s="15" t="s">
        <v>3215</v>
      </c>
      <c r="B3075" s="16">
        <v>1214</v>
      </c>
      <c r="C3075" s="16">
        <v>234334</v>
      </c>
      <c r="D3075" s="31">
        <v>44767</v>
      </c>
      <c r="E3075" s="16">
        <v>66</v>
      </c>
      <c r="F3075" s="15" t="str">
        <f t="shared" ref="F3075:F3138" si="48">B3075&amp;"-"&amp;C3075&amp;"-"&amp;INT(D3075)</f>
        <v>1214-234334-44767</v>
      </c>
    </row>
    <row r="3076" spans="1:6" ht="14.25" customHeight="1" x14ac:dyDescent="0.25">
      <c r="A3076" s="15" t="s">
        <v>3216</v>
      </c>
      <c r="B3076" s="16">
        <v>1214</v>
      </c>
      <c r="C3076" s="16">
        <v>234334</v>
      </c>
      <c r="D3076" s="31">
        <v>44774</v>
      </c>
      <c r="E3076" s="16">
        <v>70</v>
      </c>
      <c r="F3076" s="15" t="str">
        <f t="shared" si="48"/>
        <v>1214-234334-44774</v>
      </c>
    </row>
    <row r="3077" spans="1:6" ht="14.25" customHeight="1" x14ac:dyDescent="0.25">
      <c r="A3077" s="15" t="s">
        <v>3217</v>
      </c>
      <c r="B3077" s="16">
        <v>1214</v>
      </c>
      <c r="C3077" s="16">
        <v>234334</v>
      </c>
      <c r="D3077" s="31">
        <v>44781</v>
      </c>
      <c r="E3077" s="16">
        <v>29</v>
      </c>
      <c r="F3077" s="15" t="str">
        <f t="shared" si="48"/>
        <v>1214-234334-44781</v>
      </c>
    </row>
    <row r="3078" spans="1:6" ht="14.25" customHeight="1" x14ac:dyDescent="0.25">
      <c r="A3078" s="15" t="s">
        <v>3218</v>
      </c>
      <c r="B3078" s="16">
        <v>1214</v>
      </c>
      <c r="C3078" s="16">
        <v>234334</v>
      </c>
      <c r="D3078" s="31">
        <v>44788</v>
      </c>
      <c r="E3078" s="16">
        <v>54</v>
      </c>
      <c r="F3078" s="15" t="str">
        <f t="shared" si="48"/>
        <v>1214-234334-44788</v>
      </c>
    </row>
    <row r="3079" spans="1:6" ht="14.25" customHeight="1" x14ac:dyDescent="0.25">
      <c r="A3079" s="15" t="s">
        <v>3219</v>
      </c>
      <c r="B3079" s="16">
        <v>1214</v>
      </c>
      <c r="C3079" s="16">
        <v>249444</v>
      </c>
      <c r="D3079" s="31">
        <v>44739</v>
      </c>
      <c r="E3079" s="16">
        <v>333</v>
      </c>
      <c r="F3079" s="15" t="str">
        <f t="shared" si="48"/>
        <v>1214-249444-44739</v>
      </c>
    </row>
    <row r="3080" spans="1:6" ht="14.25" customHeight="1" x14ac:dyDescent="0.25">
      <c r="A3080" s="15" t="s">
        <v>3220</v>
      </c>
      <c r="B3080" s="16">
        <v>1214</v>
      </c>
      <c r="C3080" s="16">
        <v>249444</v>
      </c>
      <c r="D3080" s="31">
        <v>44746</v>
      </c>
      <c r="E3080" s="16">
        <v>150</v>
      </c>
      <c r="F3080" s="15" t="str">
        <f t="shared" si="48"/>
        <v>1214-249444-44746</v>
      </c>
    </row>
    <row r="3081" spans="1:6" ht="14.25" customHeight="1" x14ac:dyDescent="0.25">
      <c r="A3081" s="15" t="s">
        <v>3221</v>
      </c>
      <c r="B3081" s="16">
        <v>1214</v>
      </c>
      <c r="C3081" s="16">
        <v>249444</v>
      </c>
      <c r="D3081" s="31">
        <v>44753</v>
      </c>
      <c r="E3081" s="16">
        <v>330</v>
      </c>
      <c r="F3081" s="15" t="str">
        <f t="shared" si="48"/>
        <v>1214-249444-44753</v>
      </c>
    </row>
    <row r="3082" spans="1:6" ht="14.25" customHeight="1" x14ac:dyDescent="0.25">
      <c r="A3082" s="15" t="s">
        <v>3222</v>
      </c>
      <c r="B3082" s="16">
        <v>1214</v>
      </c>
      <c r="C3082" s="16">
        <v>249444</v>
      </c>
      <c r="D3082" s="31">
        <v>44760</v>
      </c>
      <c r="E3082" s="16">
        <v>445</v>
      </c>
      <c r="F3082" s="15" t="str">
        <f t="shared" si="48"/>
        <v>1214-249444-44760</v>
      </c>
    </row>
    <row r="3083" spans="1:6" ht="14.25" customHeight="1" x14ac:dyDescent="0.25">
      <c r="A3083" s="15" t="s">
        <v>3223</v>
      </c>
      <c r="B3083" s="16">
        <v>1214</v>
      </c>
      <c r="C3083" s="16">
        <v>249444</v>
      </c>
      <c r="D3083" s="31">
        <v>44767</v>
      </c>
      <c r="E3083" s="16">
        <v>252</v>
      </c>
      <c r="F3083" s="15" t="str">
        <f t="shared" si="48"/>
        <v>1214-249444-44767</v>
      </c>
    </row>
    <row r="3084" spans="1:6" ht="14.25" customHeight="1" x14ac:dyDescent="0.25">
      <c r="A3084" s="15" t="s">
        <v>3224</v>
      </c>
      <c r="B3084" s="16">
        <v>1214</v>
      </c>
      <c r="C3084" s="16">
        <v>249444</v>
      </c>
      <c r="D3084" s="31">
        <v>44774</v>
      </c>
      <c r="E3084" s="16">
        <v>342</v>
      </c>
      <c r="F3084" s="15" t="str">
        <f t="shared" si="48"/>
        <v>1214-249444-44774</v>
      </c>
    </row>
    <row r="3085" spans="1:6" ht="14.25" customHeight="1" x14ac:dyDescent="0.25">
      <c r="A3085" s="15" t="s">
        <v>3225</v>
      </c>
      <c r="B3085" s="16">
        <v>1214</v>
      </c>
      <c r="C3085" s="16">
        <v>249444</v>
      </c>
      <c r="D3085" s="31">
        <v>44781</v>
      </c>
      <c r="E3085" s="16">
        <v>110</v>
      </c>
      <c r="F3085" s="15" t="str">
        <f t="shared" si="48"/>
        <v>1214-249444-44781</v>
      </c>
    </row>
    <row r="3086" spans="1:6" ht="14.25" customHeight="1" x14ac:dyDescent="0.25">
      <c r="A3086" s="15" t="s">
        <v>3226</v>
      </c>
      <c r="B3086" s="16">
        <v>1214</v>
      </c>
      <c r="C3086" s="16">
        <v>249444</v>
      </c>
      <c r="D3086" s="31">
        <v>44788</v>
      </c>
      <c r="E3086" s="16">
        <v>114</v>
      </c>
      <c r="F3086" s="15" t="str">
        <f t="shared" si="48"/>
        <v>1214-249444-44788</v>
      </c>
    </row>
    <row r="3087" spans="1:6" ht="14.25" customHeight="1" x14ac:dyDescent="0.25">
      <c r="A3087" s="15" t="s">
        <v>3227</v>
      </c>
      <c r="B3087" s="16">
        <v>1214</v>
      </c>
      <c r="C3087" s="16">
        <v>249795</v>
      </c>
      <c r="D3087" s="31">
        <v>44739</v>
      </c>
      <c r="E3087" s="16">
        <v>84</v>
      </c>
      <c r="F3087" s="15" t="str">
        <f t="shared" si="48"/>
        <v>1214-249795-44739</v>
      </c>
    </row>
    <row r="3088" spans="1:6" ht="14.25" customHeight="1" x14ac:dyDescent="0.25">
      <c r="A3088" s="15" t="s">
        <v>3228</v>
      </c>
      <c r="B3088" s="16">
        <v>1214</v>
      </c>
      <c r="C3088" s="16">
        <v>249795</v>
      </c>
      <c r="D3088" s="31">
        <v>44746</v>
      </c>
      <c r="E3088" s="16">
        <v>21</v>
      </c>
      <c r="F3088" s="15" t="str">
        <f t="shared" si="48"/>
        <v>1214-249795-44746</v>
      </c>
    </row>
    <row r="3089" spans="1:6" ht="14.25" customHeight="1" x14ac:dyDescent="0.25">
      <c r="A3089" s="15" t="s">
        <v>3229</v>
      </c>
      <c r="B3089" s="16">
        <v>1214</v>
      </c>
      <c r="C3089" s="16">
        <v>249795</v>
      </c>
      <c r="D3089" s="31">
        <v>44753</v>
      </c>
      <c r="E3089" s="16">
        <v>25</v>
      </c>
      <c r="F3089" s="15" t="str">
        <f t="shared" si="48"/>
        <v>1214-249795-44753</v>
      </c>
    </row>
    <row r="3090" spans="1:6" ht="14.25" customHeight="1" x14ac:dyDescent="0.25">
      <c r="A3090" s="15" t="s">
        <v>3230</v>
      </c>
      <c r="B3090" s="16">
        <v>1214</v>
      </c>
      <c r="C3090" s="16">
        <v>249795</v>
      </c>
      <c r="D3090" s="31">
        <v>44760</v>
      </c>
      <c r="E3090" s="16">
        <v>33</v>
      </c>
      <c r="F3090" s="15" t="str">
        <f t="shared" si="48"/>
        <v>1214-249795-44760</v>
      </c>
    </row>
    <row r="3091" spans="1:6" ht="14.25" customHeight="1" x14ac:dyDescent="0.25">
      <c r="A3091" s="15" t="s">
        <v>3231</v>
      </c>
      <c r="B3091" s="16">
        <v>1214</v>
      </c>
      <c r="C3091" s="16">
        <v>249795</v>
      </c>
      <c r="D3091" s="31">
        <v>44767</v>
      </c>
      <c r="E3091" s="16">
        <v>109</v>
      </c>
      <c r="F3091" s="15" t="str">
        <f t="shared" si="48"/>
        <v>1214-249795-44767</v>
      </c>
    </row>
    <row r="3092" spans="1:6" ht="14.25" customHeight="1" x14ac:dyDescent="0.25">
      <c r="A3092" s="15" t="s">
        <v>3232</v>
      </c>
      <c r="B3092" s="16">
        <v>1214</v>
      </c>
      <c r="C3092" s="16">
        <v>249795</v>
      </c>
      <c r="D3092" s="31">
        <v>44774</v>
      </c>
      <c r="E3092" s="16">
        <v>63</v>
      </c>
      <c r="F3092" s="15" t="str">
        <f t="shared" si="48"/>
        <v>1214-249795-44774</v>
      </c>
    </row>
    <row r="3093" spans="1:6" ht="14.25" customHeight="1" x14ac:dyDescent="0.25">
      <c r="A3093" s="15" t="s">
        <v>3233</v>
      </c>
      <c r="B3093" s="16">
        <v>1214</v>
      </c>
      <c r="C3093" s="16">
        <v>249795</v>
      </c>
      <c r="D3093" s="31">
        <v>44781</v>
      </c>
      <c r="E3093" s="16">
        <v>21</v>
      </c>
      <c r="F3093" s="15" t="str">
        <f t="shared" si="48"/>
        <v>1214-249795-44781</v>
      </c>
    </row>
    <row r="3094" spans="1:6" ht="14.25" customHeight="1" x14ac:dyDescent="0.25">
      <c r="A3094" s="15" t="s">
        <v>3234</v>
      </c>
      <c r="B3094" s="16">
        <v>1214</v>
      </c>
      <c r="C3094" s="16">
        <v>249795</v>
      </c>
      <c r="D3094" s="31">
        <v>44788</v>
      </c>
      <c r="E3094" s="16">
        <v>65</v>
      </c>
      <c r="F3094" s="15" t="str">
        <f t="shared" si="48"/>
        <v>1214-249795-44788</v>
      </c>
    </row>
    <row r="3095" spans="1:6" ht="14.25" customHeight="1" x14ac:dyDescent="0.25">
      <c r="A3095" s="15" t="s">
        <v>3235</v>
      </c>
      <c r="B3095" s="16">
        <v>1214</v>
      </c>
      <c r="C3095" s="16">
        <v>250979</v>
      </c>
      <c r="D3095" s="31">
        <v>44739</v>
      </c>
      <c r="E3095" s="16">
        <v>125</v>
      </c>
      <c r="F3095" s="15" t="str">
        <f t="shared" si="48"/>
        <v>1214-250979-44739</v>
      </c>
    </row>
    <row r="3096" spans="1:6" ht="14.25" customHeight="1" x14ac:dyDescent="0.25">
      <c r="A3096" s="15" t="s">
        <v>3236</v>
      </c>
      <c r="B3096" s="16">
        <v>1214</v>
      </c>
      <c r="C3096" s="16">
        <v>250979</v>
      </c>
      <c r="D3096" s="31">
        <v>44746</v>
      </c>
      <c r="E3096" s="16">
        <v>118</v>
      </c>
      <c r="F3096" s="15" t="str">
        <f t="shared" si="48"/>
        <v>1214-250979-44746</v>
      </c>
    </row>
    <row r="3097" spans="1:6" ht="14.25" customHeight="1" x14ac:dyDescent="0.25">
      <c r="A3097" s="15" t="s">
        <v>3237</v>
      </c>
      <c r="B3097" s="16">
        <v>1214</v>
      </c>
      <c r="C3097" s="16">
        <v>250979</v>
      </c>
      <c r="D3097" s="31">
        <v>44753</v>
      </c>
      <c r="E3097" s="16">
        <v>134</v>
      </c>
      <c r="F3097" s="15" t="str">
        <f t="shared" si="48"/>
        <v>1214-250979-44753</v>
      </c>
    </row>
    <row r="3098" spans="1:6" ht="14.25" customHeight="1" x14ac:dyDescent="0.25">
      <c r="A3098" s="15" t="s">
        <v>3238</v>
      </c>
      <c r="B3098" s="16">
        <v>1214</v>
      </c>
      <c r="C3098" s="16">
        <v>250979</v>
      </c>
      <c r="D3098" s="31">
        <v>44760</v>
      </c>
      <c r="E3098" s="16">
        <v>48</v>
      </c>
      <c r="F3098" s="15" t="str">
        <f t="shared" si="48"/>
        <v>1214-250979-44760</v>
      </c>
    </row>
    <row r="3099" spans="1:6" ht="14.25" customHeight="1" x14ac:dyDescent="0.25">
      <c r="A3099" s="15" t="s">
        <v>3239</v>
      </c>
      <c r="B3099" s="16">
        <v>1214</v>
      </c>
      <c r="C3099" s="16">
        <v>250979</v>
      </c>
      <c r="D3099" s="31">
        <v>44767</v>
      </c>
      <c r="E3099" s="16">
        <v>49</v>
      </c>
      <c r="F3099" s="15" t="str">
        <f t="shared" si="48"/>
        <v>1214-250979-44767</v>
      </c>
    </row>
    <row r="3100" spans="1:6" ht="14.25" customHeight="1" x14ac:dyDescent="0.25">
      <c r="A3100" s="15" t="s">
        <v>3240</v>
      </c>
      <c r="B3100" s="16">
        <v>1214</v>
      </c>
      <c r="C3100" s="16">
        <v>250979</v>
      </c>
      <c r="D3100" s="31">
        <v>44774</v>
      </c>
      <c r="E3100" s="16">
        <v>173</v>
      </c>
      <c r="F3100" s="15" t="str">
        <f t="shared" si="48"/>
        <v>1214-250979-44774</v>
      </c>
    </row>
    <row r="3101" spans="1:6" ht="14.25" customHeight="1" x14ac:dyDescent="0.25">
      <c r="A3101" s="15" t="s">
        <v>3241</v>
      </c>
      <c r="B3101" s="16">
        <v>1214</v>
      </c>
      <c r="C3101" s="16">
        <v>250979</v>
      </c>
      <c r="D3101" s="31">
        <v>44781</v>
      </c>
      <c r="E3101" s="16">
        <v>152</v>
      </c>
      <c r="F3101" s="15" t="str">
        <f t="shared" si="48"/>
        <v>1214-250979-44781</v>
      </c>
    </row>
    <row r="3102" spans="1:6" ht="14.25" customHeight="1" x14ac:dyDescent="0.25">
      <c r="A3102" s="15" t="s">
        <v>3242</v>
      </c>
      <c r="B3102" s="16">
        <v>1214</v>
      </c>
      <c r="C3102" s="16">
        <v>250979</v>
      </c>
      <c r="D3102" s="31">
        <v>44788</v>
      </c>
      <c r="E3102" s="16">
        <v>120</v>
      </c>
      <c r="F3102" s="15" t="str">
        <f t="shared" si="48"/>
        <v>1214-250979-44788</v>
      </c>
    </row>
    <row r="3103" spans="1:6" ht="14.25" customHeight="1" x14ac:dyDescent="0.25">
      <c r="A3103" s="15" t="s">
        <v>3243</v>
      </c>
      <c r="B3103" s="16">
        <v>1214</v>
      </c>
      <c r="C3103" s="16">
        <v>250981</v>
      </c>
      <c r="D3103" s="31">
        <v>44739</v>
      </c>
      <c r="E3103" s="16">
        <v>40</v>
      </c>
      <c r="F3103" s="15" t="str">
        <f t="shared" si="48"/>
        <v>1214-250981-44739</v>
      </c>
    </row>
    <row r="3104" spans="1:6" ht="14.25" customHeight="1" x14ac:dyDescent="0.25">
      <c r="A3104" s="15" t="s">
        <v>3244</v>
      </c>
      <c r="B3104" s="16">
        <v>1214</v>
      </c>
      <c r="C3104" s="16">
        <v>250981</v>
      </c>
      <c r="D3104" s="31">
        <v>44746</v>
      </c>
      <c r="E3104" s="16">
        <v>53</v>
      </c>
      <c r="F3104" s="15" t="str">
        <f t="shared" si="48"/>
        <v>1214-250981-44746</v>
      </c>
    </row>
    <row r="3105" spans="1:6" ht="14.25" customHeight="1" x14ac:dyDescent="0.25">
      <c r="A3105" s="15" t="s">
        <v>3245</v>
      </c>
      <c r="B3105" s="16">
        <v>1214</v>
      </c>
      <c r="C3105" s="16">
        <v>250981</v>
      </c>
      <c r="D3105" s="31">
        <v>44753</v>
      </c>
      <c r="E3105" s="16">
        <v>13</v>
      </c>
      <c r="F3105" s="15" t="str">
        <f t="shared" si="48"/>
        <v>1214-250981-44753</v>
      </c>
    </row>
    <row r="3106" spans="1:6" ht="14.25" customHeight="1" x14ac:dyDescent="0.25">
      <c r="A3106" s="15" t="s">
        <v>3246</v>
      </c>
      <c r="B3106" s="16">
        <v>1214</v>
      </c>
      <c r="C3106" s="16">
        <v>250981</v>
      </c>
      <c r="D3106" s="31">
        <v>44760</v>
      </c>
      <c r="E3106" s="16">
        <v>11</v>
      </c>
      <c r="F3106" s="15" t="str">
        <f t="shared" si="48"/>
        <v>1214-250981-44760</v>
      </c>
    </row>
    <row r="3107" spans="1:6" ht="14.25" customHeight="1" x14ac:dyDescent="0.25">
      <c r="A3107" s="15" t="s">
        <v>3247</v>
      </c>
      <c r="B3107" s="16">
        <v>1214</v>
      </c>
      <c r="C3107" s="16">
        <v>250981</v>
      </c>
      <c r="D3107" s="31">
        <v>44767</v>
      </c>
      <c r="E3107" s="16">
        <v>45</v>
      </c>
      <c r="F3107" s="15" t="str">
        <f t="shared" si="48"/>
        <v>1214-250981-44767</v>
      </c>
    </row>
    <row r="3108" spans="1:6" ht="14.25" customHeight="1" x14ac:dyDescent="0.25">
      <c r="A3108" s="15" t="s">
        <v>3248</v>
      </c>
      <c r="B3108" s="16">
        <v>1214</v>
      </c>
      <c r="C3108" s="16">
        <v>250981</v>
      </c>
      <c r="D3108" s="31">
        <v>44774</v>
      </c>
      <c r="E3108" s="16">
        <v>50</v>
      </c>
      <c r="F3108" s="15" t="str">
        <f t="shared" si="48"/>
        <v>1214-250981-44774</v>
      </c>
    </row>
    <row r="3109" spans="1:6" ht="14.25" customHeight="1" x14ac:dyDescent="0.25">
      <c r="A3109" s="15" t="s">
        <v>3249</v>
      </c>
      <c r="B3109" s="16">
        <v>1214</v>
      </c>
      <c r="C3109" s="16">
        <v>250981</v>
      </c>
      <c r="D3109" s="31">
        <v>44781</v>
      </c>
      <c r="E3109" s="16">
        <v>13</v>
      </c>
      <c r="F3109" s="15" t="str">
        <f t="shared" si="48"/>
        <v>1214-250981-44781</v>
      </c>
    </row>
    <row r="3110" spans="1:6" ht="14.25" customHeight="1" x14ac:dyDescent="0.25">
      <c r="A3110" s="15" t="s">
        <v>3250</v>
      </c>
      <c r="B3110" s="16">
        <v>1214</v>
      </c>
      <c r="C3110" s="16">
        <v>250981</v>
      </c>
      <c r="D3110" s="31">
        <v>44788</v>
      </c>
      <c r="E3110" s="16">
        <v>10</v>
      </c>
      <c r="F3110" s="15" t="str">
        <f t="shared" si="48"/>
        <v>1214-250981-44788</v>
      </c>
    </row>
    <row r="3111" spans="1:6" ht="14.25" customHeight="1" x14ac:dyDescent="0.25">
      <c r="A3111" s="15" t="s">
        <v>3251</v>
      </c>
      <c r="B3111" s="16">
        <v>1214</v>
      </c>
      <c r="C3111" s="16">
        <v>262294</v>
      </c>
      <c r="D3111" s="31">
        <v>44739</v>
      </c>
      <c r="E3111" s="16">
        <v>44</v>
      </c>
      <c r="F3111" s="15" t="str">
        <f t="shared" si="48"/>
        <v>1214-262294-44739</v>
      </c>
    </row>
    <row r="3112" spans="1:6" ht="14.25" customHeight="1" x14ac:dyDescent="0.25">
      <c r="A3112" s="15" t="s">
        <v>3252</v>
      </c>
      <c r="B3112" s="16">
        <v>1214</v>
      </c>
      <c r="C3112" s="16">
        <v>262294</v>
      </c>
      <c r="D3112" s="31">
        <v>44746</v>
      </c>
      <c r="E3112" s="16">
        <v>17</v>
      </c>
      <c r="F3112" s="15" t="str">
        <f t="shared" si="48"/>
        <v>1214-262294-44746</v>
      </c>
    </row>
    <row r="3113" spans="1:6" ht="14.25" customHeight="1" x14ac:dyDescent="0.25">
      <c r="A3113" s="15" t="s">
        <v>3253</v>
      </c>
      <c r="B3113" s="16">
        <v>1214</v>
      </c>
      <c r="C3113" s="16">
        <v>262294</v>
      </c>
      <c r="D3113" s="31">
        <v>44753</v>
      </c>
      <c r="E3113" s="16">
        <v>20</v>
      </c>
      <c r="F3113" s="15" t="str">
        <f t="shared" si="48"/>
        <v>1214-262294-44753</v>
      </c>
    </row>
    <row r="3114" spans="1:6" ht="14.25" customHeight="1" x14ac:dyDescent="0.25">
      <c r="A3114" s="15" t="s">
        <v>3254</v>
      </c>
      <c r="B3114" s="16">
        <v>1214</v>
      </c>
      <c r="C3114" s="16">
        <v>262294</v>
      </c>
      <c r="D3114" s="31">
        <v>44760</v>
      </c>
      <c r="E3114" s="16">
        <v>17</v>
      </c>
      <c r="F3114" s="15" t="str">
        <f t="shared" si="48"/>
        <v>1214-262294-44760</v>
      </c>
    </row>
    <row r="3115" spans="1:6" ht="14.25" customHeight="1" x14ac:dyDescent="0.25">
      <c r="A3115" s="15" t="s">
        <v>3255</v>
      </c>
      <c r="B3115" s="16">
        <v>1214</v>
      </c>
      <c r="C3115" s="16">
        <v>262294</v>
      </c>
      <c r="D3115" s="31">
        <v>44767</v>
      </c>
      <c r="E3115" s="16">
        <v>42</v>
      </c>
      <c r="F3115" s="15" t="str">
        <f t="shared" si="48"/>
        <v>1214-262294-44767</v>
      </c>
    </row>
    <row r="3116" spans="1:6" ht="14.25" customHeight="1" x14ac:dyDescent="0.25">
      <c r="A3116" s="15" t="s">
        <v>3256</v>
      </c>
      <c r="B3116" s="16">
        <v>1214</v>
      </c>
      <c r="C3116" s="16">
        <v>262294</v>
      </c>
      <c r="D3116" s="31">
        <v>44774</v>
      </c>
      <c r="E3116" s="16">
        <v>47</v>
      </c>
      <c r="F3116" s="15" t="str">
        <f t="shared" si="48"/>
        <v>1214-262294-44774</v>
      </c>
    </row>
    <row r="3117" spans="1:6" ht="14.25" customHeight="1" x14ac:dyDescent="0.25">
      <c r="A3117" s="15" t="s">
        <v>3257</v>
      </c>
      <c r="B3117" s="16">
        <v>1214</v>
      </c>
      <c r="C3117" s="16">
        <v>262294</v>
      </c>
      <c r="D3117" s="31">
        <v>44781</v>
      </c>
      <c r="E3117" s="16">
        <v>39</v>
      </c>
      <c r="F3117" s="15" t="str">
        <f t="shared" si="48"/>
        <v>1214-262294-44781</v>
      </c>
    </row>
    <row r="3118" spans="1:6" ht="14.25" customHeight="1" x14ac:dyDescent="0.25">
      <c r="A3118" s="15" t="s">
        <v>3258</v>
      </c>
      <c r="B3118" s="16">
        <v>1214</v>
      </c>
      <c r="C3118" s="16">
        <v>262294</v>
      </c>
      <c r="D3118" s="31">
        <v>44788</v>
      </c>
      <c r="E3118" s="16">
        <v>37</v>
      </c>
      <c r="F3118" s="15" t="str">
        <f t="shared" si="48"/>
        <v>1214-262294-44788</v>
      </c>
    </row>
    <row r="3119" spans="1:6" ht="14.25" customHeight="1" x14ac:dyDescent="0.25">
      <c r="A3119" s="15" t="s">
        <v>3259</v>
      </c>
      <c r="B3119" s="16">
        <v>1214</v>
      </c>
      <c r="C3119" s="16">
        <v>268831</v>
      </c>
      <c r="D3119" s="31">
        <v>44739</v>
      </c>
      <c r="E3119" s="16">
        <v>646</v>
      </c>
      <c r="F3119" s="15" t="str">
        <f t="shared" si="48"/>
        <v>1214-268831-44739</v>
      </c>
    </row>
    <row r="3120" spans="1:6" ht="14.25" customHeight="1" x14ac:dyDescent="0.25">
      <c r="A3120" s="15" t="s">
        <v>3260</v>
      </c>
      <c r="B3120" s="16">
        <v>1214</v>
      </c>
      <c r="C3120" s="16">
        <v>268831</v>
      </c>
      <c r="D3120" s="31">
        <v>44746</v>
      </c>
      <c r="E3120" s="16">
        <v>153</v>
      </c>
      <c r="F3120" s="15" t="str">
        <f t="shared" si="48"/>
        <v>1214-268831-44746</v>
      </c>
    </row>
    <row r="3121" spans="1:6" ht="14.25" customHeight="1" x14ac:dyDescent="0.25">
      <c r="A3121" s="15" t="s">
        <v>3261</v>
      </c>
      <c r="B3121" s="16">
        <v>1214</v>
      </c>
      <c r="C3121" s="16">
        <v>268831</v>
      </c>
      <c r="D3121" s="31">
        <v>44753</v>
      </c>
      <c r="E3121" s="16">
        <v>149</v>
      </c>
      <c r="F3121" s="15" t="str">
        <f t="shared" si="48"/>
        <v>1214-268831-44753</v>
      </c>
    </row>
    <row r="3122" spans="1:6" ht="14.25" customHeight="1" x14ac:dyDescent="0.25">
      <c r="A3122" s="15" t="s">
        <v>3262</v>
      </c>
      <c r="B3122" s="16">
        <v>1214</v>
      </c>
      <c r="C3122" s="16">
        <v>268831</v>
      </c>
      <c r="D3122" s="31">
        <v>44760</v>
      </c>
      <c r="E3122" s="16">
        <v>717</v>
      </c>
      <c r="F3122" s="15" t="str">
        <f t="shared" si="48"/>
        <v>1214-268831-44760</v>
      </c>
    </row>
    <row r="3123" spans="1:6" ht="14.25" customHeight="1" x14ac:dyDescent="0.25">
      <c r="A3123" s="15" t="s">
        <v>3263</v>
      </c>
      <c r="B3123" s="16">
        <v>1214</v>
      </c>
      <c r="C3123" s="16">
        <v>268831</v>
      </c>
      <c r="D3123" s="31">
        <v>44767</v>
      </c>
      <c r="E3123" s="16">
        <v>204</v>
      </c>
      <c r="F3123" s="15" t="str">
        <f t="shared" si="48"/>
        <v>1214-268831-44767</v>
      </c>
    </row>
    <row r="3124" spans="1:6" ht="14.25" customHeight="1" x14ac:dyDescent="0.25">
      <c r="A3124" s="15" t="s">
        <v>3264</v>
      </c>
      <c r="B3124" s="16">
        <v>1214</v>
      </c>
      <c r="C3124" s="16">
        <v>268831</v>
      </c>
      <c r="D3124" s="31">
        <v>44774</v>
      </c>
      <c r="E3124" s="16">
        <v>642</v>
      </c>
      <c r="F3124" s="15" t="str">
        <f t="shared" si="48"/>
        <v>1214-268831-44774</v>
      </c>
    </row>
    <row r="3125" spans="1:6" ht="14.25" customHeight="1" x14ac:dyDescent="0.25">
      <c r="A3125" s="15" t="s">
        <v>3265</v>
      </c>
      <c r="B3125" s="16">
        <v>1214</v>
      </c>
      <c r="C3125" s="16">
        <v>268831</v>
      </c>
      <c r="D3125" s="31">
        <v>44781</v>
      </c>
      <c r="E3125" s="16">
        <v>462</v>
      </c>
      <c r="F3125" s="15" t="str">
        <f t="shared" si="48"/>
        <v>1214-268831-44781</v>
      </c>
    </row>
    <row r="3126" spans="1:6" ht="14.25" customHeight="1" x14ac:dyDescent="0.25">
      <c r="A3126" s="15" t="s">
        <v>3266</v>
      </c>
      <c r="B3126" s="16">
        <v>1214</v>
      </c>
      <c r="C3126" s="16">
        <v>268831</v>
      </c>
      <c r="D3126" s="31">
        <v>44788</v>
      </c>
      <c r="E3126" s="16">
        <v>191</v>
      </c>
      <c r="F3126" s="15" t="str">
        <f t="shared" si="48"/>
        <v>1214-268831-44788</v>
      </c>
    </row>
    <row r="3127" spans="1:6" ht="14.25" customHeight="1" x14ac:dyDescent="0.25">
      <c r="A3127" s="15" t="s">
        <v>3267</v>
      </c>
      <c r="B3127" s="16">
        <v>1214</v>
      </c>
      <c r="C3127" s="16">
        <v>273701</v>
      </c>
      <c r="D3127" s="31">
        <v>44739</v>
      </c>
      <c r="E3127" s="16">
        <v>42</v>
      </c>
      <c r="F3127" s="15" t="str">
        <f t="shared" si="48"/>
        <v>1214-273701-44739</v>
      </c>
    </row>
    <row r="3128" spans="1:6" ht="14.25" customHeight="1" x14ac:dyDescent="0.25">
      <c r="A3128" s="15" t="s">
        <v>3268</v>
      </c>
      <c r="B3128" s="16">
        <v>1214</v>
      </c>
      <c r="C3128" s="16">
        <v>273701</v>
      </c>
      <c r="D3128" s="31">
        <v>44746</v>
      </c>
      <c r="E3128" s="16">
        <v>28</v>
      </c>
      <c r="F3128" s="15" t="str">
        <f t="shared" si="48"/>
        <v>1214-273701-44746</v>
      </c>
    </row>
    <row r="3129" spans="1:6" ht="14.25" customHeight="1" x14ac:dyDescent="0.25">
      <c r="A3129" s="15" t="s">
        <v>3269</v>
      </c>
      <c r="B3129" s="16">
        <v>1214</v>
      </c>
      <c r="C3129" s="16">
        <v>273701</v>
      </c>
      <c r="D3129" s="31">
        <v>44753</v>
      </c>
      <c r="E3129" s="16">
        <v>23</v>
      </c>
      <c r="F3129" s="15" t="str">
        <f t="shared" si="48"/>
        <v>1214-273701-44753</v>
      </c>
    </row>
    <row r="3130" spans="1:6" ht="14.25" customHeight="1" x14ac:dyDescent="0.25">
      <c r="A3130" s="15" t="s">
        <v>3270</v>
      </c>
      <c r="B3130" s="16">
        <v>1214</v>
      </c>
      <c r="C3130" s="16">
        <v>273701</v>
      </c>
      <c r="D3130" s="31">
        <v>44760</v>
      </c>
      <c r="E3130" s="16">
        <v>50</v>
      </c>
      <c r="F3130" s="15" t="str">
        <f t="shared" si="48"/>
        <v>1214-273701-44760</v>
      </c>
    </row>
    <row r="3131" spans="1:6" ht="14.25" customHeight="1" x14ac:dyDescent="0.25">
      <c r="A3131" s="15" t="s">
        <v>3271</v>
      </c>
      <c r="B3131" s="16">
        <v>1214</v>
      </c>
      <c r="C3131" s="16">
        <v>273701</v>
      </c>
      <c r="D3131" s="31">
        <v>44767</v>
      </c>
      <c r="E3131" s="16">
        <v>33</v>
      </c>
      <c r="F3131" s="15" t="str">
        <f t="shared" si="48"/>
        <v>1214-273701-44767</v>
      </c>
    </row>
    <row r="3132" spans="1:6" ht="14.25" customHeight="1" x14ac:dyDescent="0.25">
      <c r="A3132" s="15" t="s">
        <v>3272</v>
      </c>
      <c r="B3132" s="16">
        <v>1214</v>
      </c>
      <c r="C3132" s="16">
        <v>273701</v>
      </c>
      <c r="D3132" s="31">
        <v>44774</v>
      </c>
      <c r="E3132" s="16">
        <v>48</v>
      </c>
      <c r="F3132" s="15" t="str">
        <f t="shared" si="48"/>
        <v>1214-273701-44774</v>
      </c>
    </row>
    <row r="3133" spans="1:6" ht="14.25" customHeight="1" x14ac:dyDescent="0.25">
      <c r="A3133" s="15" t="s">
        <v>3273</v>
      </c>
      <c r="B3133" s="16">
        <v>1214</v>
      </c>
      <c r="C3133" s="16">
        <v>273701</v>
      </c>
      <c r="D3133" s="31">
        <v>44781</v>
      </c>
      <c r="E3133" s="16">
        <v>52</v>
      </c>
      <c r="F3133" s="15" t="str">
        <f t="shared" si="48"/>
        <v>1214-273701-44781</v>
      </c>
    </row>
    <row r="3134" spans="1:6" ht="14.25" customHeight="1" x14ac:dyDescent="0.25">
      <c r="A3134" s="15" t="s">
        <v>3274</v>
      </c>
      <c r="B3134" s="16">
        <v>1214</v>
      </c>
      <c r="C3134" s="16">
        <v>273701</v>
      </c>
      <c r="D3134" s="31">
        <v>44788</v>
      </c>
      <c r="E3134" s="16">
        <v>48</v>
      </c>
      <c r="F3134" s="15" t="str">
        <f t="shared" si="48"/>
        <v>1214-273701-44788</v>
      </c>
    </row>
    <row r="3135" spans="1:6" ht="14.25" customHeight="1" x14ac:dyDescent="0.25">
      <c r="A3135" s="15" t="s">
        <v>3275</v>
      </c>
      <c r="B3135" s="16">
        <v>1214</v>
      </c>
      <c r="C3135" s="16">
        <v>291726</v>
      </c>
      <c r="D3135" s="31">
        <v>44739</v>
      </c>
      <c r="E3135" s="16">
        <v>5</v>
      </c>
      <c r="F3135" s="15" t="str">
        <f t="shared" si="48"/>
        <v>1214-291726-44739</v>
      </c>
    </row>
    <row r="3136" spans="1:6" ht="14.25" customHeight="1" x14ac:dyDescent="0.25">
      <c r="A3136" s="15" t="s">
        <v>3276</v>
      </c>
      <c r="B3136" s="16">
        <v>1214</v>
      </c>
      <c r="C3136" s="16">
        <v>291726</v>
      </c>
      <c r="D3136" s="31">
        <v>44746</v>
      </c>
      <c r="E3136" s="16">
        <v>33</v>
      </c>
      <c r="F3136" s="15" t="str">
        <f t="shared" si="48"/>
        <v>1214-291726-44746</v>
      </c>
    </row>
    <row r="3137" spans="1:6" ht="14.25" customHeight="1" x14ac:dyDescent="0.25">
      <c r="A3137" s="15" t="s">
        <v>3277</v>
      </c>
      <c r="B3137" s="16">
        <v>1214</v>
      </c>
      <c r="C3137" s="16">
        <v>291726</v>
      </c>
      <c r="D3137" s="31">
        <v>44753</v>
      </c>
      <c r="E3137" s="16">
        <v>46</v>
      </c>
      <c r="F3137" s="15" t="str">
        <f t="shared" si="48"/>
        <v>1214-291726-44753</v>
      </c>
    </row>
    <row r="3138" spans="1:6" ht="14.25" customHeight="1" x14ac:dyDescent="0.25">
      <c r="A3138" s="15" t="s">
        <v>3278</v>
      </c>
      <c r="B3138" s="16">
        <v>1214</v>
      </c>
      <c r="C3138" s="16">
        <v>291726</v>
      </c>
      <c r="D3138" s="31">
        <v>44760</v>
      </c>
      <c r="E3138" s="16">
        <v>33</v>
      </c>
      <c r="F3138" s="15" t="str">
        <f t="shared" si="48"/>
        <v>1214-291726-44760</v>
      </c>
    </row>
    <row r="3139" spans="1:6" ht="14.25" customHeight="1" x14ac:dyDescent="0.25">
      <c r="A3139" s="15" t="s">
        <v>3279</v>
      </c>
      <c r="B3139" s="16">
        <v>1214</v>
      </c>
      <c r="C3139" s="16">
        <v>291726</v>
      </c>
      <c r="D3139" s="31">
        <v>44767</v>
      </c>
      <c r="E3139" s="16">
        <v>27</v>
      </c>
      <c r="F3139" s="15" t="str">
        <f t="shared" ref="F3139:F3202" si="49">B3139&amp;"-"&amp;C3139&amp;"-"&amp;INT(D3139)</f>
        <v>1214-291726-44767</v>
      </c>
    </row>
    <row r="3140" spans="1:6" ht="14.25" customHeight="1" x14ac:dyDescent="0.25">
      <c r="A3140" s="15" t="s">
        <v>3280</v>
      </c>
      <c r="B3140" s="16">
        <v>1214</v>
      </c>
      <c r="C3140" s="16">
        <v>291726</v>
      </c>
      <c r="D3140" s="31">
        <v>44774</v>
      </c>
      <c r="E3140" s="16">
        <v>33</v>
      </c>
      <c r="F3140" s="15" t="str">
        <f t="shared" si="49"/>
        <v>1214-291726-44774</v>
      </c>
    </row>
    <row r="3141" spans="1:6" ht="14.25" customHeight="1" x14ac:dyDescent="0.25">
      <c r="A3141" s="15" t="s">
        <v>3281</v>
      </c>
      <c r="B3141" s="16">
        <v>1214</v>
      </c>
      <c r="C3141" s="16">
        <v>291726</v>
      </c>
      <c r="D3141" s="31">
        <v>44781</v>
      </c>
      <c r="E3141" s="16">
        <v>7</v>
      </c>
      <c r="F3141" s="15" t="str">
        <f t="shared" si="49"/>
        <v>1214-291726-44781</v>
      </c>
    </row>
    <row r="3142" spans="1:6" ht="14.25" customHeight="1" x14ac:dyDescent="0.25">
      <c r="A3142" s="15" t="s">
        <v>3282</v>
      </c>
      <c r="B3142" s="16">
        <v>1214</v>
      </c>
      <c r="C3142" s="16">
        <v>291726</v>
      </c>
      <c r="D3142" s="31">
        <v>44788</v>
      </c>
      <c r="E3142" s="16">
        <v>33</v>
      </c>
      <c r="F3142" s="15" t="str">
        <f t="shared" si="49"/>
        <v>1214-291726-44788</v>
      </c>
    </row>
    <row r="3143" spans="1:6" ht="14.25" customHeight="1" x14ac:dyDescent="0.25">
      <c r="A3143" s="15" t="s">
        <v>3283</v>
      </c>
      <c r="B3143" s="16">
        <v>1214</v>
      </c>
      <c r="C3143" s="16">
        <v>291728</v>
      </c>
      <c r="D3143" s="31">
        <v>44739</v>
      </c>
      <c r="E3143" s="16">
        <v>26</v>
      </c>
      <c r="F3143" s="15" t="str">
        <f t="shared" si="49"/>
        <v>1214-291728-44739</v>
      </c>
    </row>
    <row r="3144" spans="1:6" ht="14.25" customHeight="1" x14ac:dyDescent="0.25">
      <c r="A3144" s="15" t="s">
        <v>3284</v>
      </c>
      <c r="B3144" s="16">
        <v>1214</v>
      </c>
      <c r="C3144" s="16">
        <v>291728</v>
      </c>
      <c r="D3144" s="31">
        <v>44746</v>
      </c>
      <c r="E3144" s="16">
        <v>33</v>
      </c>
      <c r="F3144" s="15" t="str">
        <f t="shared" si="49"/>
        <v>1214-291728-44746</v>
      </c>
    </row>
    <row r="3145" spans="1:6" ht="14.25" customHeight="1" x14ac:dyDescent="0.25">
      <c r="A3145" s="15" t="s">
        <v>3285</v>
      </c>
      <c r="B3145" s="16">
        <v>1214</v>
      </c>
      <c r="C3145" s="16">
        <v>291728</v>
      </c>
      <c r="D3145" s="31">
        <v>44753</v>
      </c>
      <c r="E3145" s="16">
        <v>27</v>
      </c>
      <c r="F3145" s="15" t="str">
        <f t="shared" si="49"/>
        <v>1214-291728-44753</v>
      </c>
    </row>
    <row r="3146" spans="1:6" ht="14.25" customHeight="1" x14ac:dyDescent="0.25">
      <c r="A3146" s="15" t="s">
        <v>3286</v>
      </c>
      <c r="B3146" s="16">
        <v>1214</v>
      </c>
      <c r="C3146" s="16">
        <v>291728</v>
      </c>
      <c r="D3146" s="31">
        <v>44760</v>
      </c>
      <c r="E3146" s="16">
        <v>31</v>
      </c>
      <c r="F3146" s="15" t="str">
        <f t="shared" si="49"/>
        <v>1214-291728-44760</v>
      </c>
    </row>
    <row r="3147" spans="1:6" ht="14.25" customHeight="1" x14ac:dyDescent="0.25">
      <c r="A3147" s="15" t="s">
        <v>3287</v>
      </c>
      <c r="B3147" s="16">
        <v>1214</v>
      </c>
      <c r="C3147" s="16">
        <v>291728</v>
      </c>
      <c r="D3147" s="31">
        <v>44767</v>
      </c>
      <c r="E3147" s="16">
        <v>14</v>
      </c>
      <c r="F3147" s="15" t="str">
        <f t="shared" si="49"/>
        <v>1214-291728-44767</v>
      </c>
    </row>
    <row r="3148" spans="1:6" ht="14.25" customHeight="1" x14ac:dyDescent="0.25">
      <c r="A3148" s="15" t="s">
        <v>3288</v>
      </c>
      <c r="B3148" s="16">
        <v>1214</v>
      </c>
      <c r="C3148" s="16">
        <v>291728</v>
      </c>
      <c r="D3148" s="31">
        <v>44774</v>
      </c>
      <c r="E3148" s="16">
        <v>29</v>
      </c>
      <c r="F3148" s="15" t="str">
        <f t="shared" si="49"/>
        <v>1214-291728-44774</v>
      </c>
    </row>
    <row r="3149" spans="1:6" ht="14.25" customHeight="1" x14ac:dyDescent="0.25">
      <c r="A3149" s="15" t="s">
        <v>3289</v>
      </c>
      <c r="B3149" s="16">
        <v>1214</v>
      </c>
      <c r="C3149" s="16">
        <v>291728</v>
      </c>
      <c r="D3149" s="31">
        <v>44781</v>
      </c>
      <c r="E3149" s="16">
        <v>24</v>
      </c>
      <c r="F3149" s="15" t="str">
        <f t="shared" si="49"/>
        <v>1214-291728-44781</v>
      </c>
    </row>
    <row r="3150" spans="1:6" ht="14.25" customHeight="1" x14ac:dyDescent="0.25">
      <c r="A3150" s="15" t="s">
        <v>3290</v>
      </c>
      <c r="B3150" s="16">
        <v>1214</v>
      </c>
      <c r="C3150" s="16">
        <v>291728</v>
      </c>
      <c r="D3150" s="31">
        <v>44788</v>
      </c>
      <c r="E3150" s="16">
        <v>27</v>
      </c>
      <c r="F3150" s="15" t="str">
        <f t="shared" si="49"/>
        <v>1214-291728-44788</v>
      </c>
    </row>
    <row r="3151" spans="1:6" ht="14.25" customHeight="1" x14ac:dyDescent="0.25">
      <c r="A3151" s="15" t="s">
        <v>3291</v>
      </c>
      <c r="B3151" s="16">
        <v>1214</v>
      </c>
      <c r="C3151" s="16">
        <v>300380</v>
      </c>
      <c r="D3151" s="31">
        <v>44739</v>
      </c>
      <c r="E3151" s="16">
        <v>56</v>
      </c>
      <c r="F3151" s="15" t="str">
        <f t="shared" si="49"/>
        <v>1214-300380-44739</v>
      </c>
    </row>
    <row r="3152" spans="1:6" ht="14.25" customHeight="1" x14ac:dyDescent="0.25">
      <c r="A3152" s="15" t="s">
        <v>3292</v>
      </c>
      <c r="B3152" s="16">
        <v>1214</v>
      </c>
      <c r="C3152" s="16">
        <v>300380</v>
      </c>
      <c r="D3152" s="31">
        <v>44746</v>
      </c>
      <c r="E3152" s="16">
        <v>56</v>
      </c>
      <c r="F3152" s="15" t="str">
        <f t="shared" si="49"/>
        <v>1214-300380-44746</v>
      </c>
    </row>
    <row r="3153" spans="1:6" ht="14.25" customHeight="1" x14ac:dyDescent="0.25">
      <c r="A3153" s="15" t="s">
        <v>3293</v>
      </c>
      <c r="B3153" s="16">
        <v>1214</v>
      </c>
      <c r="C3153" s="16">
        <v>300380</v>
      </c>
      <c r="D3153" s="31">
        <v>44753</v>
      </c>
      <c r="E3153" s="16">
        <v>55</v>
      </c>
      <c r="F3153" s="15" t="str">
        <f t="shared" si="49"/>
        <v>1214-300380-44753</v>
      </c>
    </row>
    <row r="3154" spans="1:6" ht="14.25" customHeight="1" x14ac:dyDescent="0.25">
      <c r="A3154" s="15" t="s">
        <v>3294</v>
      </c>
      <c r="B3154" s="16">
        <v>1214</v>
      </c>
      <c r="C3154" s="16">
        <v>300380</v>
      </c>
      <c r="D3154" s="31">
        <v>44760</v>
      </c>
      <c r="E3154" s="16">
        <v>56</v>
      </c>
      <c r="F3154" s="15" t="str">
        <f t="shared" si="49"/>
        <v>1214-300380-44760</v>
      </c>
    </row>
    <row r="3155" spans="1:6" ht="14.25" customHeight="1" x14ac:dyDescent="0.25">
      <c r="A3155" s="15" t="s">
        <v>3295</v>
      </c>
      <c r="B3155" s="16">
        <v>1214</v>
      </c>
      <c r="C3155" s="16">
        <v>300380</v>
      </c>
      <c r="D3155" s="31">
        <v>44767</v>
      </c>
      <c r="E3155" s="16">
        <v>56</v>
      </c>
      <c r="F3155" s="15" t="str">
        <f t="shared" si="49"/>
        <v>1214-300380-44767</v>
      </c>
    </row>
    <row r="3156" spans="1:6" ht="14.25" customHeight="1" x14ac:dyDescent="0.25">
      <c r="A3156" s="15" t="s">
        <v>3296</v>
      </c>
      <c r="B3156" s="16">
        <v>1214</v>
      </c>
      <c r="C3156" s="16">
        <v>300380</v>
      </c>
      <c r="D3156" s="31">
        <v>44774</v>
      </c>
      <c r="E3156" s="16">
        <v>56</v>
      </c>
      <c r="F3156" s="15" t="str">
        <f t="shared" si="49"/>
        <v>1214-300380-44774</v>
      </c>
    </row>
    <row r="3157" spans="1:6" ht="14.25" customHeight="1" x14ac:dyDescent="0.25">
      <c r="A3157" s="15" t="s">
        <v>3297</v>
      </c>
      <c r="B3157" s="16">
        <v>1214</v>
      </c>
      <c r="C3157" s="16">
        <v>300380</v>
      </c>
      <c r="D3157" s="31">
        <v>44781</v>
      </c>
      <c r="E3157" s="16">
        <v>54</v>
      </c>
      <c r="F3157" s="15" t="str">
        <f t="shared" si="49"/>
        <v>1214-300380-44781</v>
      </c>
    </row>
    <row r="3158" spans="1:6" ht="14.25" customHeight="1" x14ac:dyDescent="0.25">
      <c r="A3158" s="15" t="s">
        <v>3298</v>
      </c>
      <c r="B3158" s="16">
        <v>1214</v>
      </c>
      <c r="C3158" s="16">
        <v>300380</v>
      </c>
      <c r="D3158" s="31">
        <v>44788</v>
      </c>
      <c r="E3158" s="16">
        <v>56</v>
      </c>
      <c r="F3158" s="15" t="str">
        <f t="shared" si="49"/>
        <v>1214-300380-44788</v>
      </c>
    </row>
    <row r="3159" spans="1:6" ht="14.25" customHeight="1" x14ac:dyDescent="0.25">
      <c r="A3159" s="15" t="s">
        <v>3299</v>
      </c>
      <c r="B3159" s="16">
        <v>1214</v>
      </c>
      <c r="C3159" s="16">
        <v>571521</v>
      </c>
      <c r="D3159" s="31">
        <v>44739</v>
      </c>
      <c r="E3159" s="16">
        <v>28</v>
      </c>
      <c r="F3159" s="15" t="str">
        <f t="shared" si="49"/>
        <v>1214-571521-44739</v>
      </c>
    </row>
    <row r="3160" spans="1:6" ht="14.25" customHeight="1" x14ac:dyDescent="0.25">
      <c r="A3160" s="15" t="s">
        <v>3300</v>
      </c>
      <c r="B3160" s="16">
        <v>1214</v>
      </c>
      <c r="C3160" s="16">
        <v>571521</v>
      </c>
      <c r="D3160" s="31">
        <v>44746</v>
      </c>
      <c r="E3160" s="16">
        <v>69</v>
      </c>
      <c r="F3160" s="15" t="str">
        <f t="shared" si="49"/>
        <v>1214-571521-44746</v>
      </c>
    </row>
    <row r="3161" spans="1:6" ht="14.25" customHeight="1" x14ac:dyDescent="0.25">
      <c r="A3161" s="15" t="s">
        <v>3301</v>
      </c>
      <c r="B3161" s="16">
        <v>1214</v>
      </c>
      <c r="C3161" s="16">
        <v>571521</v>
      </c>
      <c r="D3161" s="31">
        <v>44753</v>
      </c>
      <c r="E3161" s="16">
        <v>56</v>
      </c>
      <c r="F3161" s="15" t="str">
        <f t="shared" si="49"/>
        <v>1214-571521-44753</v>
      </c>
    </row>
    <row r="3162" spans="1:6" ht="14.25" customHeight="1" x14ac:dyDescent="0.25">
      <c r="A3162" s="15" t="s">
        <v>3302</v>
      </c>
      <c r="B3162" s="16">
        <v>1214</v>
      </c>
      <c r="C3162" s="16">
        <v>571521</v>
      </c>
      <c r="D3162" s="31">
        <v>44760</v>
      </c>
      <c r="E3162" s="16">
        <v>25</v>
      </c>
      <c r="F3162" s="15" t="str">
        <f t="shared" si="49"/>
        <v>1214-571521-44760</v>
      </c>
    </row>
    <row r="3163" spans="1:6" ht="14.25" customHeight="1" x14ac:dyDescent="0.25">
      <c r="A3163" s="15" t="s">
        <v>3303</v>
      </c>
      <c r="B3163" s="16">
        <v>1214</v>
      </c>
      <c r="C3163" s="16">
        <v>571521</v>
      </c>
      <c r="D3163" s="31">
        <v>44767</v>
      </c>
      <c r="E3163" s="16">
        <v>59</v>
      </c>
      <c r="F3163" s="15" t="str">
        <f t="shared" si="49"/>
        <v>1214-571521-44767</v>
      </c>
    </row>
    <row r="3164" spans="1:6" ht="14.25" customHeight="1" x14ac:dyDescent="0.25">
      <c r="A3164" s="15" t="s">
        <v>3304</v>
      </c>
      <c r="B3164" s="16">
        <v>1214</v>
      </c>
      <c r="C3164" s="16">
        <v>571521</v>
      </c>
      <c r="D3164" s="31">
        <v>44774</v>
      </c>
      <c r="E3164" s="16">
        <v>18</v>
      </c>
      <c r="F3164" s="15" t="str">
        <f t="shared" si="49"/>
        <v>1214-571521-44774</v>
      </c>
    </row>
    <row r="3165" spans="1:6" ht="14.25" customHeight="1" x14ac:dyDescent="0.25">
      <c r="A3165" s="15" t="s">
        <v>3305</v>
      </c>
      <c r="B3165" s="16">
        <v>1214</v>
      </c>
      <c r="C3165" s="16">
        <v>571521</v>
      </c>
      <c r="D3165" s="31">
        <v>44781</v>
      </c>
      <c r="E3165" s="16">
        <v>25</v>
      </c>
      <c r="F3165" s="15" t="str">
        <f t="shared" si="49"/>
        <v>1214-571521-44781</v>
      </c>
    </row>
    <row r="3166" spans="1:6" ht="14.25" customHeight="1" x14ac:dyDescent="0.25">
      <c r="A3166" s="15" t="s">
        <v>3306</v>
      </c>
      <c r="B3166" s="16">
        <v>1214</v>
      </c>
      <c r="C3166" s="16">
        <v>571521</v>
      </c>
      <c r="D3166" s="31">
        <v>44788</v>
      </c>
      <c r="E3166" s="16">
        <v>67</v>
      </c>
      <c r="F3166" s="15" t="str">
        <f t="shared" si="49"/>
        <v>1214-571521-44788</v>
      </c>
    </row>
    <row r="3167" spans="1:6" ht="14.25" customHeight="1" x14ac:dyDescent="0.25">
      <c r="A3167" s="15" t="s">
        <v>3307</v>
      </c>
      <c r="B3167" s="16">
        <v>1214</v>
      </c>
      <c r="C3167" s="16">
        <v>614993</v>
      </c>
      <c r="D3167" s="31">
        <v>44739</v>
      </c>
      <c r="E3167" s="16">
        <v>30</v>
      </c>
      <c r="F3167" s="15" t="str">
        <f t="shared" si="49"/>
        <v>1214-614993-44739</v>
      </c>
    </row>
    <row r="3168" spans="1:6" ht="14.25" customHeight="1" x14ac:dyDescent="0.25">
      <c r="A3168" s="15" t="s">
        <v>3308</v>
      </c>
      <c r="B3168" s="16">
        <v>1214</v>
      </c>
      <c r="C3168" s="16">
        <v>614993</v>
      </c>
      <c r="D3168" s="31">
        <v>44746</v>
      </c>
      <c r="E3168" s="16">
        <v>59</v>
      </c>
      <c r="F3168" s="15" t="str">
        <f t="shared" si="49"/>
        <v>1214-614993-44746</v>
      </c>
    </row>
    <row r="3169" spans="1:6" ht="14.25" customHeight="1" x14ac:dyDescent="0.25">
      <c r="A3169" s="15" t="s">
        <v>3309</v>
      </c>
      <c r="B3169" s="16">
        <v>1214</v>
      </c>
      <c r="C3169" s="16">
        <v>614993</v>
      </c>
      <c r="D3169" s="31">
        <v>44753</v>
      </c>
      <c r="E3169" s="16">
        <v>48</v>
      </c>
      <c r="F3169" s="15" t="str">
        <f t="shared" si="49"/>
        <v>1214-614993-44753</v>
      </c>
    </row>
    <row r="3170" spans="1:6" ht="14.25" customHeight="1" x14ac:dyDescent="0.25">
      <c r="A3170" s="15" t="s">
        <v>3310</v>
      </c>
      <c r="B3170" s="16">
        <v>1214</v>
      </c>
      <c r="C3170" s="16">
        <v>614993</v>
      </c>
      <c r="D3170" s="31">
        <v>44760</v>
      </c>
      <c r="E3170" s="16">
        <v>44</v>
      </c>
      <c r="F3170" s="15" t="str">
        <f t="shared" si="49"/>
        <v>1214-614993-44760</v>
      </c>
    </row>
    <row r="3171" spans="1:6" ht="14.25" customHeight="1" x14ac:dyDescent="0.25">
      <c r="A3171" s="15" t="s">
        <v>3311</v>
      </c>
      <c r="B3171" s="16">
        <v>1214</v>
      </c>
      <c r="C3171" s="16">
        <v>614993</v>
      </c>
      <c r="D3171" s="31">
        <v>44767</v>
      </c>
      <c r="E3171" s="16">
        <v>16</v>
      </c>
      <c r="F3171" s="15" t="str">
        <f t="shared" si="49"/>
        <v>1214-614993-44767</v>
      </c>
    </row>
    <row r="3172" spans="1:6" ht="14.25" customHeight="1" x14ac:dyDescent="0.25">
      <c r="A3172" s="15" t="s">
        <v>3312</v>
      </c>
      <c r="B3172" s="16">
        <v>1214</v>
      </c>
      <c r="C3172" s="16">
        <v>614993</v>
      </c>
      <c r="D3172" s="31">
        <v>44774</v>
      </c>
      <c r="E3172" s="16">
        <v>61</v>
      </c>
      <c r="F3172" s="15" t="str">
        <f t="shared" si="49"/>
        <v>1214-614993-44774</v>
      </c>
    </row>
    <row r="3173" spans="1:6" ht="14.25" customHeight="1" x14ac:dyDescent="0.25">
      <c r="A3173" s="15" t="s">
        <v>3313</v>
      </c>
      <c r="B3173" s="16">
        <v>1214</v>
      </c>
      <c r="C3173" s="16">
        <v>614993</v>
      </c>
      <c r="D3173" s="31">
        <v>44781</v>
      </c>
      <c r="E3173" s="16">
        <v>30</v>
      </c>
      <c r="F3173" s="15" t="str">
        <f t="shared" si="49"/>
        <v>1214-614993-44781</v>
      </c>
    </row>
    <row r="3174" spans="1:6" ht="14.25" customHeight="1" x14ac:dyDescent="0.25">
      <c r="A3174" s="15" t="s">
        <v>3314</v>
      </c>
      <c r="B3174" s="16">
        <v>1214</v>
      </c>
      <c r="C3174" s="16">
        <v>614993</v>
      </c>
      <c r="D3174" s="31">
        <v>44788</v>
      </c>
      <c r="E3174" s="16">
        <v>48</v>
      </c>
      <c r="F3174" s="15" t="str">
        <f t="shared" si="49"/>
        <v>1214-614993-44788</v>
      </c>
    </row>
    <row r="3175" spans="1:6" ht="14.25" customHeight="1" x14ac:dyDescent="0.25">
      <c r="A3175" s="15" t="s">
        <v>3315</v>
      </c>
      <c r="B3175" s="16">
        <v>1216</v>
      </c>
      <c r="C3175" s="16">
        <v>23393</v>
      </c>
      <c r="D3175" s="31">
        <v>32874</v>
      </c>
      <c r="E3175" s="16">
        <v>196</v>
      </c>
      <c r="F3175" s="15" t="str">
        <f t="shared" si="49"/>
        <v>1216-23393-32874</v>
      </c>
    </row>
    <row r="3176" spans="1:6" ht="14.25" customHeight="1" x14ac:dyDescent="0.25">
      <c r="A3176" s="15" t="s">
        <v>3316</v>
      </c>
      <c r="B3176" s="16">
        <v>1216</v>
      </c>
      <c r="C3176" s="16">
        <v>23393</v>
      </c>
      <c r="D3176" s="31">
        <v>44739</v>
      </c>
      <c r="E3176" s="16">
        <v>131</v>
      </c>
      <c r="F3176" s="15" t="str">
        <f t="shared" si="49"/>
        <v>1216-23393-44739</v>
      </c>
    </row>
    <row r="3177" spans="1:6" ht="14.25" customHeight="1" x14ac:dyDescent="0.25">
      <c r="A3177" s="15" t="s">
        <v>3317</v>
      </c>
      <c r="B3177" s="16">
        <v>1216</v>
      </c>
      <c r="C3177" s="16">
        <v>23393</v>
      </c>
      <c r="D3177" s="31">
        <v>44746</v>
      </c>
      <c r="E3177" s="16">
        <v>137</v>
      </c>
      <c r="F3177" s="15" t="str">
        <f t="shared" si="49"/>
        <v>1216-23393-44746</v>
      </c>
    </row>
    <row r="3178" spans="1:6" ht="14.25" customHeight="1" x14ac:dyDescent="0.25">
      <c r="A3178" s="15" t="s">
        <v>3318</v>
      </c>
      <c r="B3178" s="16">
        <v>1216</v>
      </c>
      <c r="C3178" s="16">
        <v>23393</v>
      </c>
      <c r="D3178" s="31">
        <v>44753</v>
      </c>
      <c r="E3178" s="16">
        <v>235</v>
      </c>
      <c r="F3178" s="15" t="str">
        <f t="shared" si="49"/>
        <v>1216-23393-44753</v>
      </c>
    </row>
    <row r="3179" spans="1:6" ht="14.25" customHeight="1" x14ac:dyDescent="0.25">
      <c r="A3179" s="15" t="s">
        <v>3319</v>
      </c>
      <c r="B3179" s="16">
        <v>1216</v>
      </c>
      <c r="C3179" s="16">
        <v>23393</v>
      </c>
      <c r="D3179" s="31">
        <v>44760</v>
      </c>
      <c r="E3179" s="16">
        <v>182</v>
      </c>
      <c r="F3179" s="15" t="str">
        <f t="shared" si="49"/>
        <v>1216-23393-44760</v>
      </c>
    </row>
    <row r="3180" spans="1:6" ht="14.25" customHeight="1" x14ac:dyDescent="0.25">
      <c r="A3180" s="15" t="s">
        <v>3320</v>
      </c>
      <c r="B3180" s="16">
        <v>1216</v>
      </c>
      <c r="C3180" s="16">
        <v>23393</v>
      </c>
      <c r="D3180" s="31">
        <v>44767</v>
      </c>
      <c r="E3180" s="16">
        <v>208</v>
      </c>
      <c r="F3180" s="15" t="str">
        <f t="shared" si="49"/>
        <v>1216-23393-44767</v>
      </c>
    </row>
    <row r="3181" spans="1:6" ht="14.25" customHeight="1" x14ac:dyDescent="0.25">
      <c r="A3181" s="15" t="s">
        <v>3321</v>
      </c>
      <c r="B3181" s="16">
        <v>1216</v>
      </c>
      <c r="C3181" s="16">
        <v>23393</v>
      </c>
      <c r="D3181" s="31">
        <v>44774</v>
      </c>
      <c r="E3181" s="16">
        <v>243</v>
      </c>
      <c r="F3181" s="15" t="str">
        <f t="shared" si="49"/>
        <v>1216-23393-44774</v>
      </c>
    </row>
    <row r="3182" spans="1:6" ht="14.25" customHeight="1" x14ac:dyDescent="0.25">
      <c r="A3182" s="15" t="s">
        <v>3322</v>
      </c>
      <c r="B3182" s="16">
        <v>1216</v>
      </c>
      <c r="C3182" s="16">
        <v>23393</v>
      </c>
      <c r="D3182" s="31">
        <v>44781</v>
      </c>
      <c r="E3182" s="16">
        <v>130</v>
      </c>
      <c r="F3182" s="15" t="str">
        <f t="shared" si="49"/>
        <v>1216-23393-44781</v>
      </c>
    </row>
    <row r="3183" spans="1:6" ht="14.25" customHeight="1" x14ac:dyDescent="0.25">
      <c r="A3183" s="15" t="s">
        <v>3323</v>
      </c>
      <c r="B3183" s="16">
        <v>1216</v>
      </c>
      <c r="C3183" s="16">
        <v>23393</v>
      </c>
      <c r="D3183" s="31">
        <v>44788</v>
      </c>
      <c r="E3183" s="16">
        <v>225</v>
      </c>
      <c r="F3183" s="15" t="str">
        <f t="shared" si="49"/>
        <v>1216-23393-44788</v>
      </c>
    </row>
    <row r="3184" spans="1:6" ht="14.25" customHeight="1" x14ac:dyDescent="0.25">
      <c r="A3184" s="15" t="s">
        <v>3324</v>
      </c>
      <c r="B3184" s="16">
        <v>1216</v>
      </c>
      <c r="C3184" s="16">
        <v>26764</v>
      </c>
      <c r="D3184" s="31">
        <v>44739</v>
      </c>
      <c r="E3184" s="16">
        <v>59</v>
      </c>
      <c r="F3184" s="15" t="str">
        <f t="shared" si="49"/>
        <v>1216-26764-44739</v>
      </c>
    </row>
    <row r="3185" spans="1:6" ht="14.25" customHeight="1" x14ac:dyDescent="0.25">
      <c r="A3185" s="15" t="s">
        <v>3325</v>
      </c>
      <c r="B3185" s="16">
        <v>1216</v>
      </c>
      <c r="C3185" s="16">
        <v>26764</v>
      </c>
      <c r="D3185" s="31">
        <v>44746</v>
      </c>
      <c r="E3185" s="16">
        <v>65</v>
      </c>
      <c r="F3185" s="15" t="str">
        <f t="shared" si="49"/>
        <v>1216-26764-44746</v>
      </c>
    </row>
    <row r="3186" spans="1:6" ht="14.25" customHeight="1" x14ac:dyDescent="0.25">
      <c r="A3186" s="15" t="s">
        <v>3326</v>
      </c>
      <c r="B3186" s="16">
        <v>1216</v>
      </c>
      <c r="C3186" s="16">
        <v>26764</v>
      </c>
      <c r="D3186" s="31">
        <v>44753</v>
      </c>
      <c r="E3186" s="16">
        <v>38</v>
      </c>
      <c r="F3186" s="15" t="str">
        <f t="shared" si="49"/>
        <v>1216-26764-44753</v>
      </c>
    </row>
    <row r="3187" spans="1:6" ht="14.25" customHeight="1" x14ac:dyDescent="0.25">
      <c r="A3187" s="15" t="s">
        <v>3327</v>
      </c>
      <c r="B3187" s="16">
        <v>1216</v>
      </c>
      <c r="C3187" s="16">
        <v>26764</v>
      </c>
      <c r="D3187" s="31">
        <v>44760</v>
      </c>
      <c r="E3187" s="16">
        <v>63</v>
      </c>
      <c r="F3187" s="15" t="str">
        <f t="shared" si="49"/>
        <v>1216-26764-44760</v>
      </c>
    </row>
    <row r="3188" spans="1:6" ht="14.25" customHeight="1" x14ac:dyDescent="0.25">
      <c r="A3188" s="15" t="s">
        <v>3328</v>
      </c>
      <c r="B3188" s="16">
        <v>1216</v>
      </c>
      <c r="C3188" s="16">
        <v>26764</v>
      </c>
      <c r="D3188" s="31">
        <v>44767</v>
      </c>
      <c r="E3188" s="16">
        <v>69</v>
      </c>
      <c r="F3188" s="15" t="str">
        <f t="shared" si="49"/>
        <v>1216-26764-44767</v>
      </c>
    </row>
    <row r="3189" spans="1:6" ht="14.25" customHeight="1" x14ac:dyDescent="0.25">
      <c r="A3189" s="15" t="s">
        <v>3329</v>
      </c>
      <c r="B3189" s="16">
        <v>1216</v>
      </c>
      <c r="C3189" s="16">
        <v>26764</v>
      </c>
      <c r="D3189" s="31">
        <v>44774</v>
      </c>
      <c r="E3189" s="16">
        <v>54</v>
      </c>
      <c r="F3189" s="15" t="str">
        <f t="shared" si="49"/>
        <v>1216-26764-44774</v>
      </c>
    </row>
    <row r="3190" spans="1:6" ht="14.25" customHeight="1" x14ac:dyDescent="0.25">
      <c r="A3190" s="15" t="s">
        <v>3330</v>
      </c>
      <c r="B3190" s="16">
        <v>1216</v>
      </c>
      <c r="C3190" s="16">
        <v>26764</v>
      </c>
      <c r="D3190" s="31">
        <v>44781</v>
      </c>
      <c r="E3190" s="16">
        <v>54</v>
      </c>
      <c r="F3190" s="15" t="str">
        <f t="shared" si="49"/>
        <v>1216-26764-44781</v>
      </c>
    </row>
    <row r="3191" spans="1:6" ht="14.25" customHeight="1" x14ac:dyDescent="0.25">
      <c r="A3191" s="15" t="s">
        <v>3331</v>
      </c>
      <c r="B3191" s="16">
        <v>1216</v>
      </c>
      <c r="C3191" s="16">
        <v>26764</v>
      </c>
      <c r="D3191" s="31">
        <v>44788</v>
      </c>
      <c r="E3191" s="16">
        <v>64</v>
      </c>
      <c r="F3191" s="15" t="str">
        <f t="shared" si="49"/>
        <v>1216-26764-44788</v>
      </c>
    </row>
    <row r="3192" spans="1:6" ht="14.25" customHeight="1" x14ac:dyDescent="0.25">
      <c r="A3192" s="15" t="s">
        <v>3332</v>
      </c>
      <c r="B3192" s="16">
        <v>1216</v>
      </c>
      <c r="C3192" s="16">
        <v>53934</v>
      </c>
      <c r="D3192" s="31">
        <v>44739</v>
      </c>
      <c r="E3192" s="16">
        <v>58</v>
      </c>
      <c r="F3192" s="15" t="str">
        <f t="shared" si="49"/>
        <v>1216-53934-44739</v>
      </c>
    </row>
    <row r="3193" spans="1:6" ht="14.25" customHeight="1" x14ac:dyDescent="0.25">
      <c r="A3193" s="15" t="s">
        <v>3333</v>
      </c>
      <c r="B3193" s="16">
        <v>1216</v>
      </c>
      <c r="C3193" s="16">
        <v>53934</v>
      </c>
      <c r="D3193" s="31">
        <v>44746</v>
      </c>
      <c r="E3193" s="16">
        <v>23</v>
      </c>
      <c r="F3193" s="15" t="str">
        <f t="shared" si="49"/>
        <v>1216-53934-44746</v>
      </c>
    </row>
    <row r="3194" spans="1:6" ht="14.25" customHeight="1" x14ac:dyDescent="0.25">
      <c r="A3194" s="15" t="s">
        <v>3334</v>
      </c>
      <c r="B3194" s="16">
        <v>1216</v>
      </c>
      <c r="C3194" s="16">
        <v>53934</v>
      </c>
      <c r="D3194" s="31">
        <v>44753</v>
      </c>
      <c r="E3194" s="16">
        <v>64</v>
      </c>
      <c r="F3194" s="15" t="str">
        <f t="shared" si="49"/>
        <v>1216-53934-44753</v>
      </c>
    </row>
    <row r="3195" spans="1:6" ht="14.25" customHeight="1" x14ac:dyDescent="0.25">
      <c r="A3195" s="15" t="s">
        <v>3335</v>
      </c>
      <c r="B3195" s="16">
        <v>1216</v>
      </c>
      <c r="C3195" s="16">
        <v>53934</v>
      </c>
      <c r="D3195" s="31">
        <v>44760</v>
      </c>
      <c r="E3195" s="16">
        <v>54</v>
      </c>
      <c r="F3195" s="15" t="str">
        <f t="shared" si="49"/>
        <v>1216-53934-44760</v>
      </c>
    </row>
    <row r="3196" spans="1:6" ht="14.25" customHeight="1" x14ac:dyDescent="0.25">
      <c r="A3196" s="15" t="s">
        <v>3336</v>
      </c>
      <c r="B3196" s="16">
        <v>1216</v>
      </c>
      <c r="C3196" s="16">
        <v>53934</v>
      </c>
      <c r="D3196" s="31">
        <v>44767</v>
      </c>
      <c r="E3196" s="16">
        <v>23</v>
      </c>
      <c r="F3196" s="15" t="str">
        <f t="shared" si="49"/>
        <v>1216-53934-44767</v>
      </c>
    </row>
    <row r="3197" spans="1:6" ht="14.25" customHeight="1" x14ac:dyDescent="0.25">
      <c r="A3197" s="15" t="s">
        <v>3337</v>
      </c>
      <c r="B3197" s="16">
        <v>1216</v>
      </c>
      <c r="C3197" s="16">
        <v>53934</v>
      </c>
      <c r="D3197" s="31">
        <v>44774</v>
      </c>
      <c r="E3197" s="16">
        <v>52</v>
      </c>
      <c r="F3197" s="15" t="str">
        <f t="shared" si="49"/>
        <v>1216-53934-44774</v>
      </c>
    </row>
    <row r="3198" spans="1:6" ht="14.25" customHeight="1" x14ac:dyDescent="0.25">
      <c r="A3198" s="15" t="s">
        <v>3338</v>
      </c>
      <c r="B3198" s="16">
        <v>1216</v>
      </c>
      <c r="C3198" s="16">
        <v>53934</v>
      </c>
      <c r="D3198" s="31">
        <v>44781</v>
      </c>
      <c r="E3198" s="16">
        <v>69</v>
      </c>
      <c r="F3198" s="15" t="str">
        <f t="shared" si="49"/>
        <v>1216-53934-44781</v>
      </c>
    </row>
    <row r="3199" spans="1:6" ht="14.25" customHeight="1" x14ac:dyDescent="0.25">
      <c r="A3199" s="15" t="s">
        <v>3339</v>
      </c>
      <c r="B3199" s="16">
        <v>1216</v>
      </c>
      <c r="C3199" s="16">
        <v>53934</v>
      </c>
      <c r="D3199" s="31">
        <v>44788</v>
      </c>
      <c r="E3199" s="16">
        <v>64</v>
      </c>
      <c r="F3199" s="15" t="str">
        <f t="shared" si="49"/>
        <v>1216-53934-44788</v>
      </c>
    </row>
    <row r="3200" spans="1:6" ht="14.25" customHeight="1" x14ac:dyDescent="0.25">
      <c r="A3200" s="15" t="s">
        <v>3340</v>
      </c>
      <c r="B3200" s="16">
        <v>1216</v>
      </c>
      <c r="C3200" s="16">
        <v>78699</v>
      </c>
      <c r="D3200" s="31">
        <v>44739</v>
      </c>
      <c r="E3200" s="16">
        <v>13</v>
      </c>
      <c r="F3200" s="15" t="str">
        <f t="shared" si="49"/>
        <v>1216-78699-44739</v>
      </c>
    </row>
    <row r="3201" spans="1:6" ht="14.25" customHeight="1" x14ac:dyDescent="0.25">
      <c r="A3201" s="15" t="s">
        <v>3341</v>
      </c>
      <c r="B3201" s="16">
        <v>1216</v>
      </c>
      <c r="C3201" s="16">
        <v>78699</v>
      </c>
      <c r="D3201" s="31">
        <v>44746</v>
      </c>
      <c r="E3201" s="16">
        <v>5</v>
      </c>
      <c r="F3201" s="15" t="str">
        <f t="shared" si="49"/>
        <v>1216-78699-44746</v>
      </c>
    </row>
    <row r="3202" spans="1:6" ht="14.25" customHeight="1" x14ac:dyDescent="0.25">
      <c r="A3202" s="15" t="s">
        <v>3342</v>
      </c>
      <c r="B3202" s="16">
        <v>1216</v>
      </c>
      <c r="C3202" s="16">
        <v>78699</v>
      </c>
      <c r="D3202" s="31">
        <v>44753</v>
      </c>
      <c r="E3202" s="16">
        <v>16</v>
      </c>
      <c r="F3202" s="15" t="str">
        <f t="shared" si="49"/>
        <v>1216-78699-44753</v>
      </c>
    </row>
    <row r="3203" spans="1:6" ht="14.25" customHeight="1" x14ac:dyDescent="0.25">
      <c r="A3203" s="15" t="s">
        <v>3343</v>
      </c>
      <c r="B3203" s="16">
        <v>1216</v>
      </c>
      <c r="C3203" s="16">
        <v>78699</v>
      </c>
      <c r="D3203" s="31">
        <v>44760</v>
      </c>
      <c r="E3203" s="16">
        <v>9</v>
      </c>
      <c r="F3203" s="15" t="str">
        <f t="shared" ref="F3203:F3266" si="50">B3203&amp;"-"&amp;C3203&amp;"-"&amp;INT(D3203)</f>
        <v>1216-78699-44760</v>
      </c>
    </row>
    <row r="3204" spans="1:6" ht="14.25" customHeight="1" x14ac:dyDescent="0.25">
      <c r="A3204" s="15" t="s">
        <v>3344</v>
      </c>
      <c r="B3204" s="16">
        <v>1216</v>
      </c>
      <c r="C3204" s="16">
        <v>78699</v>
      </c>
      <c r="D3204" s="31">
        <v>44767</v>
      </c>
      <c r="E3204" s="16">
        <v>3</v>
      </c>
      <c r="F3204" s="15" t="str">
        <f t="shared" si="50"/>
        <v>1216-78699-44767</v>
      </c>
    </row>
    <row r="3205" spans="1:6" ht="14.25" customHeight="1" x14ac:dyDescent="0.25">
      <c r="A3205" s="15" t="s">
        <v>3345</v>
      </c>
      <c r="B3205" s="16">
        <v>1216</v>
      </c>
      <c r="C3205" s="16">
        <v>78699</v>
      </c>
      <c r="D3205" s="31">
        <v>44774</v>
      </c>
      <c r="E3205" s="16">
        <v>15</v>
      </c>
      <c r="F3205" s="15" t="str">
        <f t="shared" si="50"/>
        <v>1216-78699-44774</v>
      </c>
    </row>
    <row r="3206" spans="1:6" ht="14.25" customHeight="1" x14ac:dyDescent="0.25">
      <c r="A3206" s="15" t="s">
        <v>3346</v>
      </c>
      <c r="B3206" s="16">
        <v>1216</v>
      </c>
      <c r="C3206" s="16">
        <v>78699</v>
      </c>
      <c r="D3206" s="31">
        <v>44781</v>
      </c>
      <c r="E3206" s="16">
        <v>15</v>
      </c>
      <c r="F3206" s="15" t="str">
        <f t="shared" si="50"/>
        <v>1216-78699-44781</v>
      </c>
    </row>
    <row r="3207" spans="1:6" ht="14.25" customHeight="1" x14ac:dyDescent="0.25">
      <c r="A3207" s="15" t="s">
        <v>3347</v>
      </c>
      <c r="B3207" s="16">
        <v>1216</v>
      </c>
      <c r="C3207" s="16">
        <v>78699</v>
      </c>
      <c r="D3207" s="31">
        <v>44788</v>
      </c>
      <c r="E3207" s="16">
        <v>17</v>
      </c>
      <c r="F3207" s="15" t="str">
        <f t="shared" si="50"/>
        <v>1216-78699-44788</v>
      </c>
    </row>
    <row r="3208" spans="1:6" ht="14.25" customHeight="1" x14ac:dyDescent="0.25">
      <c r="A3208" s="15" t="s">
        <v>3348</v>
      </c>
      <c r="B3208" s="16">
        <v>1216</v>
      </c>
      <c r="C3208" s="16">
        <v>78869</v>
      </c>
      <c r="D3208" s="31">
        <v>44739</v>
      </c>
      <c r="E3208" s="16">
        <v>17</v>
      </c>
      <c r="F3208" s="15" t="str">
        <f t="shared" si="50"/>
        <v>1216-78869-44739</v>
      </c>
    </row>
    <row r="3209" spans="1:6" ht="14.25" customHeight="1" x14ac:dyDescent="0.25">
      <c r="A3209" s="15" t="s">
        <v>3349</v>
      </c>
      <c r="B3209" s="16">
        <v>1216</v>
      </c>
      <c r="C3209" s="16">
        <v>78869</v>
      </c>
      <c r="D3209" s="31">
        <v>44746</v>
      </c>
      <c r="E3209" s="16">
        <v>14</v>
      </c>
      <c r="F3209" s="15" t="str">
        <f t="shared" si="50"/>
        <v>1216-78869-44746</v>
      </c>
    </row>
    <row r="3210" spans="1:6" ht="14.25" customHeight="1" x14ac:dyDescent="0.25">
      <c r="A3210" s="15" t="s">
        <v>3350</v>
      </c>
      <c r="B3210" s="16">
        <v>1216</v>
      </c>
      <c r="C3210" s="16">
        <v>78869</v>
      </c>
      <c r="D3210" s="31">
        <v>44753</v>
      </c>
      <c r="E3210" s="16">
        <v>15</v>
      </c>
      <c r="F3210" s="15" t="str">
        <f t="shared" si="50"/>
        <v>1216-78869-44753</v>
      </c>
    </row>
    <row r="3211" spans="1:6" ht="14.25" customHeight="1" x14ac:dyDescent="0.25">
      <c r="A3211" s="15" t="s">
        <v>3351</v>
      </c>
      <c r="B3211" s="16">
        <v>1216</v>
      </c>
      <c r="C3211" s="16">
        <v>78869</v>
      </c>
      <c r="D3211" s="31">
        <v>44760</v>
      </c>
      <c r="E3211" s="16">
        <v>9</v>
      </c>
      <c r="F3211" s="15" t="str">
        <f t="shared" si="50"/>
        <v>1216-78869-44760</v>
      </c>
    </row>
    <row r="3212" spans="1:6" ht="14.25" customHeight="1" x14ac:dyDescent="0.25">
      <c r="A3212" s="15" t="s">
        <v>3352</v>
      </c>
      <c r="B3212" s="16">
        <v>1216</v>
      </c>
      <c r="C3212" s="16">
        <v>78869</v>
      </c>
      <c r="D3212" s="31">
        <v>44767</v>
      </c>
      <c r="E3212" s="16">
        <v>9</v>
      </c>
      <c r="F3212" s="15" t="str">
        <f t="shared" si="50"/>
        <v>1216-78869-44767</v>
      </c>
    </row>
    <row r="3213" spans="1:6" ht="14.25" customHeight="1" x14ac:dyDescent="0.25">
      <c r="A3213" s="15" t="s">
        <v>3353</v>
      </c>
      <c r="B3213" s="16">
        <v>1216</v>
      </c>
      <c r="C3213" s="16">
        <v>78869</v>
      </c>
      <c r="D3213" s="31">
        <v>44774</v>
      </c>
      <c r="E3213" s="16">
        <v>5</v>
      </c>
      <c r="F3213" s="15" t="str">
        <f t="shared" si="50"/>
        <v>1216-78869-44774</v>
      </c>
    </row>
    <row r="3214" spans="1:6" ht="14.25" customHeight="1" x14ac:dyDescent="0.25">
      <c r="A3214" s="15" t="s">
        <v>3354</v>
      </c>
      <c r="B3214" s="16">
        <v>1216</v>
      </c>
      <c r="C3214" s="16">
        <v>78869</v>
      </c>
      <c r="D3214" s="31">
        <v>44781</v>
      </c>
      <c r="E3214" s="16">
        <v>9</v>
      </c>
      <c r="F3214" s="15" t="str">
        <f t="shared" si="50"/>
        <v>1216-78869-44781</v>
      </c>
    </row>
    <row r="3215" spans="1:6" ht="14.25" customHeight="1" x14ac:dyDescent="0.25">
      <c r="A3215" s="15" t="s">
        <v>3355</v>
      </c>
      <c r="B3215" s="16">
        <v>1216</v>
      </c>
      <c r="C3215" s="16">
        <v>78869</v>
      </c>
      <c r="D3215" s="31">
        <v>44788</v>
      </c>
      <c r="E3215" s="16">
        <v>17</v>
      </c>
      <c r="F3215" s="15" t="str">
        <f t="shared" si="50"/>
        <v>1216-78869-44788</v>
      </c>
    </row>
    <row r="3216" spans="1:6" ht="14.25" customHeight="1" x14ac:dyDescent="0.25">
      <c r="A3216" s="15" t="s">
        <v>3356</v>
      </c>
      <c r="B3216" s="16">
        <v>1216</v>
      </c>
      <c r="C3216" s="16">
        <v>115600</v>
      </c>
      <c r="D3216" s="31">
        <v>32874</v>
      </c>
      <c r="E3216" s="16">
        <v>24</v>
      </c>
      <c r="F3216" s="15" t="str">
        <f t="shared" si="50"/>
        <v>1216-115600-32874</v>
      </c>
    </row>
    <row r="3217" spans="1:6" ht="14.25" customHeight="1" x14ac:dyDescent="0.25">
      <c r="A3217" s="15" t="s">
        <v>3357</v>
      </c>
      <c r="B3217" s="16">
        <v>1216</v>
      </c>
      <c r="C3217" s="16">
        <v>115600</v>
      </c>
      <c r="D3217" s="31">
        <v>44739</v>
      </c>
      <c r="E3217" s="16">
        <v>36</v>
      </c>
      <c r="F3217" s="15" t="str">
        <f t="shared" si="50"/>
        <v>1216-115600-44739</v>
      </c>
    </row>
    <row r="3218" spans="1:6" ht="14.25" customHeight="1" x14ac:dyDescent="0.25">
      <c r="A3218" s="15" t="s">
        <v>3358</v>
      </c>
      <c r="B3218" s="16">
        <v>1216</v>
      </c>
      <c r="C3218" s="16">
        <v>115600</v>
      </c>
      <c r="D3218" s="31">
        <v>44746</v>
      </c>
      <c r="E3218" s="16">
        <v>41</v>
      </c>
      <c r="F3218" s="15" t="str">
        <f t="shared" si="50"/>
        <v>1216-115600-44746</v>
      </c>
    </row>
    <row r="3219" spans="1:6" ht="14.25" customHeight="1" x14ac:dyDescent="0.25">
      <c r="A3219" s="15" t="s">
        <v>3359</v>
      </c>
      <c r="B3219" s="16">
        <v>1216</v>
      </c>
      <c r="C3219" s="16">
        <v>115600</v>
      </c>
      <c r="D3219" s="31">
        <v>44753</v>
      </c>
      <c r="E3219" s="16">
        <v>35</v>
      </c>
      <c r="F3219" s="15" t="str">
        <f t="shared" si="50"/>
        <v>1216-115600-44753</v>
      </c>
    </row>
    <row r="3220" spans="1:6" ht="14.25" customHeight="1" x14ac:dyDescent="0.25">
      <c r="A3220" s="15" t="s">
        <v>3360</v>
      </c>
      <c r="B3220" s="16">
        <v>1216</v>
      </c>
      <c r="C3220" s="16">
        <v>115600</v>
      </c>
      <c r="D3220" s="31">
        <v>44760</v>
      </c>
      <c r="E3220" s="16">
        <v>24</v>
      </c>
      <c r="F3220" s="15" t="str">
        <f t="shared" si="50"/>
        <v>1216-115600-44760</v>
      </c>
    </row>
    <row r="3221" spans="1:6" ht="14.25" customHeight="1" x14ac:dyDescent="0.25">
      <c r="A3221" s="15" t="s">
        <v>3361</v>
      </c>
      <c r="B3221" s="16">
        <v>1216</v>
      </c>
      <c r="C3221" s="16">
        <v>115600</v>
      </c>
      <c r="D3221" s="31">
        <v>44767</v>
      </c>
      <c r="E3221" s="16">
        <v>35</v>
      </c>
      <c r="F3221" s="15" t="str">
        <f t="shared" si="50"/>
        <v>1216-115600-44767</v>
      </c>
    </row>
    <row r="3222" spans="1:6" ht="14.25" customHeight="1" x14ac:dyDescent="0.25">
      <c r="A3222" s="15" t="s">
        <v>3362</v>
      </c>
      <c r="B3222" s="16">
        <v>1216</v>
      </c>
      <c r="C3222" s="16">
        <v>115600</v>
      </c>
      <c r="D3222" s="31">
        <v>44774</v>
      </c>
      <c r="E3222" s="16">
        <v>36</v>
      </c>
      <c r="F3222" s="15" t="str">
        <f t="shared" si="50"/>
        <v>1216-115600-44774</v>
      </c>
    </row>
    <row r="3223" spans="1:6" ht="14.25" customHeight="1" x14ac:dyDescent="0.25">
      <c r="A3223" s="15" t="s">
        <v>3363</v>
      </c>
      <c r="B3223" s="16">
        <v>1216</v>
      </c>
      <c r="C3223" s="16">
        <v>115600</v>
      </c>
      <c r="D3223" s="31">
        <v>44781</v>
      </c>
      <c r="E3223" s="16">
        <v>39</v>
      </c>
      <c r="F3223" s="15" t="str">
        <f t="shared" si="50"/>
        <v>1216-115600-44781</v>
      </c>
    </row>
    <row r="3224" spans="1:6" ht="14.25" customHeight="1" x14ac:dyDescent="0.25">
      <c r="A3224" s="15" t="s">
        <v>3364</v>
      </c>
      <c r="B3224" s="16">
        <v>1216</v>
      </c>
      <c r="C3224" s="16">
        <v>115600</v>
      </c>
      <c r="D3224" s="31">
        <v>44788</v>
      </c>
      <c r="E3224" s="16">
        <v>22</v>
      </c>
      <c r="F3224" s="15" t="str">
        <f t="shared" si="50"/>
        <v>1216-115600-44788</v>
      </c>
    </row>
    <row r="3225" spans="1:6" ht="14.25" customHeight="1" x14ac:dyDescent="0.25">
      <c r="A3225" s="15" t="s">
        <v>3365</v>
      </c>
      <c r="B3225" s="16">
        <v>1216</v>
      </c>
      <c r="C3225" s="16">
        <v>129208</v>
      </c>
      <c r="D3225" s="31">
        <v>32874</v>
      </c>
      <c r="E3225" s="16">
        <v>27</v>
      </c>
      <c r="F3225" s="15" t="str">
        <f t="shared" si="50"/>
        <v>1216-129208-32874</v>
      </c>
    </row>
    <row r="3226" spans="1:6" ht="14.25" customHeight="1" x14ac:dyDescent="0.25">
      <c r="A3226" s="15" t="s">
        <v>3366</v>
      </c>
      <c r="B3226" s="16">
        <v>1216</v>
      </c>
      <c r="C3226" s="16">
        <v>129208</v>
      </c>
      <c r="D3226" s="31">
        <v>44739</v>
      </c>
      <c r="E3226" s="16">
        <v>21</v>
      </c>
      <c r="F3226" s="15" t="str">
        <f t="shared" si="50"/>
        <v>1216-129208-44739</v>
      </c>
    </row>
    <row r="3227" spans="1:6" ht="14.25" customHeight="1" x14ac:dyDescent="0.25">
      <c r="A3227" s="15" t="s">
        <v>3367</v>
      </c>
      <c r="B3227" s="16">
        <v>1216</v>
      </c>
      <c r="C3227" s="16">
        <v>129208</v>
      </c>
      <c r="D3227" s="31">
        <v>44746</v>
      </c>
      <c r="E3227" s="16">
        <v>23</v>
      </c>
      <c r="F3227" s="15" t="str">
        <f t="shared" si="50"/>
        <v>1216-129208-44746</v>
      </c>
    </row>
    <row r="3228" spans="1:6" ht="14.25" customHeight="1" x14ac:dyDescent="0.25">
      <c r="A3228" s="15" t="s">
        <v>3368</v>
      </c>
      <c r="B3228" s="16">
        <v>1216</v>
      </c>
      <c r="C3228" s="16">
        <v>129208</v>
      </c>
      <c r="D3228" s="31">
        <v>44753</v>
      </c>
      <c r="E3228" s="16">
        <v>21</v>
      </c>
      <c r="F3228" s="15" t="str">
        <f t="shared" si="50"/>
        <v>1216-129208-44753</v>
      </c>
    </row>
    <row r="3229" spans="1:6" ht="14.25" customHeight="1" x14ac:dyDescent="0.25">
      <c r="A3229" s="15" t="s">
        <v>3369</v>
      </c>
      <c r="B3229" s="16">
        <v>1216</v>
      </c>
      <c r="C3229" s="16">
        <v>129208</v>
      </c>
      <c r="D3229" s="31">
        <v>44760</v>
      </c>
      <c r="E3229" s="16">
        <v>18</v>
      </c>
      <c r="F3229" s="15" t="str">
        <f t="shared" si="50"/>
        <v>1216-129208-44760</v>
      </c>
    </row>
    <row r="3230" spans="1:6" ht="14.25" customHeight="1" x14ac:dyDescent="0.25">
      <c r="A3230" s="15" t="s">
        <v>3370</v>
      </c>
      <c r="B3230" s="16">
        <v>1216</v>
      </c>
      <c r="C3230" s="16">
        <v>129208</v>
      </c>
      <c r="D3230" s="31">
        <v>44767</v>
      </c>
      <c r="E3230" s="16">
        <v>16</v>
      </c>
      <c r="F3230" s="15" t="str">
        <f t="shared" si="50"/>
        <v>1216-129208-44767</v>
      </c>
    </row>
    <row r="3231" spans="1:6" ht="14.25" customHeight="1" x14ac:dyDescent="0.25">
      <c r="A3231" s="15" t="s">
        <v>3371</v>
      </c>
      <c r="B3231" s="16">
        <v>1216</v>
      </c>
      <c r="C3231" s="16">
        <v>129208</v>
      </c>
      <c r="D3231" s="31">
        <v>44774</v>
      </c>
      <c r="E3231" s="16">
        <v>21</v>
      </c>
      <c r="F3231" s="15" t="str">
        <f t="shared" si="50"/>
        <v>1216-129208-44774</v>
      </c>
    </row>
    <row r="3232" spans="1:6" ht="14.25" customHeight="1" x14ac:dyDescent="0.25">
      <c r="A3232" s="15" t="s">
        <v>3372</v>
      </c>
      <c r="B3232" s="16">
        <v>1216</v>
      </c>
      <c r="C3232" s="16">
        <v>129208</v>
      </c>
      <c r="D3232" s="31">
        <v>44781</v>
      </c>
      <c r="E3232" s="16">
        <v>24</v>
      </c>
      <c r="F3232" s="15" t="str">
        <f t="shared" si="50"/>
        <v>1216-129208-44781</v>
      </c>
    </row>
    <row r="3233" spans="1:6" ht="14.25" customHeight="1" x14ac:dyDescent="0.25">
      <c r="A3233" s="15" t="s">
        <v>3373</v>
      </c>
      <c r="B3233" s="16">
        <v>1216</v>
      </c>
      <c r="C3233" s="16">
        <v>129208</v>
      </c>
      <c r="D3233" s="31">
        <v>44788</v>
      </c>
      <c r="E3233" s="16">
        <v>24</v>
      </c>
      <c r="F3233" s="15" t="str">
        <f t="shared" si="50"/>
        <v>1216-129208-44788</v>
      </c>
    </row>
    <row r="3234" spans="1:6" ht="14.25" customHeight="1" x14ac:dyDescent="0.25">
      <c r="A3234" s="15" t="s">
        <v>3374</v>
      </c>
      <c r="B3234" s="16">
        <v>1216</v>
      </c>
      <c r="C3234" s="16">
        <v>141622</v>
      </c>
      <c r="D3234" s="31">
        <v>44739</v>
      </c>
      <c r="E3234" s="16">
        <v>51</v>
      </c>
      <c r="F3234" s="15" t="str">
        <f t="shared" si="50"/>
        <v>1216-141622-44739</v>
      </c>
    </row>
    <row r="3235" spans="1:6" ht="14.25" customHeight="1" x14ac:dyDescent="0.25">
      <c r="A3235" s="15" t="s">
        <v>3375</v>
      </c>
      <c r="B3235" s="16">
        <v>1216</v>
      </c>
      <c r="C3235" s="16">
        <v>141622</v>
      </c>
      <c r="D3235" s="31">
        <v>44746</v>
      </c>
      <c r="E3235" s="16">
        <v>43</v>
      </c>
      <c r="F3235" s="15" t="str">
        <f t="shared" si="50"/>
        <v>1216-141622-44746</v>
      </c>
    </row>
    <row r="3236" spans="1:6" ht="14.25" customHeight="1" x14ac:dyDescent="0.25">
      <c r="A3236" s="15" t="s">
        <v>3376</v>
      </c>
      <c r="B3236" s="16">
        <v>1216</v>
      </c>
      <c r="C3236" s="16">
        <v>141622</v>
      </c>
      <c r="D3236" s="31">
        <v>44753</v>
      </c>
      <c r="E3236" s="16">
        <v>43</v>
      </c>
      <c r="F3236" s="15" t="str">
        <f t="shared" si="50"/>
        <v>1216-141622-44753</v>
      </c>
    </row>
    <row r="3237" spans="1:6" ht="14.25" customHeight="1" x14ac:dyDescent="0.25">
      <c r="A3237" s="15" t="s">
        <v>3377</v>
      </c>
      <c r="B3237" s="16">
        <v>1216</v>
      </c>
      <c r="C3237" s="16">
        <v>141622</v>
      </c>
      <c r="D3237" s="31">
        <v>44760</v>
      </c>
      <c r="E3237" s="16">
        <v>33</v>
      </c>
      <c r="F3237" s="15" t="str">
        <f t="shared" si="50"/>
        <v>1216-141622-44760</v>
      </c>
    </row>
    <row r="3238" spans="1:6" ht="14.25" customHeight="1" x14ac:dyDescent="0.25">
      <c r="A3238" s="15" t="s">
        <v>3378</v>
      </c>
      <c r="B3238" s="16">
        <v>1216</v>
      </c>
      <c r="C3238" s="16">
        <v>141622</v>
      </c>
      <c r="D3238" s="31">
        <v>44767</v>
      </c>
      <c r="E3238" s="16">
        <v>46</v>
      </c>
      <c r="F3238" s="15" t="str">
        <f t="shared" si="50"/>
        <v>1216-141622-44767</v>
      </c>
    </row>
    <row r="3239" spans="1:6" ht="14.25" customHeight="1" x14ac:dyDescent="0.25">
      <c r="A3239" s="15" t="s">
        <v>3379</v>
      </c>
      <c r="B3239" s="16">
        <v>1216</v>
      </c>
      <c r="C3239" s="16">
        <v>141622</v>
      </c>
      <c r="D3239" s="31">
        <v>44774</v>
      </c>
      <c r="E3239" s="16">
        <v>41</v>
      </c>
      <c r="F3239" s="15" t="str">
        <f t="shared" si="50"/>
        <v>1216-141622-44774</v>
      </c>
    </row>
    <row r="3240" spans="1:6" ht="14.25" customHeight="1" x14ac:dyDescent="0.25">
      <c r="A3240" s="15" t="s">
        <v>3380</v>
      </c>
      <c r="B3240" s="16">
        <v>1216</v>
      </c>
      <c r="C3240" s="16">
        <v>141622</v>
      </c>
      <c r="D3240" s="31">
        <v>44781</v>
      </c>
      <c r="E3240" s="16">
        <v>7</v>
      </c>
      <c r="F3240" s="15" t="str">
        <f t="shared" si="50"/>
        <v>1216-141622-44781</v>
      </c>
    </row>
    <row r="3241" spans="1:6" ht="14.25" customHeight="1" x14ac:dyDescent="0.25">
      <c r="A3241" s="15" t="s">
        <v>3381</v>
      </c>
      <c r="B3241" s="16">
        <v>1216</v>
      </c>
      <c r="C3241" s="16">
        <v>141622</v>
      </c>
      <c r="D3241" s="31">
        <v>44788</v>
      </c>
      <c r="E3241" s="16">
        <v>6</v>
      </c>
      <c r="F3241" s="15" t="str">
        <f t="shared" si="50"/>
        <v>1216-141622-44788</v>
      </c>
    </row>
    <row r="3242" spans="1:6" ht="14.25" customHeight="1" x14ac:dyDescent="0.25">
      <c r="A3242" s="15" t="s">
        <v>3382</v>
      </c>
      <c r="B3242" s="16">
        <v>1216</v>
      </c>
      <c r="C3242" s="16">
        <v>141626</v>
      </c>
      <c r="D3242" s="31">
        <v>44739</v>
      </c>
      <c r="E3242" s="16">
        <v>211</v>
      </c>
      <c r="F3242" s="15" t="str">
        <f t="shared" si="50"/>
        <v>1216-141626-44739</v>
      </c>
    </row>
    <row r="3243" spans="1:6" ht="14.25" customHeight="1" x14ac:dyDescent="0.25">
      <c r="A3243" s="15" t="s">
        <v>3383</v>
      </c>
      <c r="B3243" s="16">
        <v>1216</v>
      </c>
      <c r="C3243" s="16">
        <v>141626</v>
      </c>
      <c r="D3243" s="31">
        <v>44746</v>
      </c>
      <c r="E3243" s="16">
        <v>253</v>
      </c>
      <c r="F3243" s="15" t="str">
        <f t="shared" si="50"/>
        <v>1216-141626-44746</v>
      </c>
    </row>
    <row r="3244" spans="1:6" ht="14.25" customHeight="1" x14ac:dyDescent="0.25">
      <c r="A3244" s="15" t="s">
        <v>3384</v>
      </c>
      <c r="B3244" s="16">
        <v>1216</v>
      </c>
      <c r="C3244" s="16">
        <v>141626</v>
      </c>
      <c r="D3244" s="31">
        <v>44753</v>
      </c>
      <c r="E3244" s="16">
        <v>262</v>
      </c>
      <c r="F3244" s="15" t="str">
        <f t="shared" si="50"/>
        <v>1216-141626-44753</v>
      </c>
    </row>
    <row r="3245" spans="1:6" ht="14.25" customHeight="1" x14ac:dyDescent="0.25">
      <c r="A3245" s="15" t="s">
        <v>3385</v>
      </c>
      <c r="B3245" s="16">
        <v>1216</v>
      </c>
      <c r="C3245" s="16">
        <v>141626</v>
      </c>
      <c r="D3245" s="31">
        <v>44760</v>
      </c>
      <c r="E3245" s="16">
        <v>199</v>
      </c>
      <c r="F3245" s="15" t="str">
        <f t="shared" si="50"/>
        <v>1216-141626-44760</v>
      </c>
    </row>
    <row r="3246" spans="1:6" ht="14.25" customHeight="1" x14ac:dyDescent="0.25">
      <c r="A3246" s="15" t="s">
        <v>3386</v>
      </c>
      <c r="B3246" s="16">
        <v>1216</v>
      </c>
      <c r="C3246" s="16">
        <v>141626</v>
      </c>
      <c r="D3246" s="31">
        <v>44767</v>
      </c>
      <c r="E3246" s="16">
        <v>204</v>
      </c>
      <c r="F3246" s="15" t="str">
        <f t="shared" si="50"/>
        <v>1216-141626-44767</v>
      </c>
    </row>
    <row r="3247" spans="1:6" ht="14.25" customHeight="1" x14ac:dyDescent="0.25">
      <c r="A3247" s="15" t="s">
        <v>3387</v>
      </c>
      <c r="B3247" s="16">
        <v>1216</v>
      </c>
      <c r="C3247" s="16">
        <v>141626</v>
      </c>
      <c r="D3247" s="31">
        <v>44774</v>
      </c>
      <c r="E3247" s="16">
        <v>117</v>
      </c>
      <c r="F3247" s="15" t="str">
        <f t="shared" si="50"/>
        <v>1216-141626-44774</v>
      </c>
    </row>
    <row r="3248" spans="1:6" ht="14.25" customHeight="1" x14ac:dyDescent="0.25">
      <c r="A3248" s="15" t="s">
        <v>3388</v>
      </c>
      <c r="B3248" s="16">
        <v>1216</v>
      </c>
      <c r="C3248" s="16">
        <v>141626</v>
      </c>
      <c r="D3248" s="31">
        <v>44781</v>
      </c>
      <c r="E3248" s="16">
        <v>118</v>
      </c>
      <c r="F3248" s="15" t="str">
        <f t="shared" si="50"/>
        <v>1216-141626-44781</v>
      </c>
    </row>
    <row r="3249" spans="1:6" ht="14.25" customHeight="1" x14ac:dyDescent="0.25">
      <c r="A3249" s="15" t="s">
        <v>3389</v>
      </c>
      <c r="B3249" s="16">
        <v>1216</v>
      </c>
      <c r="C3249" s="16">
        <v>141626</v>
      </c>
      <c r="D3249" s="31">
        <v>44788</v>
      </c>
      <c r="E3249" s="16">
        <v>218</v>
      </c>
      <c r="F3249" s="15" t="str">
        <f t="shared" si="50"/>
        <v>1216-141626-44788</v>
      </c>
    </row>
    <row r="3250" spans="1:6" ht="14.25" customHeight="1" x14ac:dyDescent="0.25">
      <c r="A3250" s="15" t="s">
        <v>3390</v>
      </c>
      <c r="B3250" s="16">
        <v>1216</v>
      </c>
      <c r="C3250" s="16">
        <v>141791</v>
      </c>
      <c r="D3250" s="31">
        <v>44739</v>
      </c>
      <c r="E3250" s="16">
        <v>9</v>
      </c>
      <c r="F3250" s="15" t="str">
        <f t="shared" si="50"/>
        <v>1216-141791-44739</v>
      </c>
    </row>
    <row r="3251" spans="1:6" ht="14.25" customHeight="1" x14ac:dyDescent="0.25">
      <c r="A3251" s="15" t="s">
        <v>3391</v>
      </c>
      <c r="B3251" s="16">
        <v>1216</v>
      </c>
      <c r="C3251" s="16">
        <v>141791</v>
      </c>
      <c r="D3251" s="31">
        <v>44746</v>
      </c>
      <c r="E3251" s="16">
        <v>9</v>
      </c>
      <c r="F3251" s="15" t="str">
        <f t="shared" si="50"/>
        <v>1216-141791-44746</v>
      </c>
    </row>
    <row r="3252" spans="1:6" ht="14.25" customHeight="1" x14ac:dyDescent="0.25">
      <c r="A3252" s="15" t="s">
        <v>3392</v>
      </c>
      <c r="B3252" s="16">
        <v>1216</v>
      </c>
      <c r="C3252" s="16">
        <v>141791</v>
      </c>
      <c r="D3252" s="31">
        <v>44753</v>
      </c>
      <c r="E3252" s="16">
        <v>9</v>
      </c>
      <c r="F3252" s="15" t="str">
        <f t="shared" si="50"/>
        <v>1216-141791-44753</v>
      </c>
    </row>
    <row r="3253" spans="1:6" ht="14.25" customHeight="1" x14ac:dyDescent="0.25">
      <c r="A3253" s="15" t="s">
        <v>3393</v>
      </c>
      <c r="B3253" s="16">
        <v>1216</v>
      </c>
      <c r="C3253" s="16">
        <v>141791</v>
      </c>
      <c r="D3253" s="31">
        <v>44760</v>
      </c>
      <c r="E3253" s="16">
        <v>9</v>
      </c>
      <c r="F3253" s="15" t="str">
        <f t="shared" si="50"/>
        <v>1216-141791-44760</v>
      </c>
    </row>
    <row r="3254" spans="1:6" ht="14.25" customHeight="1" x14ac:dyDescent="0.25">
      <c r="A3254" s="15" t="s">
        <v>3394</v>
      </c>
      <c r="B3254" s="16">
        <v>1216</v>
      </c>
      <c r="C3254" s="16">
        <v>141791</v>
      </c>
      <c r="D3254" s="31">
        <v>44767</v>
      </c>
      <c r="E3254" s="16">
        <v>9</v>
      </c>
      <c r="F3254" s="15" t="str">
        <f t="shared" si="50"/>
        <v>1216-141791-44767</v>
      </c>
    </row>
    <row r="3255" spans="1:6" ht="14.25" customHeight="1" x14ac:dyDescent="0.25">
      <c r="A3255" s="15" t="s">
        <v>3395</v>
      </c>
      <c r="B3255" s="16">
        <v>1216</v>
      </c>
      <c r="C3255" s="16">
        <v>141791</v>
      </c>
      <c r="D3255" s="31">
        <v>44774</v>
      </c>
      <c r="E3255" s="16">
        <v>9</v>
      </c>
      <c r="F3255" s="15" t="str">
        <f t="shared" si="50"/>
        <v>1216-141791-44774</v>
      </c>
    </row>
    <row r="3256" spans="1:6" ht="14.25" customHeight="1" x14ac:dyDescent="0.25">
      <c r="A3256" s="15" t="s">
        <v>3396</v>
      </c>
      <c r="B3256" s="16">
        <v>1216</v>
      </c>
      <c r="C3256" s="16">
        <v>141791</v>
      </c>
      <c r="D3256" s="31">
        <v>44781</v>
      </c>
      <c r="E3256" s="16">
        <v>9</v>
      </c>
      <c r="F3256" s="15" t="str">
        <f t="shared" si="50"/>
        <v>1216-141791-44781</v>
      </c>
    </row>
    <row r="3257" spans="1:6" ht="14.25" customHeight="1" x14ac:dyDescent="0.25">
      <c r="A3257" s="15" t="s">
        <v>3397</v>
      </c>
      <c r="B3257" s="16">
        <v>1216</v>
      </c>
      <c r="C3257" s="16">
        <v>141791</v>
      </c>
      <c r="D3257" s="31">
        <v>44788</v>
      </c>
      <c r="E3257" s="16">
        <v>9</v>
      </c>
      <c r="F3257" s="15" t="str">
        <f t="shared" si="50"/>
        <v>1216-141791-44788</v>
      </c>
    </row>
    <row r="3258" spans="1:6" ht="14.25" customHeight="1" x14ac:dyDescent="0.25">
      <c r="A3258" s="15" t="s">
        <v>3398</v>
      </c>
      <c r="B3258" s="16">
        <v>1216</v>
      </c>
      <c r="C3258" s="16">
        <v>141846</v>
      </c>
      <c r="D3258" s="31">
        <v>44739</v>
      </c>
      <c r="E3258" s="16">
        <v>-1</v>
      </c>
      <c r="F3258" s="15" t="str">
        <f t="shared" si="50"/>
        <v>1216-141846-44739</v>
      </c>
    </row>
    <row r="3259" spans="1:6" ht="14.25" customHeight="1" x14ac:dyDescent="0.25">
      <c r="A3259" s="15" t="s">
        <v>3399</v>
      </c>
      <c r="B3259" s="16">
        <v>1216</v>
      </c>
      <c r="C3259" s="16">
        <v>141846</v>
      </c>
      <c r="D3259" s="31">
        <v>44746</v>
      </c>
      <c r="E3259" s="16">
        <v>13</v>
      </c>
      <c r="F3259" s="15" t="str">
        <f t="shared" si="50"/>
        <v>1216-141846-44746</v>
      </c>
    </row>
    <row r="3260" spans="1:6" ht="14.25" customHeight="1" x14ac:dyDescent="0.25">
      <c r="A3260" s="15" t="s">
        <v>3400</v>
      </c>
      <c r="B3260" s="16">
        <v>1216</v>
      </c>
      <c r="C3260" s="16">
        <v>141846</v>
      </c>
      <c r="D3260" s="31">
        <v>44753</v>
      </c>
      <c r="E3260" s="16">
        <v>8</v>
      </c>
      <c r="F3260" s="15" t="str">
        <f t="shared" si="50"/>
        <v>1216-141846-44753</v>
      </c>
    </row>
    <row r="3261" spans="1:6" ht="14.25" customHeight="1" x14ac:dyDescent="0.25">
      <c r="A3261" s="15" t="s">
        <v>3401</v>
      </c>
      <c r="B3261" s="16">
        <v>1216</v>
      </c>
      <c r="C3261" s="16">
        <v>141846</v>
      </c>
      <c r="D3261" s="31">
        <v>44760</v>
      </c>
      <c r="E3261" s="16">
        <v>6</v>
      </c>
      <c r="F3261" s="15" t="str">
        <f t="shared" si="50"/>
        <v>1216-141846-44760</v>
      </c>
    </row>
    <row r="3262" spans="1:6" ht="14.25" customHeight="1" x14ac:dyDescent="0.25">
      <c r="A3262" s="15" t="s">
        <v>3402</v>
      </c>
      <c r="B3262" s="16">
        <v>1216</v>
      </c>
      <c r="C3262" s="16">
        <v>141846</v>
      </c>
      <c r="D3262" s="31">
        <v>44767</v>
      </c>
      <c r="E3262" s="16">
        <v>13</v>
      </c>
      <c r="F3262" s="15" t="str">
        <f t="shared" si="50"/>
        <v>1216-141846-44767</v>
      </c>
    </row>
    <row r="3263" spans="1:6" ht="14.25" customHeight="1" x14ac:dyDescent="0.25">
      <c r="A3263" s="15" t="s">
        <v>3403</v>
      </c>
      <c r="B3263" s="16">
        <v>1216</v>
      </c>
      <c r="C3263" s="16">
        <v>141846</v>
      </c>
      <c r="D3263" s="31">
        <v>44774</v>
      </c>
      <c r="E3263" s="16">
        <v>13</v>
      </c>
      <c r="F3263" s="15" t="str">
        <f t="shared" si="50"/>
        <v>1216-141846-44774</v>
      </c>
    </row>
    <row r="3264" spans="1:6" ht="14.25" customHeight="1" x14ac:dyDescent="0.25">
      <c r="A3264" s="15" t="s">
        <v>3404</v>
      </c>
      <c r="B3264" s="16">
        <v>1216</v>
      </c>
      <c r="C3264" s="16">
        <v>141846</v>
      </c>
      <c r="D3264" s="31">
        <v>44781</v>
      </c>
      <c r="E3264" s="16">
        <v>6</v>
      </c>
      <c r="F3264" s="15" t="str">
        <f t="shared" si="50"/>
        <v>1216-141846-44781</v>
      </c>
    </row>
    <row r="3265" spans="1:6" ht="14.25" customHeight="1" x14ac:dyDescent="0.25">
      <c r="A3265" s="15" t="s">
        <v>3405</v>
      </c>
      <c r="B3265" s="16">
        <v>1216</v>
      </c>
      <c r="C3265" s="16">
        <v>141846</v>
      </c>
      <c r="D3265" s="31">
        <v>44788</v>
      </c>
      <c r="E3265" s="16">
        <v>9</v>
      </c>
      <c r="F3265" s="15" t="str">
        <f t="shared" si="50"/>
        <v>1216-141846-44788</v>
      </c>
    </row>
    <row r="3266" spans="1:6" ht="14.25" customHeight="1" x14ac:dyDescent="0.25">
      <c r="A3266" s="15" t="s">
        <v>3406</v>
      </c>
      <c r="B3266" s="16">
        <v>1216</v>
      </c>
      <c r="C3266" s="16">
        <v>141967</v>
      </c>
      <c r="D3266" s="31">
        <v>44739</v>
      </c>
      <c r="E3266" s="16">
        <v>9</v>
      </c>
      <c r="F3266" s="15" t="str">
        <f t="shared" si="50"/>
        <v>1216-141967-44739</v>
      </c>
    </row>
    <row r="3267" spans="1:6" ht="14.25" customHeight="1" x14ac:dyDescent="0.25">
      <c r="A3267" s="15" t="s">
        <v>3407</v>
      </c>
      <c r="B3267" s="16">
        <v>1216</v>
      </c>
      <c r="C3267" s="16">
        <v>141967</v>
      </c>
      <c r="D3267" s="31">
        <v>44746</v>
      </c>
      <c r="E3267" s="16">
        <v>1</v>
      </c>
      <c r="F3267" s="15" t="str">
        <f t="shared" ref="F3267:F3330" si="51">B3267&amp;"-"&amp;C3267&amp;"-"&amp;INT(D3267)</f>
        <v>1216-141967-44746</v>
      </c>
    </row>
    <row r="3268" spans="1:6" ht="14.25" customHeight="1" x14ac:dyDescent="0.25">
      <c r="A3268" s="15" t="s">
        <v>3408</v>
      </c>
      <c r="B3268" s="16">
        <v>1216</v>
      </c>
      <c r="C3268" s="16">
        <v>141967</v>
      </c>
      <c r="D3268" s="31">
        <v>44753</v>
      </c>
      <c r="E3268" s="16">
        <v>9</v>
      </c>
      <c r="F3268" s="15" t="str">
        <f t="shared" si="51"/>
        <v>1216-141967-44753</v>
      </c>
    </row>
    <row r="3269" spans="1:6" ht="14.25" customHeight="1" x14ac:dyDescent="0.25">
      <c r="A3269" s="15" t="s">
        <v>3409</v>
      </c>
      <c r="B3269" s="16">
        <v>1216</v>
      </c>
      <c r="C3269" s="16">
        <v>141967</v>
      </c>
      <c r="D3269" s="31">
        <v>44760</v>
      </c>
      <c r="E3269" s="16">
        <v>0</v>
      </c>
      <c r="F3269" s="15" t="str">
        <f t="shared" si="51"/>
        <v>1216-141967-44760</v>
      </c>
    </row>
    <row r="3270" spans="1:6" ht="14.25" customHeight="1" x14ac:dyDescent="0.25">
      <c r="A3270" s="15" t="s">
        <v>3410</v>
      </c>
      <c r="B3270" s="16">
        <v>1216</v>
      </c>
      <c r="C3270" s="16">
        <v>141967</v>
      </c>
      <c r="D3270" s="31">
        <v>44767</v>
      </c>
      <c r="E3270" s="16">
        <v>8</v>
      </c>
      <c r="F3270" s="15" t="str">
        <f t="shared" si="51"/>
        <v>1216-141967-44767</v>
      </c>
    </row>
    <row r="3271" spans="1:6" ht="14.25" customHeight="1" x14ac:dyDescent="0.25">
      <c r="A3271" s="15" t="s">
        <v>3411</v>
      </c>
      <c r="B3271" s="16">
        <v>1216</v>
      </c>
      <c r="C3271" s="16">
        <v>141967</v>
      </c>
      <c r="D3271" s="31">
        <v>44774</v>
      </c>
      <c r="E3271" s="16">
        <v>13</v>
      </c>
      <c r="F3271" s="15" t="str">
        <f t="shared" si="51"/>
        <v>1216-141967-44774</v>
      </c>
    </row>
    <row r="3272" spans="1:6" ht="14.25" customHeight="1" x14ac:dyDescent="0.25">
      <c r="A3272" s="15" t="s">
        <v>3412</v>
      </c>
      <c r="B3272" s="16">
        <v>1216</v>
      </c>
      <c r="C3272" s="16">
        <v>141967</v>
      </c>
      <c r="D3272" s="31">
        <v>44781</v>
      </c>
      <c r="E3272" s="16">
        <v>9</v>
      </c>
      <c r="F3272" s="15" t="str">
        <f t="shared" si="51"/>
        <v>1216-141967-44781</v>
      </c>
    </row>
    <row r="3273" spans="1:6" ht="14.25" customHeight="1" x14ac:dyDescent="0.25">
      <c r="A3273" s="15" t="s">
        <v>3413</v>
      </c>
      <c r="B3273" s="16">
        <v>1216</v>
      </c>
      <c r="C3273" s="16">
        <v>141967</v>
      </c>
      <c r="D3273" s="31">
        <v>44788</v>
      </c>
      <c r="E3273" s="16">
        <v>13</v>
      </c>
      <c r="F3273" s="15" t="str">
        <f t="shared" si="51"/>
        <v>1216-141967-44788</v>
      </c>
    </row>
    <row r="3274" spans="1:6" ht="14.25" customHeight="1" x14ac:dyDescent="0.25">
      <c r="A3274" s="15" t="s">
        <v>3414</v>
      </c>
      <c r="B3274" s="16">
        <v>1216</v>
      </c>
      <c r="C3274" s="16">
        <v>142194</v>
      </c>
      <c r="D3274" s="31">
        <v>44739</v>
      </c>
      <c r="E3274" s="16">
        <v>20</v>
      </c>
      <c r="F3274" s="15" t="str">
        <f t="shared" si="51"/>
        <v>1216-142194-44739</v>
      </c>
    </row>
    <row r="3275" spans="1:6" ht="14.25" customHeight="1" x14ac:dyDescent="0.25">
      <c r="A3275" s="15" t="s">
        <v>3415</v>
      </c>
      <c r="B3275" s="16">
        <v>1216</v>
      </c>
      <c r="C3275" s="16">
        <v>142194</v>
      </c>
      <c r="D3275" s="31">
        <v>44746</v>
      </c>
      <c r="E3275" s="16">
        <v>18</v>
      </c>
      <c r="F3275" s="15" t="str">
        <f t="shared" si="51"/>
        <v>1216-142194-44746</v>
      </c>
    </row>
    <row r="3276" spans="1:6" ht="14.25" customHeight="1" x14ac:dyDescent="0.25">
      <c r="A3276" s="15" t="s">
        <v>3416</v>
      </c>
      <c r="B3276" s="16">
        <v>1216</v>
      </c>
      <c r="C3276" s="16">
        <v>142194</v>
      </c>
      <c r="D3276" s="31">
        <v>44753</v>
      </c>
      <c r="E3276" s="16">
        <v>16</v>
      </c>
      <c r="F3276" s="15" t="str">
        <f t="shared" si="51"/>
        <v>1216-142194-44753</v>
      </c>
    </row>
    <row r="3277" spans="1:6" ht="14.25" customHeight="1" x14ac:dyDescent="0.25">
      <c r="A3277" s="15" t="s">
        <v>3417</v>
      </c>
      <c r="B3277" s="16">
        <v>1216</v>
      </c>
      <c r="C3277" s="16">
        <v>142194</v>
      </c>
      <c r="D3277" s="31">
        <v>44760</v>
      </c>
      <c r="E3277" s="16">
        <v>16</v>
      </c>
      <c r="F3277" s="15" t="str">
        <f t="shared" si="51"/>
        <v>1216-142194-44760</v>
      </c>
    </row>
    <row r="3278" spans="1:6" ht="14.25" customHeight="1" x14ac:dyDescent="0.25">
      <c r="A3278" s="15" t="s">
        <v>3418</v>
      </c>
      <c r="B3278" s="16">
        <v>1216</v>
      </c>
      <c r="C3278" s="16">
        <v>142194</v>
      </c>
      <c r="D3278" s="31">
        <v>44767</v>
      </c>
      <c r="E3278" s="16">
        <v>14</v>
      </c>
      <c r="F3278" s="15" t="str">
        <f t="shared" si="51"/>
        <v>1216-142194-44767</v>
      </c>
    </row>
    <row r="3279" spans="1:6" ht="14.25" customHeight="1" x14ac:dyDescent="0.25">
      <c r="A3279" s="15" t="s">
        <v>3419</v>
      </c>
      <c r="B3279" s="16">
        <v>1216</v>
      </c>
      <c r="C3279" s="16">
        <v>142194</v>
      </c>
      <c r="D3279" s="31">
        <v>44774</v>
      </c>
      <c r="E3279" s="16">
        <v>18</v>
      </c>
      <c r="F3279" s="15" t="str">
        <f t="shared" si="51"/>
        <v>1216-142194-44774</v>
      </c>
    </row>
    <row r="3280" spans="1:6" ht="14.25" customHeight="1" x14ac:dyDescent="0.25">
      <c r="A3280" s="15" t="s">
        <v>3420</v>
      </c>
      <c r="B3280" s="16">
        <v>1216</v>
      </c>
      <c r="C3280" s="16">
        <v>142194</v>
      </c>
      <c r="D3280" s="31">
        <v>44781</v>
      </c>
      <c r="E3280" s="16">
        <v>4</v>
      </c>
      <c r="F3280" s="15" t="str">
        <f t="shared" si="51"/>
        <v>1216-142194-44781</v>
      </c>
    </row>
    <row r="3281" spans="1:6" ht="14.25" customHeight="1" x14ac:dyDescent="0.25">
      <c r="A3281" s="15" t="s">
        <v>3421</v>
      </c>
      <c r="B3281" s="16">
        <v>1216</v>
      </c>
      <c r="C3281" s="16">
        <v>142194</v>
      </c>
      <c r="D3281" s="31">
        <v>44788</v>
      </c>
      <c r="E3281" s="16">
        <v>12</v>
      </c>
      <c r="F3281" s="15" t="str">
        <f t="shared" si="51"/>
        <v>1216-142194-44788</v>
      </c>
    </row>
    <row r="3282" spans="1:6" ht="14.25" customHeight="1" x14ac:dyDescent="0.25">
      <c r="A3282" s="15" t="s">
        <v>3422</v>
      </c>
      <c r="B3282" s="16">
        <v>1216</v>
      </c>
      <c r="C3282" s="16">
        <v>149729</v>
      </c>
      <c r="D3282" s="31">
        <v>44739</v>
      </c>
      <c r="E3282" s="16">
        <v>23</v>
      </c>
      <c r="F3282" s="15" t="str">
        <f t="shared" si="51"/>
        <v>1216-149729-44739</v>
      </c>
    </row>
    <row r="3283" spans="1:6" ht="14.25" customHeight="1" x14ac:dyDescent="0.25">
      <c r="A3283" s="15" t="s">
        <v>3423</v>
      </c>
      <c r="B3283" s="16">
        <v>1216</v>
      </c>
      <c r="C3283" s="16">
        <v>149729</v>
      </c>
      <c r="D3283" s="31">
        <v>44746</v>
      </c>
      <c r="E3283" s="16">
        <v>59</v>
      </c>
      <c r="F3283" s="15" t="str">
        <f t="shared" si="51"/>
        <v>1216-149729-44746</v>
      </c>
    </row>
    <row r="3284" spans="1:6" ht="14.25" customHeight="1" x14ac:dyDescent="0.25">
      <c r="A3284" s="15" t="s">
        <v>3424</v>
      </c>
      <c r="B3284" s="16">
        <v>1216</v>
      </c>
      <c r="C3284" s="16">
        <v>149729</v>
      </c>
      <c r="D3284" s="31">
        <v>44753</v>
      </c>
      <c r="E3284" s="16">
        <v>20</v>
      </c>
      <c r="F3284" s="15" t="str">
        <f t="shared" si="51"/>
        <v>1216-149729-44753</v>
      </c>
    </row>
    <row r="3285" spans="1:6" ht="14.25" customHeight="1" x14ac:dyDescent="0.25">
      <c r="A3285" s="15" t="s">
        <v>3425</v>
      </c>
      <c r="B3285" s="16">
        <v>1216</v>
      </c>
      <c r="C3285" s="16">
        <v>149729</v>
      </c>
      <c r="D3285" s="31">
        <v>44760</v>
      </c>
      <c r="E3285" s="16">
        <v>86</v>
      </c>
      <c r="F3285" s="15" t="str">
        <f t="shared" si="51"/>
        <v>1216-149729-44760</v>
      </c>
    </row>
    <row r="3286" spans="1:6" ht="14.25" customHeight="1" x14ac:dyDescent="0.25">
      <c r="A3286" s="15" t="s">
        <v>3426</v>
      </c>
      <c r="B3286" s="16">
        <v>1216</v>
      </c>
      <c r="C3286" s="16">
        <v>149729</v>
      </c>
      <c r="D3286" s="31">
        <v>44767</v>
      </c>
      <c r="E3286" s="16">
        <v>64</v>
      </c>
      <c r="F3286" s="15" t="str">
        <f t="shared" si="51"/>
        <v>1216-149729-44767</v>
      </c>
    </row>
    <row r="3287" spans="1:6" ht="14.25" customHeight="1" x14ac:dyDescent="0.25">
      <c r="A3287" s="15" t="s">
        <v>3427</v>
      </c>
      <c r="B3287" s="16">
        <v>1216</v>
      </c>
      <c r="C3287" s="16">
        <v>149729</v>
      </c>
      <c r="D3287" s="31">
        <v>44774</v>
      </c>
      <c r="E3287" s="16">
        <v>82</v>
      </c>
      <c r="F3287" s="15" t="str">
        <f t="shared" si="51"/>
        <v>1216-149729-44774</v>
      </c>
    </row>
    <row r="3288" spans="1:6" ht="14.25" customHeight="1" x14ac:dyDescent="0.25">
      <c r="A3288" s="15" t="s">
        <v>3428</v>
      </c>
      <c r="B3288" s="16">
        <v>1216</v>
      </c>
      <c r="C3288" s="16">
        <v>149729</v>
      </c>
      <c r="D3288" s="31">
        <v>44781</v>
      </c>
      <c r="E3288" s="16">
        <v>84</v>
      </c>
      <c r="F3288" s="15" t="str">
        <f t="shared" si="51"/>
        <v>1216-149729-44781</v>
      </c>
    </row>
    <row r="3289" spans="1:6" ht="14.25" customHeight="1" x14ac:dyDescent="0.25">
      <c r="A3289" s="15" t="s">
        <v>3429</v>
      </c>
      <c r="B3289" s="16">
        <v>1216</v>
      </c>
      <c r="C3289" s="16">
        <v>149729</v>
      </c>
      <c r="D3289" s="31">
        <v>44788</v>
      </c>
      <c r="E3289" s="16">
        <v>91</v>
      </c>
      <c r="F3289" s="15" t="str">
        <f t="shared" si="51"/>
        <v>1216-149729-44788</v>
      </c>
    </row>
    <row r="3290" spans="1:6" ht="14.25" customHeight="1" x14ac:dyDescent="0.25">
      <c r="A3290" s="15" t="s">
        <v>3430</v>
      </c>
      <c r="B3290" s="16">
        <v>1216</v>
      </c>
      <c r="C3290" s="16">
        <v>149779</v>
      </c>
      <c r="D3290" s="31">
        <v>44739</v>
      </c>
      <c r="E3290" s="16">
        <v>49</v>
      </c>
      <c r="F3290" s="15" t="str">
        <f t="shared" si="51"/>
        <v>1216-149779-44739</v>
      </c>
    </row>
    <row r="3291" spans="1:6" ht="14.25" customHeight="1" x14ac:dyDescent="0.25">
      <c r="A3291" s="15" t="s">
        <v>3431</v>
      </c>
      <c r="B3291" s="16">
        <v>1216</v>
      </c>
      <c r="C3291" s="16">
        <v>149779</v>
      </c>
      <c r="D3291" s="31">
        <v>44746</v>
      </c>
      <c r="E3291" s="16">
        <v>26</v>
      </c>
      <c r="F3291" s="15" t="str">
        <f t="shared" si="51"/>
        <v>1216-149779-44746</v>
      </c>
    </row>
    <row r="3292" spans="1:6" ht="14.25" customHeight="1" x14ac:dyDescent="0.25">
      <c r="A3292" s="15" t="s">
        <v>3432</v>
      </c>
      <c r="B3292" s="16">
        <v>1216</v>
      </c>
      <c r="C3292" s="16">
        <v>149779</v>
      </c>
      <c r="D3292" s="31">
        <v>44753</v>
      </c>
      <c r="E3292" s="16">
        <v>71</v>
      </c>
      <c r="F3292" s="15" t="str">
        <f t="shared" si="51"/>
        <v>1216-149779-44753</v>
      </c>
    </row>
    <row r="3293" spans="1:6" ht="14.25" customHeight="1" x14ac:dyDescent="0.25">
      <c r="A3293" s="15" t="s">
        <v>3433</v>
      </c>
      <c r="B3293" s="16">
        <v>1216</v>
      </c>
      <c r="C3293" s="16">
        <v>149779</v>
      </c>
      <c r="D3293" s="31">
        <v>44760</v>
      </c>
      <c r="E3293" s="16">
        <v>20</v>
      </c>
      <c r="F3293" s="15" t="str">
        <f t="shared" si="51"/>
        <v>1216-149779-44760</v>
      </c>
    </row>
    <row r="3294" spans="1:6" ht="14.25" customHeight="1" x14ac:dyDescent="0.25">
      <c r="A3294" s="15" t="s">
        <v>3434</v>
      </c>
      <c r="B3294" s="16">
        <v>1216</v>
      </c>
      <c r="C3294" s="16">
        <v>149779</v>
      </c>
      <c r="D3294" s="31">
        <v>44767</v>
      </c>
      <c r="E3294" s="16">
        <v>58</v>
      </c>
      <c r="F3294" s="15" t="str">
        <f t="shared" si="51"/>
        <v>1216-149779-44767</v>
      </c>
    </row>
    <row r="3295" spans="1:6" ht="14.25" customHeight="1" x14ac:dyDescent="0.25">
      <c r="A3295" s="15" t="s">
        <v>3435</v>
      </c>
      <c r="B3295" s="16">
        <v>1216</v>
      </c>
      <c r="C3295" s="16">
        <v>149779</v>
      </c>
      <c r="D3295" s="31">
        <v>44774</v>
      </c>
      <c r="E3295" s="16">
        <v>66</v>
      </c>
      <c r="F3295" s="15" t="str">
        <f t="shared" si="51"/>
        <v>1216-149779-44774</v>
      </c>
    </row>
    <row r="3296" spans="1:6" ht="14.25" customHeight="1" x14ac:dyDescent="0.25">
      <c r="A3296" s="15" t="s">
        <v>3436</v>
      </c>
      <c r="B3296" s="16">
        <v>1216</v>
      </c>
      <c r="C3296" s="16">
        <v>149779</v>
      </c>
      <c r="D3296" s="31">
        <v>44781</v>
      </c>
      <c r="E3296" s="16">
        <v>25</v>
      </c>
      <c r="F3296" s="15" t="str">
        <f t="shared" si="51"/>
        <v>1216-149779-44781</v>
      </c>
    </row>
    <row r="3297" spans="1:6" ht="14.25" customHeight="1" x14ac:dyDescent="0.25">
      <c r="A3297" s="15" t="s">
        <v>3437</v>
      </c>
      <c r="B3297" s="16">
        <v>1216</v>
      </c>
      <c r="C3297" s="16">
        <v>149779</v>
      </c>
      <c r="D3297" s="31">
        <v>44788</v>
      </c>
      <c r="E3297" s="16">
        <v>60</v>
      </c>
      <c r="F3297" s="15" t="str">
        <f t="shared" si="51"/>
        <v>1216-149779-44788</v>
      </c>
    </row>
    <row r="3298" spans="1:6" ht="14.25" customHeight="1" x14ac:dyDescent="0.25">
      <c r="A3298" s="15" t="s">
        <v>3438</v>
      </c>
      <c r="B3298" s="16">
        <v>1216</v>
      </c>
      <c r="C3298" s="16">
        <v>189933</v>
      </c>
      <c r="D3298" s="31">
        <v>44739</v>
      </c>
      <c r="E3298" s="16">
        <v>3</v>
      </c>
      <c r="F3298" s="15" t="str">
        <f t="shared" si="51"/>
        <v>1216-189933-44739</v>
      </c>
    </row>
    <row r="3299" spans="1:6" ht="14.25" customHeight="1" x14ac:dyDescent="0.25">
      <c r="A3299" s="15" t="s">
        <v>3439</v>
      </c>
      <c r="B3299" s="16">
        <v>1216</v>
      </c>
      <c r="C3299" s="16">
        <v>189933</v>
      </c>
      <c r="D3299" s="31">
        <v>44746</v>
      </c>
      <c r="E3299" s="16">
        <v>3</v>
      </c>
      <c r="F3299" s="15" t="str">
        <f t="shared" si="51"/>
        <v>1216-189933-44746</v>
      </c>
    </row>
    <row r="3300" spans="1:6" ht="14.25" customHeight="1" x14ac:dyDescent="0.25">
      <c r="A3300" s="15" t="s">
        <v>3440</v>
      </c>
      <c r="B3300" s="16">
        <v>1216</v>
      </c>
      <c r="C3300" s="16">
        <v>189933</v>
      </c>
      <c r="D3300" s="31">
        <v>44753</v>
      </c>
      <c r="E3300" s="16">
        <v>3</v>
      </c>
      <c r="F3300" s="15" t="str">
        <f t="shared" si="51"/>
        <v>1216-189933-44753</v>
      </c>
    </row>
    <row r="3301" spans="1:6" ht="14.25" customHeight="1" x14ac:dyDescent="0.25">
      <c r="A3301" s="15" t="s">
        <v>3441</v>
      </c>
      <c r="B3301" s="16">
        <v>1216</v>
      </c>
      <c r="C3301" s="16">
        <v>189933</v>
      </c>
      <c r="D3301" s="31">
        <v>44760</v>
      </c>
      <c r="E3301" s="16">
        <v>3</v>
      </c>
      <c r="F3301" s="15" t="str">
        <f t="shared" si="51"/>
        <v>1216-189933-44760</v>
      </c>
    </row>
    <row r="3302" spans="1:6" ht="14.25" customHeight="1" x14ac:dyDescent="0.25">
      <c r="A3302" s="15" t="s">
        <v>3442</v>
      </c>
      <c r="B3302" s="16">
        <v>1216</v>
      </c>
      <c r="C3302" s="16">
        <v>189933</v>
      </c>
      <c r="D3302" s="31">
        <v>44767</v>
      </c>
      <c r="E3302" s="16">
        <v>3</v>
      </c>
      <c r="F3302" s="15" t="str">
        <f t="shared" si="51"/>
        <v>1216-189933-44767</v>
      </c>
    </row>
    <row r="3303" spans="1:6" ht="14.25" customHeight="1" x14ac:dyDescent="0.25">
      <c r="A3303" s="15" t="s">
        <v>3443</v>
      </c>
      <c r="B3303" s="16">
        <v>1216</v>
      </c>
      <c r="C3303" s="16">
        <v>189933</v>
      </c>
      <c r="D3303" s="31">
        <v>44774</v>
      </c>
      <c r="E3303" s="16">
        <v>3</v>
      </c>
      <c r="F3303" s="15" t="str">
        <f t="shared" si="51"/>
        <v>1216-189933-44774</v>
      </c>
    </row>
    <row r="3304" spans="1:6" ht="14.25" customHeight="1" x14ac:dyDescent="0.25">
      <c r="A3304" s="15" t="s">
        <v>3444</v>
      </c>
      <c r="B3304" s="16">
        <v>1216</v>
      </c>
      <c r="C3304" s="16">
        <v>189933</v>
      </c>
      <c r="D3304" s="31">
        <v>44781</v>
      </c>
      <c r="E3304" s="16">
        <v>3</v>
      </c>
      <c r="F3304" s="15" t="str">
        <f t="shared" si="51"/>
        <v>1216-189933-44781</v>
      </c>
    </row>
    <row r="3305" spans="1:6" ht="14.25" customHeight="1" x14ac:dyDescent="0.25">
      <c r="A3305" s="15" t="s">
        <v>3445</v>
      </c>
      <c r="B3305" s="16">
        <v>1216</v>
      </c>
      <c r="C3305" s="16">
        <v>189933</v>
      </c>
      <c r="D3305" s="31">
        <v>44788</v>
      </c>
      <c r="E3305" s="16">
        <v>3</v>
      </c>
      <c r="F3305" s="15" t="str">
        <f t="shared" si="51"/>
        <v>1216-189933-44788</v>
      </c>
    </row>
    <row r="3306" spans="1:6" ht="14.25" customHeight="1" x14ac:dyDescent="0.25">
      <c r="A3306" s="15" t="s">
        <v>3446</v>
      </c>
      <c r="B3306" s="16">
        <v>1216</v>
      </c>
      <c r="C3306" s="16">
        <v>202577</v>
      </c>
      <c r="D3306" s="31">
        <v>44739</v>
      </c>
      <c r="E3306" s="16">
        <v>21</v>
      </c>
      <c r="F3306" s="15" t="str">
        <f t="shared" si="51"/>
        <v>1216-202577-44739</v>
      </c>
    </row>
    <row r="3307" spans="1:6" ht="14.25" customHeight="1" x14ac:dyDescent="0.25">
      <c r="A3307" s="15" t="s">
        <v>3447</v>
      </c>
      <c r="B3307" s="16">
        <v>1216</v>
      </c>
      <c r="C3307" s="16">
        <v>202577</v>
      </c>
      <c r="D3307" s="31">
        <v>44746</v>
      </c>
      <c r="E3307" s="16">
        <v>21</v>
      </c>
      <c r="F3307" s="15" t="str">
        <f t="shared" si="51"/>
        <v>1216-202577-44746</v>
      </c>
    </row>
    <row r="3308" spans="1:6" ht="14.25" customHeight="1" x14ac:dyDescent="0.25">
      <c r="A3308" s="15" t="s">
        <v>3448</v>
      </c>
      <c r="B3308" s="16">
        <v>1216</v>
      </c>
      <c r="C3308" s="16">
        <v>202577</v>
      </c>
      <c r="D3308" s="31">
        <v>44753</v>
      </c>
      <c r="E3308" s="16">
        <v>21</v>
      </c>
      <c r="F3308" s="15" t="str">
        <f t="shared" si="51"/>
        <v>1216-202577-44753</v>
      </c>
    </row>
    <row r="3309" spans="1:6" ht="14.25" customHeight="1" x14ac:dyDescent="0.25">
      <c r="A3309" s="15" t="s">
        <v>3449</v>
      </c>
      <c r="B3309" s="16">
        <v>1216</v>
      </c>
      <c r="C3309" s="16">
        <v>202577</v>
      </c>
      <c r="D3309" s="31">
        <v>44760</v>
      </c>
      <c r="E3309" s="16">
        <v>21</v>
      </c>
      <c r="F3309" s="15" t="str">
        <f t="shared" si="51"/>
        <v>1216-202577-44760</v>
      </c>
    </row>
    <row r="3310" spans="1:6" ht="14.25" customHeight="1" x14ac:dyDescent="0.25">
      <c r="A3310" s="15" t="s">
        <v>3450</v>
      </c>
      <c r="B3310" s="16">
        <v>1216</v>
      </c>
      <c r="C3310" s="16">
        <v>202577</v>
      </c>
      <c r="D3310" s="31">
        <v>44767</v>
      </c>
      <c r="E3310" s="16">
        <v>21</v>
      </c>
      <c r="F3310" s="15" t="str">
        <f t="shared" si="51"/>
        <v>1216-202577-44767</v>
      </c>
    </row>
    <row r="3311" spans="1:6" ht="14.25" customHeight="1" x14ac:dyDescent="0.25">
      <c r="A3311" s="15" t="s">
        <v>3451</v>
      </c>
      <c r="B3311" s="16">
        <v>1216</v>
      </c>
      <c r="C3311" s="16">
        <v>202577</v>
      </c>
      <c r="D3311" s="31">
        <v>44774</v>
      </c>
      <c r="E3311" s="16">
        <v>21</v>
      </c>
      <c r="F3311" s="15" t="str">
        <f t="shared" si="51"/>
        <v>1216-202577-44774</v>
      </c>
    </row>
    <row r="3312" spans="1:6" ht="14.25" customHeight="1" x14ac:dyDescent="0.25">
      <c r="A3312" s="15" t="s">
        <v>3452</v>
      </c>
      <c r="B3312" s="16">
        <v>1216</v>
      </c>
      <c r="C3312" s="16">
        <v>202577</v>
      </c>
      <c r="D3312" s="31">
        <v>44781</v>
      </c>
      <c r="E3312" s="16">
        <v>21</v>
      </c>
      <c r="F3312" s="15" t="str">
        <f t="shared" si="51"/>
        <v>1216-202577-44781</v>
      </c>
    </row>
    <row r="3313" spans="1:6" ht="14.25" customHeight="1" x14ac:dyDescent="0.25">
      <c r="A3313" s="15" t="s">
        <v>3453</v>
      </c>
      <c r="B3313" s="16">
        <v>1216</v>
      </c>
      <c r="C3313" s="16">
        <v>202577</v>
      </c>
      <c r="D3313" s="31">
        <v>44788</v>
      </c>
      <c r="E3313" s="16">
        <v>21</v>
      </c>
      <c r="F3313" s="15" t="str">
        <f t="shared" si="51"/>
        <v>1216-202577-44788</v>
      </c>
    </row>
    <row r="3314" spans="1:6" ht="14.25" customHeight="1" x14ac:dyDescent="0.25">
      <c r="A3314" s="15" t="s">
        <v>3454</v>
      </c>
      <c r="B3314" s="16">
        <v>1216</v>
      </c>
      <c r="C3314" s="16">
        <v>234334</v>
      </c>
      <c r="D3314" s="31">
        <v>44739</v>
      </c>
      <c r="E3314" s="16">
        <v>42</v>
      </c>
      <c r="F3314" s="15" t="str">
        <f t="shared" si="51"/>
        <v>1216-234334-44739</v>
      </c>
    </row>
    <row r="3315" spans="1:6" ht="14.25" customHeight="1" x14ac:dyDescent="0.25">
      <c r="A3315" s="15" t="s">
        <v>3455</v>
      </c>
      <c r="B3315" s="16">
        <v>1216</v>
      </c>
      <c r="C3315" s="16">
        <v>234334</v>
      </c>
      <c r="D3315" s="31">
        <v>44746</v>
      </c>
      <c r="E3315" s="16">
        <v>54</v>
      </c>
      <c r="F3315" s="15" t="str">
        <f t="shared" si="51"/>
        <v>1216-234334-44746</v>
      </c>
    </row>
    <row r="3316" spans="1:6" ht="14.25" customHeight="1" x14ac:dyDescent="0.25">
      <c r="A3316" s="15" t="s">
        <v>3456</v>
      </c>
      <c r="B3316" s="16">
        <v>1216</v>
      </c>
      <c r="C3316" s="16">
        <v>234334</v>
      </c>
      <c r="D3316" s="31">
        <v>44753</v>
      </c>
      <c r="E3316" s="16">
        <v>56</v>
      </c>
      <c r="F3316" s="15" t="str">
        <f t="shared" si="51"/>
        <v>1216-234334-44753</v>
      </c>
    </row>
    <row r="3317" spans="1:6" ht="14.25" customHeight="1" x14ac:dyDescent="0.25">
      <c r="A3317" s="15" t="s">
        <v>3457</v>
      </c>
      <c r="B3317" s="16">
        <v>1216</v>
      </c>
      <c r="C3317" s="16">
        <v>234334</v>
      </c>
      <c r="D3317" s="31">
        <v>44760</v>
      </c>
      <c r="E3317" s="16">
        <v>50</v>
      </c>
      <c r="F3317" s="15" t="str">
        <f t="shared" si="51"/>
        <v>1216-234334-44760</v>
      </c>
    </row>
    <row r="3318" spans="1:6" ht="14.25" customHeight="1" x14ac:dyDescent="0.25">
      <c r="A3318" s="15" t="s">
        <v>3458</v>
      </c>
      <c r="B3318" s="16">
        <v>1216</v>
      </c>
      <c r="C3318" s="16">
        <v>234334</v>
      </c>
      <c r="D3318" s="31">
        <v>44767</v>
      </c>
      <c r="E3318" s="16">
        <v>52</v>
      </c>
      <c r="F3318" s="15" t="str">
        <f t="shared" si="51"/>
        <v>1216-234334-44767</v>
      </c>
    </row>
    <row r="3319" spans="1:6" ht="14.25" customHeight="1" x14ac:dyDescent="0.25">
      <c r="A3319" s="15" t="s">
        <v>3459</v>
      </c>
      <c r="B3319" s="16">
        <v>1216</v>
      </c>
      <c r="C3319" s="16">
        <v>234334</v>
      </c>
      <c r="D3319" s="31">
        <v>44774</v>
      </c>
      <c r="E3319" s="16">
        <v>42</v>
      </c>
      <c r="F3319" s="15" t="str">
        <f t="shared" si="51"/>
        <v>1216-234334-44774</v>
      </c>
    </row>
    <row r="3320" spans="1:6" ht="14.25" customHeight="1" x14ac:dyDescent="0.25">
      <c r="A3320" s="15" t="s">
        <v>3460</v>
      </c>
      <c r="B3320" s="16">
        <v>1216</v>
      </c>
      <c r="C3320" s="16">
        <v>234334</v>
      </c>
      <c r="D3320" s="31">
        <v>44781</v>
      </c>
      <c r="E3320" s="16">
        <v>27</v>
      </c>
      <c r="F3320" s="15" t="str">
        <f t="shared" si="51"/>
        <v>1216-234334-44781</v>
      </c>
    </row>
    <row r="3321" spans="1:6" ht="14.25" customHeight="1" x14ac:dyDescent="0.25">
      <c r="A3321" s="15" t="s">
        <v>3461</v>
      </c>
      <c r="B3321" s="16">
        <v>1216</v>
      </c>
      <c r="C3321" s="16">
        <v>234334</v>
      </c>
      <c r="D3321" s="31">
        <v>44788</v>
      </c>
      <c r="E3321" s="16">
        <v>44</v>
      </c>
      <c r="F3321" s="15" t="str">
        <f t="shared" si="51"/>
        <v>1216-234334-44788</v>
      </c>
    </row>
    <row r="3322" spans="1:6" ht="14.25" customHeight="1" x14ac:dyDescent="0.25">
      <c r="A3322" s="15" t="s">
        <v>3462</v>
      </c>
      <c r="B3322" s="16">
        <v>1216</v>
      </c>
      <c r="C3322" s="16">
        <v>249444</v>
      </c>
      <c r="D3322" s="31">
        <v>44739</v>
      </c>
      <c r="E3322" s="16">
        <v>58</v>
      </c>
      <c r="F3322" s="15" t="str">
        <f t="shared" si="51"/>
        <v>1216-249444-44739</v>
      </c>
    </row>
    <row r="3323" spans="1:6" ht="14.25" customHeight="1" x14ac:dyDescent="0.25">
      <c r="A3323" s="15" t="s">
        <v>3463</v>
      </c>
      <c r="B3323" s="16">
        <v>1216</v>
      </c>
      <c r="C3323" s="16">
        <v>249444</v>
      </c>
      <c r="D3323" s="31">
        <v>44746</v>
      </c>
      <c r="E3323" s="16">
        <v>18</v>
      </c>
      <c r="F3323" s="15" t="str">
        <f t="shared" si="51"/>
        <v>1216-249444-44746</v>
      </c>
    </row>
    <row r="3324" spans="1:6" ht="14.25" customHeight="1" x14ac:dyDescent="0.25">
      <c r="A3324" s="15" t="s">
        <v>3464</v>
      </c>
      <c r="B3324" s="16">
        <v>1216</v>
      </c>
      <c r="C3324" s="16">
        <v>249444</v>
      </c>
      <c r="D3324" s="31">
        <v>44753</v>
      </c>
      <c r="E3324" s="16">
        <v>84</v>
      </c>
      <c r="F3324" s="15" t="str">
        <f t="shared" si="51"/>
        <v>1216-249444-44753</v>
      </c>
    </row>
    <row r="3325" spans="1:6" ht="14.25" customHeight="1" x14ac:dyDescent="0.25">
      <c r="A3325" s="15" t="s">
        <v>3465</v>
      </c>
      <c r="B3325" s="16">
        <v>1216</v>
      </c>
      <c r="C3325" s="16">
        <v>249444</v>
      </c>
      <c r="D3325" s="31">
        <v>44760</v>
      </c>
      <c r="E3325" s="16">
        <v>64</v>
      </c>
      <c r="F3325" s="15" t="str">
        <f t="shared" si="51"/>
        <v>1216-249444-44760</v>
      </c>
    </row>
    <row r="3326" spans="1:6" ht="14.25" customHeight="1" x14ac:dyDescent="0.25">
      <c r="A3326" s="15" t="s">
        <v>3466</v>
      </c>
      <c r="B3326" s="16">
        <v>1216</v>
      </c>
      <c r="C3326" s="16">
        <v>249444</v>
      </c>
      <c r="D3326" s="31">
        <v>44767</v>
      </c>
      <c r="E3326" s="16">
        <v>80</v>
      </c>
      <c r="F3326" s="15" t="str">
        <f t="shared" si="51"/>
        <v>1216-249444-44767</v>
      </c>
    </row>
    <row r="3327" spans="1:6" ht="14.25" customHeight="1" x14ac:dyDescent="0.25">
      <c r="A3327" s="15" t="s">
        <v>3467</v>
      </c>
      <c r="B3327" s="16">
        <v>1216</v>
      </c>
      <c r="C3327" s="16">
        <v>249444</v>
      </c>
      <c r="D3327" s="31">
        <v>44774</v>
      </c>
      <c r="E3327" s="16">
        <v>86</v>
      </c>
      <c r="F3327" s="15" t="str">
        <f t="shared" si="51"/>
        <v>1216-249444-44774</v>
      </c>
    </row>
    <row r="3328" spans="1:6" ht="14.25" customHeight="1" x14ac:dyDescent="0.25">
      <c r="A3328" s="15" t="s">
        <v>3468</v>
      </c>
      <c r="B3328" s="16">
        <v>1216</v>
      </c>
      <c r="C3328" s="16">
        <v>249444</v>
      </c>
      <c r="D3328" s="31">
        <v>44781</v>
      </c>
      <c r="E3328" s="16">
        <v>57</v>
      </c>
      <c r="F3328" s="15" t="str">
        <f t="shared" si="51"/>
        <v>1216-249444-44781</v>
      </c>
    </row>
    <row r="3329" spans="1:6" ht="14.25" customHeight="1" x14ac:dyDescent="0.25">
      <c r="A3329" s="15" t="s">
        <v>3469</v>
      </c>
      <c r="B3329" s="16">
        <v>1216</v>
      </c>
      <c r="C3329" s="16">
        <v>249444</v>
      </c>
      <c r="D3329" s="31">
        <v>44788</v>
      </c>
      <c r="E3329" s="16">
        <v>80</v>
      </c>
      <c r="F3329" s="15" t="str">
        <f t="shared" si="51"/>
        <v>1216-249444-44788</v>
      </c>
    </row>
    <row r="3330" spans="1:6" ht="14.25" customHeight="1" x14ac:dyDescent="0.25">
      <c r="A3330" s="15" t="s">
        <v>3470</v>
      </c>
      <c r="B3330" s="16">
        <v>1216</v>
      </c>
      <c r="C3330" s="16">
        <v>249795</v>
      </c>
      <c r="D3330" s="31">
        <v>44739</v>
      </c>
      <c r="E3330" s="16">
        <v>9</v>
      </c>
      <c r="F3330" s="15" t="str">
        <f t="shared" si="51"/>
        <v>1216-249795-44739</v>
      </c>
    </row>
    <row r="3331" spans="1:6" ht="14.25" customHeight="1" x14ac:dyDescent="0.25">
      <c r="A3331" s="15" t="s">
        <v>3471</v>
      </c>
      <c r="B3331" s="16">
        <v>1216</v>
      </c>
      <c r="C3331" s="16">
        <v>249795</v>
      </c>
      <c r="D3331" s="31">
        <v>44746</v>
      </c>
      <c r="E3331" s="16">
        <v>9</v>
      </c>
      <c r="F3331" s="15" t="str">
        <f t="shared" ref="F3331:F3394" si="52">B3331&amp;"-"&amp;C3331&amp;"-"&amp;INT(D3331)</f>
        <v>1216-249795-44746</v>
      </c>
    </row>
    <row r="3332" spans="1:6" ht="14.25" customHeight="1" x14ac:dyDescent="0.25">
      <c r="A3332" s="15" t="s">
        <v>3472</v>
      </c>
      <c r="B3332" s="16">
        <v>1216</v>
      </c>
      <c r="C3332" s="16">
        <v>249795</v>
      </c>
      <c r="D3332" s="31">
        <v>44753</v>
      </c>
      <c r="E3332" s="16">
        <v>9</v>
      </c>
      <c r="F3332" s="15" t="str">
        <f t="shared" si="52"/>
        <v>1216-249795-44753</v>
      </c>
    </row>
    <row r="3333" spans="1:6" ht="14.25" customHeight="1" x14ac:dyDescent="0.25">
      <c r="A3333" s="15" t="s">
        <v>3473</v>
      </c>
      <c r="B3333" s="16">
        <v>1216</v>
      </c>
      <c r="C3333" s="16">
        <v>249795</v>
      </c>
      <c r="D3333" s="31">
        <v>44760</v>
      </c>
      <c r="E3333" s="16">
        <v>9</v>
      </c>
      <c r="F3333" s="15" t="str">
        <f t="shared" si="52"/>
        <v>1216-249795-44760</v>
      </c>
    </row>
    <row r="3334" spans="1:6" ht="14.25" customHeight="1" x14ac:dyDescent="0.25">
      <c r="A3334" s="15" t="s">
        <v>3474</v>
      </c>
      <c r="B3334" s="16">
        <v>1216</v>
      </c>
      <c r="C3334" s="16">
        <v>249795</v>
      </c>
      <c r="D3334" s="31">
        <v>44767</v>
      </c>
      <c r="E3334" s="16">
        <v>9</v>
      </c>
      <c r="F3334" s="15" t="str">
        <f t="shared" si="52"/>
        <v>1216-249795-44767</v>
      </c>
    </row>
    <row r="3335" spans="1:6" ht="14.25" customHeight="1" x14ac:dyDescent="0.25">
      <c r="A3335" s="15" t="s">
        <v>3475</v>
      </c>
      <c r="B3335" s="16">
        <v>1216</v>
      </c>
      <c r="C3335" s="16">
        <v>249795</v>
      </c>
      <c r="D3335" s="31">
        <v>44774</v>
      </c>
      <c r="E3335" s="16">
        <v>9</v>
      </c>
      <c r="F3335" s="15" t="str">
        <f t="shared" si="52"/>
        <v>1216-249795-44774</v>
      </c>
    </row>
    <row r="3336" spans="1:6" ht="14.25" customHeight="1" x14ac:dyDescent="0.25">
      <c r="A3336" s="15" t="s">
        <v>3476</v>
      </c>
      <c r="B3336" s="16">
        <v>1216</v>
      </c>
      <c r="C3336" s="16">
        <v>249795</v>
      </c>
      <c r="D3336" s="31">
        <v>44781</v>
      </c>
      <c r="E3336" s="16">
        <v>9</v>
      </c>
      <c r="F3336" s="15" t="str">
        <f t="shared" si="52"/>
        <v>1216-249795-44781</v>
      </c>
    </row>
    <row r="3337" spans="1:6" ht="14.25" customHeight="1" x14ac:dyDescent="0.25">
      <c r="A3337" s="15" t="s">
        <v>3477</v>
      </c>
      <c r="B3337" s="16">
        <v>1216</v>
      </c>
      <c r="C3337" s="16">
        <v>249795</v>
      </c>
      <c r="D3337" s="31">
        <v>44788</v>
      </c>
      <c r="E3337" s="16">
        <v>9</v>
      </c>
      <c r="F3337" s="15" t="str">
        <f t="shared" si="52"/>
        <v>1216-249795-44788</v>
      </c>
    </row>
    <row r="3338" spans="1:6" ht="14.25" customHeight="1" x14ac:dyDescent="0.25">
      <c r="A3338" s="15" t="s">
        <v>3478</v>
      </c>
      <c r="B3338" s="16">
        <v>1216</v>
      </c>
      <c r="C3338" s="16">
        <v>250979</v>
      </c>
      <c r="D3338" s="31">
        <v>44739</v>
      </c>
      <c r="E3338" s="16">
        <v>24</v>
      </c>
      <c r="F3338" s="15" t="str">
        <f t="shared" si="52"/>
        <v>1216-250979-44739</v>
      </c>
    </row>
    <row r="3339" spans="1:6" ht="14.25" customHeight="1" x14ac:dyDescent="0.25">
      <c r="A3339" s="15" t="s">
        <v>3479</v>
      </c>
      <c r="B3339" s="16">
        <v>1216</v>
      </c>
      <c r="C3339" s="16">
        <v>250979</v>
      </c>
      <c r="D3339" s="31">
        <v>44746</v>
      </c>
      <c r="E3339" s="16">
        <v>24</v>
      </c>
      <c r="F3339" s="15" t="str">
        <f t="shared" si="52"/>
        <v>1216-250979-44746</v>
      </c>
    </row>
    <row r="3340" spans="1:6" ht="14.25" customHeight="1" x14ac:dyDescent="0.25">
      <c r="A3340" s="15" t="s">
        <v>3480</v>
      </c>
      <c r="B3340" s="16">
        <v>1216</v>
      </c>
      <c r="C3340" s="16">
        <v>250979</v>
      </c>
      <c r="D3340" s="31">
        <v>44753</v>
      </c>
      <c r="E3340" s="16">
        <v>17</v>
      </c>
      <c r="F3340" s="15" t="str">
        <f t="shared" si="52"/>
        <v>1216-250979-44753</v>
      </c>
    </row>
    <row r="3341" spans="1:6" ht="14.25" customHeight="1" x14ac:dyDescent="0.25">
      <c r="A3341" s="15" t="s">
        <v>3481</v>
      </c>
      <c r="B3341" s="16">
        <v>1216</v>
      </c>
      <c r="C3341" s="16">
        <v>250979</v>
      </c>
      <c r="D3341" s="31">
        <v>44760</v>
      </c>
      <c r="E3341" s="16">
        <v>25</v>
      </c>
      <c r="F3341" s="15" t="str">
        <f t="shared" si="52"/>
        <v>1216-250979-44760</v>
      </c>
    </row>
    <row r="3342" spans="1:6" ht="14.25" customHeight="1" x14ac:dyDescent="0.25">
      <c r="A3342" s="15" t="s">
        <v>3482</v>
      </c>
      <c r="B3342" s="16">
        <v>1216</v>
      </c>
      <c r="C3342" s="16">
        <v>250979</v>
      </c>
      <c r="D3342" s="31">
        <v>44767</v>
      </c>
      <c r="E3342" s="16">
        <v>23</v>
      </c>
      <c r="F3342" s="15" t="str">
        <f t="shared" si="52"/>
        <v>1216-250979-44767</v>
      </c>
    </row>
    <row r="3343" spans="1:6" ht="14.25" customHeight="1" x14ac:dyDescent="0.25">
      <c r="A3343" s="15" t="s">
        <v>3483</v>
      </c>
      <c r="B3343" s="16">
        <v>1216</v>
      </c>
      <c r="C3343" s="16">
        <v>250979</v>
      </c>
      <c r="D3343" s="31">
        <v>44774</v>
      </c>
      <c r="E3343" s="16">
        <v>20</v>
      </c>
      <c r="F3343" s="15" t="str">
        <f t="shared" si="52"/>
        <v>1216-250979-44774</v>
      </c>
    </row>
    <row r="3344" spans="1:6" ht="14.25" customHeight="1" x14ac:dyDescent="0.25">
      <c r="A3344" s="15" t="s">
        <v>3484</v>
      </c>
      <c r="B3344" s="16">
        <v>1216</v>
      </c>
      <c r="C3344" s="16">
        <v>250979</v>
      </c>
      <c r="D3344" s="31">
        <v>44781</v>
      </c>
      <c r="E3344" s="16">
        <v>24</v>
      </c>
      <c r="F3344" s="15" t="str">
        <f t="shared" si="52"/>
        <v>1216-250979-44781</v>
      </c>
    </row>
    <row r="3345" spans="1:6" ht="14.25" customHeight="1" x14ac:dyDescent="0.25">
      <c r="A3345" s="15" t="s">
        <v>3485</v>
      </c>
      <c r="B3345" s="16">
        <v>1216</v>
      </c>
      <c r="C3345" s="16">
        <v>250979</v>
      </c>
      <c r="D3345" s="31">
        <v>44788</v>
      </c>
      <c r="E3345" s="16">
        <v>24</v>
      </c>
      <c r="F3345" s="15" t="str">
        <f t="shared" si="52"/>
        <v>1216-250979-44788</v>
      </c>
    </row>
    <row r="3346" spans="1:6" ht="14.25" customHeight="1" x14ac:dyDescent="0.25">
      <c r="A3346" s="15" t="s">
        <v>3486</v>
      </c>
      <c r="B3346" s="16">
        <v>1216</v>
      </c>
      <c r="C3346" s="16">
        <v>250981</v>
      </c>
      <c r="D3346" s="31">
        <v>44739</v>
      </c>
      <c r="E3346" s="16">
        <v>3</v>
      </c>
      <c r="F3346" s="15" t="str">
        <f t="shared" si="52"/>
        <v>1216-250981-44739</v>
      </c>
    </row>
    <row r="3347" spans="1:6" ht="14.25" customHeight="1" x14ac:dyDescent="0.25">
      <c r="A3347" s="15" t="s">
        <v>3487</v>
      </c>
      <c r="B3347" s="16">
        <v>1216</v>
      </c>
      <c r="C3347" s="16">
        <v>250981</v>
      </c>
      <c r="D3347" s="31">
        <v>44746</v>
      </c>
      <c r="E3347" s="16">
        <v>8</v>
      </c>
      <c r="F3347" s="15" t="str">
        <f t="shared" si="52"/>
        <v>1216-250981-44746</v>
      </c>
    </row>
    <row r="3348" spans="1:6" ht="14.25" customHeight="1" x14ac:dyDescent="0.25">
      <c r="A3348" s="15" t="s">
        <v>3488</v>
      </c>
      <c r="B3348" s="16">
        <v>1216</v>
      </c>
      <c r="C3348" s="16">
        <v>250981</v>
      </c>
      <c r="D3348" s="31">
        <v>44753</v>
      </c>
      <c r="E3348" s="16">
        <v>8</v>
      </c>
      <c r="F3348" s="15" t="str">
        <f t="shared" si="52"/>
        <v>1216-250981-44753</v>
      </c>
    </row>
    <row r="3349" spans="1:6" ht="14.25" customHeight="1" x14ac:dyDescent="0.25">
      <c r="A3349" s="15" t="s">
        <v>3489</v>
      </c>
      <c r="B3349" s="16">
        <v>1216</v>
      </c>
      <c r="C3349" s="16">
        <v>250981</v>
      </c>
      <c r="D3349" s="31">
        <v>44760</v>
      </c>
      <c r="E3349" s="16">
        <v>8</v>
      </c>
      <c r="F3349" s="15" t="str">
        <f t="shared" si="52"/>
        <v>1216-250981-44760</v>
      </c>
    </row>
    <row r="3350" spans="1:6" ht="14.25" customHeight="1" x14ac:dyDescent="0.25">
      <c r="A3350" s="15" t="s">
        <v>3490</v>
      </c>
      <c r="B3350" s="16">
        <v>1216</v>
      </c>
      <c r="C3350" s="16">
        <v>250981</v>
      </c>
      <c r="D3350" s="31">
        <v>44767</v>
      </c>
      <c r="E3350" s="16">
        <v>8</v>
      </c>
      <c r="F3350" s="15" t="str">
        <f t="shared" si="52"/>
        <v>1216-250981-44767</v>
      </c>
    </row>
    <row r="3351" spans="1:6" ht="14.25" customHeight="1" x14ac:dyDescent="0.25">
      <c r="A3351" s="15" t="s">
        <v>3491</v>
      </c>
      <c r="B3351" s="16">
        <v>1216</v>
      </c>
      <c r="C3351" s="16">
        <v>250981</v>
      </c>
      <c r="D3351" s="31">
        <v>44774</v>
      </c>
      <c r="E3351" s="16">
        <v>8</v>
      </c>
      <c r="F3351" s="15" t="str">
        <f t="shared" si="52"/>
        <v>1216-250981-44774</v>
      </c>
    </row>
    <row r="3352" spans="1:6" ht="14.25" customHeight="1" x14ac:dyDescent="0.25">
      <c r="A3352" s="15" t="s">
        <v>3492</v>
      </c>
      <c r="B3352" s="16">
        <v>1216</v>
      </c>
      <c r="C3352" s="16">
        <v>250981</v>
      </c>
      <c r="D3352" s="31">
        <v>44781</v>
      </c>
      <c r="E3352" s="16">
        <v>6</v>
      </c>
      <c r="F3352" s="15" t="str">
        <f t="shared" si="52"/>
        <v>1216-250981-44781</v>
      </c>
    </row>
    <row r="3353" spans="1:6" ht="14.25" customHeight="1" x14ac:dyDescent="0.25">
      <c r="A3353" s="15" t="s">
        <v>3493</v>
      </c>
      <c r="B3353" s="16">
        <v>1216</v>
      </c>
      <c r="C3353" s="16">
        <v>250981</v>
      </c>
      <c r="D3353" s="31">
        <v>44788</v>
      </c>
      <c r="E3353" s="16">
        <v>6</v>
      </c>
      <c r="F3353" s="15" t="str">
        <f t="shared" si="52"/>
        <v>1216-250981-44788</v>
      </c>
    </row>
    <row r="3354" spans="1:6" ht="14.25" customHeight="1" x14ac:dyDescent="0.25">
      <c r="A3354" s="15" t="s">
        <v>3494</v>
      </c>
      <c r="B3354" s="16">
        <v>1216</v>
      </c>
      <c r="C3354" s="16">
        <v>262294</v>
      </c>
      <c r="D3354" s="31">
        <v>44739</v>
      </c>
      <c r="E3354" s="16">
        <v>22</v>
      </c>
      <c r="F3354" s="15" t="str">
        <f t="shared" si="52"/>
        <v>1216-262294-44739</v>
      </c>
    </row>
    <row r="3355" spans="1:6" ht="14.25" customHeight="1" x14ac:dyDescent="0.25">
      <c r="A3355" s="15" t="s">
        <v>3495</v>
      </c>
      <c r="B3355" s="16">
        <v>1216</v>
      </c>
      <c r="C3355" s="16">
        <v>262294</v>
      </c>
      <c r="D3355" s="31">
        <v>44746</v>
      </c>
      <c r="E3355" s="16">
        <v>20</v>
      </c>
      <c r="F3355" s="15" t="str">
        <f t="shared" si="52"/>
        <v>1216-262294-44746</v>
      </c>
    </row>
    <row r="3356" spans="1:6" ht="14.25" customHeight="1" x14ac:dyDescent="0.25">
      <c r="A3356" s="15" t="s">
        <v>3496</v>
      </c>
      <c r="B3356" s="16">
        <v>1216</v>
      </c>
      <c r="C3356" s="16">
        <v>262294</v>
      </c>
      <c r="D3356" s="31">
        <v>44753</v>
      </c>
      <c r="E3356" s="16">
        <v>18</v>
      </c>
      <c r="F3356" s="15" t="str">
        <f t="shared" si="52"/>
        <v>1216-262294-44753</v>
      </c>
    </row>
    <row r="3357" spans="1:6" ht="14.25" customHeight="1" x14ac:dyDescent="0.25">
      <c r="A3357" s="15" t="s">
        <v>3497</v>
      </c>
      <c r="B3357" s="16">
        <v>1216</v>
      </c>
      <c r="C3357" s="16">
        <v>262294</v>
      </c>
      <c r="D3357" s="31">
        <v>44760</v>
      </c>
      <c r="E3357" s="16">
        <v>11</v>
      </c>
      <c r="F3357" s="15" t="str">
        <f t="shared" si="52"/>
        <v>1216-262294-44760</v>
      </c>
    </row>
    <row r="3358" spans="1:6" ht="14.25" customHeight="1" x14ac:dyDescent="0.25">
      <c r="A3358" s="15" t="s">
        <v>3498</v>
      </c>
      <c r="B3358" s="16">
        <v>1216</v>
      </c>
      <c r="C3358" s="16">
        <v>262294</v>
      </c>
      <c r="D3358" s="31">
        <v>44767</v>
      </c>
      <c r="E3358" s="16">
        <v>18</v>
      </c>
      <c r="F3358" s="15" t="str">
        <f t="shared" si="52"/>
        <v>1216-262294-44767</v>
      </c>
    </row>
    <row r="3359" spans="1:6" ht="14.25" customHeight="1" x14ac:dyDescent="0.25">
      <c r="A3359" s="15" t="s">
        <v>3499</v>
      </c>
      <c r="B3359" s="16">
        <v>1216</v>
      </c>
      <c r="C3359" s="16">
        <v>262294</v>
      </c>
      <c r="D3359" s="31">
        <v>44774</v>
      </c>
      <c r="E3359" s="16">
        <v>18</v>
      </c>
      <c r="F3359" s="15" t="str">
        <f t="shared" si="52"/>
        <v>1216-262294-44774</v>
      </c>
    </row>
    <row r="3360" spans="1:6" ht="14.25" customHeight="1" x14ac:dyDescent="0.25">
      <c r="A3360" s="15" t="s">
        <v>3500</v>
      </c>
      <c r="B3360" s="16">
        <v>1216</v>
      </c>
      <c r="C3360" s="16">
        <v>262294</v>
      </c>
      <c r="D3360" s="31">
        <v>44781</v>
      </c>
      <c r="E3360" s="16">
        <v>20</v>
      </c>
      <c r="F3360" s="15" t="str">
        <f t="shared" si="52"/>
        <v>1216-262294-44781</v>
      </c>
    </row>
    <row r="3361" spans="1:6" ht="14.25" customHeight="1" x14ac:dyDescent="0.25">
      <c r="A3361" s="15" t="s">
        <v>3501</v>
      </c>
      <c r="B3361" s="16">
        <v>1216</v>
      </c>
      <c r="C3361" s="16">
        <v>262294</v>
      </c>
      <c r="D3361" s="31">
        <v>44788</v>
      </c>
      <c r="E3361" s="16">
        <v>22</v>
      </c>
      <c r="F3361" s="15" t="str">
        <f t="shared" si="52"/>
        <v>1216-262294-44788</v>
      </c>
    </row>
    <row r="3362" spans="1:6" ht="14.25" customHeight="1" x14ac:dyDescent="0.25">
      <c r="A3362" s="15" t="s">
        <v>3502</v>
      </c>
      <c r="B3362" s="16">
        <v>1216</v>
      </c>
      <c r="C3362" s="16">
        <v>268831</v>
      </c>
      <c r="D3362" s="31">
        <v>44739</v>
      </c>
      <c r="E3362" s="16">
        <v>65</v>
      </c>
      <c r="F3362" s="15" t="str">
        <f t="shared" si="52"/>
        <v>1216-268831-44739</v>
      </c>
    </row>
    <row r="3363" spans="1:6" ht="14.25" customHeight="1" x14ac:dyDescent="0.25">
      <c r="A3363" s="15" t="s">
        <v>3503</v>
      </c>
      <c r="B3363" s="16">
        <v>1216</v>
      </c>
      <c r="C3363" s="16">
        <v>268831</v>
      </c>
      <c r="D3363" s="31">
        <v>44746</v>
      </c>
      <c r="E3363" s="16">
        <v>54</v>
      </c>
      <c r="F3363" s="15" t="str">
        <f t="shared" si="52"/>
        <v>1216-268831-44746</v>
      </c>
    </row>
    <row r="3364" spans="1:6" ht="14.25" customHeight="1" x14ac:dyDescent="0.25">
      <c r="A3364" s="15" t="s">
        <v>3504</v>
      </c>
      <c r="B3364" s="16">
        <v>1216</v>
      </c>
      <c r="C3364" s="16">
        <v>268831</v>
      </c>
      <c r="D3364" s="31">
        <v>44753</v>
      </c>
      <c r="E3364" s="16">
        <v>63</v>
      </c>
      <c r="F3364" s="15" t="str">
        <f t="shared" si="52"/>
        <v>1216-268831-44753</v>
      </c>
    </row>
    <row r="3365" spans="1:6" ht="14.25" customHeight="1" x14ac:dyDescent="0.25">
      <c r="A3365" s="15" t="s">
        <v>3505</v>
      </c>
      <c r="B3365" s="16">
        <v>1216</v>
      </c>
      <c r="C3365" s="16">
        <v>268831</v>
      </c>
      <c r="D3365" s="31">
        <v>44760</v>
      </c>
      <c r="E3365" s="16">
        <v>42</v>
      </c>
      <c r="F3365" s="15" t="str">
        <f t="shared" si="52"/>
        <v>1216-268831-44760</v>
      </c>
    </row>
    <row r="3366" spans="1:6" ht="14.25" customHeight="1" x14ac:dyDescent="0.25">
      <c r="A3366" s="15" t="s">
        <v>3506</v>
      </c>
      <c r="B3366" s="16">
        <v>1216</v>
      </c>
      <c r="C3366" s="16">
        <v>268831</v>
      </c>
      <c r="D3366" s="31">
        <v>44767</v>
      </c>
      <c r="E3366" s="16">
        <v>29</v>
      </c>
      <c r="F3366" s="15" t="str">
        <f t="shared" si="52"/>
        <v>1216-268831-44767</v>
      </c>
    </row>
    <row r="3367" spans="1:6" ht="14.25" customHeight="1" x14ac:dyDescent="0.25">
      <c r="A3367" s="15" t="s">
        <v>3507</v>
      </c>
      <c r="B3367" s="16">
        <v>1216</v>
      </c>
      <c r="C3367" s="16">
        <v>268831</v>
      </c>
      <c r="D3367" s="31">
        <v>44774</v>
      </c>
      <c r="E3367" s="16">
        <v>22</v>
      </c>
      <c r="F3367" s="15" t="str">
        <f t="shared" si="52"/>
        <v>1216-268831-44774</v>
      </c>
    </row>
    <row r="3368" spans="1:6" ht="14.25" customHeight="1" x14ac:dyDescent="0.25">
      <c r="A3368" s="15" t="s">
        <v>3508</v>
      </c>
      <c r="B3368" s="16">
        <v>1216</v>
      </c>
      <c r="C3368" s="16">
        <v>268831</v>
      </c>
      <c r="D3368" s="31">
        <v>44781</v>
      </c>
      <c r="E3368" s="16">
        <v>50</v>
      </c>
      <c r="F3368" s="15" t="str">
        <f t="shared" si="52"/>
        <v>1216-268831-44781</v>
      </c>
    </row>
    <row r="3369" spans="1:6" ht="14.25" customHeight="1" x14ac:dyDescent="0.25">
      <c r="A3369" s="15" t="s">
        <v>3509</v>
      </c>
      <c r="B3369" s="16">
        <v>1216</v>
      </c>
      <c r="C3369" s="16">
        <v>268831</v>
      </c>
      <c r="D3369" s="31">
        <v>44788</v>
      </c>
      <c r="E3369" s="16">
        <v>50</v>
      </c>
      <c r="F3369" s="15" t="str">
        <f t="shared" si="52"/>
        <v>1216-268831-44788</v>
      </c>
    </row>
    <row r="3370" spans="1:6" ht="14.25" customHeight="1" x14ac:dyDescent="0.25">
      <c r="A3370" s="15" t="s">
        <v>3510</v>
      </c>
      <c r="B3370" s="16">
        <v>1216</v>
      </c>
      <c r="C3370" s="16">
        <v>273701</v>
      </c>
      <c r="D3370" s="31">
        <v>44739</v>
      </c>
      <c r="E3370" s="16">
        <v>28</v>
      </c>
      <c r="F3370" s="15" t="str">
        <f t="shared" si="52"/>
        <v>1216-273701-44739</v>
      </c>
    </row>
    <row r="3371" spans="1:6" ht="14.25" customHeight="1" x14ac:dyDescent="0.25">
      <c r="A3371" s="15" t="s">
        <v>3511</v>
      </c>
      <c r="B3371" s="16">
        <v>1216</v>
      </c>
      <c r="C3371" s="16">
        <v>273701</v>
      </c>
      <c r="D3371" s="31">
        <v>44746</v>
      </c>
      <c r="E3371" s="16">
        <v>30</v>
      </c>
      <c r="F3371" s="15" t="str">
        <f t="shared" si="52"/>
        <v>1216-273701-44746</v>
      </c>
    </row>
    <row r="3372" spans="1:6" ht="14.25" customHeight="1" x14ac:dyDescent="0.25">
      <c r="A3372" s="15" t="s">
        <v>3512</v>
      </c>
      <c r="B3372" s="16">
        <v>1216</v>
      </c>
      <c r="C3372" s="16">
        <v>273701</v>
      </c>
      <c r="D3372" s="31">
        <v>44753</v>
      </c>
      <c r="E3372" s="16">
        <v>30</v>
      </c>
      <c r="F3372" s="15" t="str">
        <f t="shared" si="52"/>
        <v>1216-273701-44753</v>
      </c>
    </row>
    <row r="3373" spans="1:6" ht="14.25" customHeight="1" x14ac:dyDescent="0.25">
      <c r="A3373" s="15" t="s">
        <v>3513</v>
      </c>
      <c r="B3373" s="16">
        <v>1216</v>
      </c>
      <c r="C3373" s="16">
        <v>273701</v>
      </c>
      <c r="D3373" s="31">
        <v>44760</v>
      </c>
      <c r="E3373" s="16">
        <v>36</v>
      </c>
      <c r="F3373" s="15" t="str">
        <f t="shared" si="52"/>
        <v>1216-273701-44760</v>
      </c>
    </row>
    <row r="3374" spans="1:6" ht="14.25" customHeight="1" x14ac:dyDescent="0.25">
      <c r="A3374" s="15" t="s">
        <v>3514</v>
      </c>
      <c r="B3374" s="16">
        <v>1216</v>
      </c>
      <c r="C3374" s="16">
        <v>273701</v>
      </c>
      <c r="D3374" s="31">
        <v>44767</v>
      </c>
      <c r="E3374" s="16">
        <v>30</v>
      </c>
      <c r="F3374" s="15" t="str">
        <f t="shared" si="52"/>
        <v>1216-273701-44767</v>
      </c>
    </row>
    <row r="3375" spans="1:6" ht="14.25" customHeight="1" x14ac:dyDescent="0.25">
      <c r="A3375" s="15" t="s">
        <v>3515</v>
      </c>
      <c r="B3375" s="16">
        <v>1216</v>
      </c>
      <c r="C3375" s="16">
        <v>273701</v>
      </c>
      <c r="D3375" s="31">
        <v>44774</v>
      </c>
      <c r="E3375" s="16">
        <v>12</v>
      </c>
      <c r="F3375" s="15" t="str">
        <f t="shared" si="52"/>
        <v>1216-273701-44774</v>
      </c>
    </row>
    <row r="3376" spans="1:6" ht="14.25" customHeight="1" x14ac:dyDescent="0.25">
      <c r="A3376" s="15" t="s">
        <v>3516</v>
      </c>
      <c r="B3376" s="16">
        <v>1216</v>
      </c>
      <c r="C3376" s="16">
        <v>273701</v>
      </c>
      <c r="D3376" s="31">
        <v>44781</v>
      </c>
      <c r="E3376" s="16">
        <v>11</v>
      </c>
      <c r="F3376" s="15" t="str">
        <f t="shared" si="52"/>
        <v>1216-273701-44781</v>
      </c>
    </row>
    <row r="3377" spans="1:6" ht="14.25" customHeight="1" x14ac:dyDescent="0.25">
      <c r="A3377" s="15" t="s">
        <v>3517</v>
      </c>
      <c r="B3377" s="16">
        <v>1216</v>
      </c>
      <c r="C3377" s="16">
        <v>273701</v>
      </c>
      <c r="D3377" s="31">
        <v>44788</v>
      </c>
      <c r="E3377" s="16">
        <v>7</v>
      </c>
      <c r="F3377" s="15" t="str">
        <f t="shared" si="52"/>
        <v>1216-273701-44788</v>
      </c>
    </row>
    <row r="3378" spans="1:6" ht="14.25" customHeight="1" x14ac:dyDescent="0.25">
      <c r="A3378" s="15" t="s">
        <v>3518</v>
      </c>
      <c r="B3378" s="16">
        <v>1216</v>
      </c>
      <c r="C3378" s="16">
        <v>291726</v>
      </c>
      <c r="D3378" s="31">
        <v>44739</v>
      </c>
      <c r="E3378" s="16">
        <v>48</v>
      </c>
      <c r="F3378" s="15" t="str">
        <f t="shared" si="52"/>
        <v>1216-291726-44739</v>
      </c>
    </row>
    <row r="3379" spans="1:6" ht="14.25" customHeight="1" x14ac:dyDescent="0.25">
      <c r="A3379" s="15" t="s">
        <v>3519</v>
      </c>
      <c r="B3379" s="16">
        <v>1216</v>
      </c>
      <c r="C3379" s="16">
        <v>291726</v>
      </c>
      <c r="D3379" s="31">
        <v>44746</v>
      </c>
      <c r="E3379" s="16">
        <v>54</v>
      </c>
      <c r="F3379" s="15" t="str">
        <f t="shared" si="52"/>
        <v>1216-291726-44746</v>
      </c>
    </row>
    <row r="3380" spans="1:6" ht="14.25" customHeight="1" x14ac:dyDescent="0.25">
      <c r="A3380" s="15" t="s">
        <v>3520</v>
      </c>
      <c r="B3380" s="16">
        <v>1216</v>
      </c>
      <c r="C3380" s="16">
        <v>291726</v>
      </c>
      <c r="D3380" s="31">
        <v>44753</v>
      </c>
      <c r="E3380" s="16">
        <v>24</v>
      </c>
      <c r="F3380" s="15" t="str">
        <f t="shared" si="52"/>
        <v>1216-291726-44753</v>
      </c>
    </row>
    <row r="3381" spans="1:6" ht="14.25" customHeight="1" x14ac:dyDescent="0.25">
      <c r="A3381" s="15" t="s">
        <v>3521</v>
      </c>
      <c r="B3381" s="16">
        <v>1216</v>
      </c>
      <c r="C3381" s="16">
        <v>291726</v>
      </c>
      <c r="D3381" s="31">
        <v>44760</v>
      </c>
      <c r="E3381" s="16">
        <v>65</v>
      </c>
      <c r="F3381" s="15" t="str">
        <f t="shared" si="52"/>
        <v>1216-291726-44760</v>
      </c>
    </row>
    <row r="3382" spans="1:6" ht="14.25" customHeight="1" x14ac:dyDescent="0.25">
      <c r="A3382" s="15" t="s">
        <v>3522</v>
      </c>
      <c r="B3382" s="16">
        <v>1216</v>
      </c>
      <c r="C3382" s="16">
        <v>291726</v>
      </c>
      <c r="D3382" s="31">
        <v>44767</v>
      </c>
      <c r="E3382" s="16">
        <v>56</v>
      </c>
      <c r="F3382" s="15" t="str">
        <f t="shared" si="52"/>
        <v>1216-291726-44767</v>
      </c>
    </row>
    <row r="3383" spans="1:6" ht="14.25" customHeight="1" x14ac:dyDescent="0.25">
      <c r="A3383" s="15" t="s">
        <v>3523</v>
      </c>
      <c r="B3383" s="16">
        <v>1216</v>
      </c>
      <c r="C3383" s="16">
        <v>291726</v>
      </c>
      <c r="D3383" s="31">
        <v>44774</v>
      </c>
      <c r="E3383" s="16">
        <v>24</v>
      </c>
      <c r="F3383" s="15" t="str">
        <f t="shared" si="52"/>
        <v>1216-291726-44774</v>
      </c>
    </row>
    <row r="3384" spans="1:6" ht="14.25" customHeight="1" x14ac:dyDescent="0.25">
      <c r="A3384" s="15" t="s">
        <v>3524</v>
      </c>
      <c r="B3384" s="16">
        <v>1216</v>
      </c>
      <c r="C3384" s="16">
        <v>291726</v>
      </c>
      <c r="D3384" s="31">
        <v>44781</v>
      </c>
      <c r="E3384" s="16">
        <v>23</v>
      </c>
      <c r="F3384" s="15" t="str">
        <f t="shared" si="52"/>
        <v>1216-291726-44781</v>
      </c>
    </row>
    <row r="3385" spans="1:6" ht="14.25" customHeight="1" x14ac:dyDescent="0.25">
      <c r="A3385" s="15" t="s">
        <v>3525</v>
      </c>
      <c r="B3385" s="16">
        <v>1216</v>
      </c>
      <c r="C3385" s="16">
        <v>291726</v>
      </c>
      <c r="D3385" s="31">
        <v>44788</v>
      </c>
      <c r="E3385" s="16">
        <v>55</v>
      </c>
      <c r="F3385" s="15" t="str">
        <f t="shared" si="52"/>
        <v>1216-291726-44788</v>
      </c>
    </row>
    <row r="3386" spans="1:6" ht="14.25" customHeight="1" x14ac:dyDescent="0.25">
      <c r="A3386" s="15" t="s">
        <v>3526</v>
      </c>
      <c r="B3386" s="16">
        <v>1216</v>
      </c>
      <c r="C3386" s="16">
        <v>291728</v>
      </c>
      <c r="D3386" s="31">
        <v>44739</v>
      </c>
      <c r="E3386" s="16">
        <v>15</v>
      </c>
      <c r="F3386" s="15" t="str">
        <f t="shared" si="52"/>
        <v>1216-291728-44739</v>
      </c>
    </row>
    <row r="3387" spans="1:6" ht="14.25" customHeight="1" x14ac:dyDescent="0.25">
      <c r="A3387" s="15" t="s">
        <v>3527</v>
      </c>
      <c r="B3387" s="16">
        <v>1216</v>
      </c>
      <c r="C3387" s="16">
        <v>291728</v>
      </c>
      <c r="D3387" s="31">
        <v>44746</v>
      </c>
      <c r="E3387" s="16">
        <v>22</v>
      </c>
      <c r="F3387" s="15" t="str">
        <f t="shared" si="52"/>
        <v>1216-291728-44746</v>
      </c>
    </row>
    <row r="3388" spans="1:6" ht="14.25" customHeight="1" x14ac:dyDescent="0.25">
      <c r="A3388" s="15" t="s">
        <v>3528</v>
      </c>
      <c r="B3388" s="16">
        <v>1216</v>
      </c>
      <c r="C3388" s="16">
        <v>291728</v>
      </c>
      <c r="D3388" s="31">
        <v>44753</v>
      </c>
      <c r="E3388" s="16">
        <v>15</v>
      </c>
      <c r="F3388" s="15" t="str">
        <f t="shared" si="52"/>
        <v>1216-291728-44753</v>
      </c>
    </row>
    <row r="3389" spans="1:6" ht="14.25" customHeight="1" x14ac:dyDescent="0.25">
      <c r="A3389" s="15" t="s">
        <v>3529</v>
      </c>
      <c r="B3389" s="16">
        <v>1216</v>
      </c>
      <c r="C3389" s="16">
        <v>291728</v>
      </c>
      <c r="D3389" s="31">
        <v>44760</v>
      </c>
      <c r="E3389" s="16">
        <v>23</v>
      </c>
      <c r="F3389" s="15" t="str">
        <f t="shared" si="52"/>
        <v>1216-291728-44760</v>
      </c>
    </row>
    <row r="3390" spans="1:6" ht="14.25" customHeight="1" x14ac:dyDescent="0.25">
      <c r="A3390" s="15" t="s">
        <v>3530</v>
      </c>
      <c r="B3390" s="16">
        <v>1216</v>
      </c>
      <c r="C3390" s="16">
        <v>291728</v>
      </c>
      <c r="D3390" s="31">
        <v>44767</v>
      </c>
      <c r="E3390" s="16">
        <v>3</v>
      </c>
      <c r="F3390" s="15" t="str">
        <f t="shared" si="52"/>
        <v>1216-291728-44767</v>
      </c>
    </row>
    <row r="3391" spans="1:6" ht="14.25" customHeight="1" x14ac:dyDescent="0.25">
      <c r="A3391" s="15" t="s">
        <v>3531</v>
      </c>
      <c r="B3391" s="16">
        <v>1216</v>
      </c>
      <c r="C3391" s="16">
        <v>291728</v>
      </c>
      <c r="D3391" s="31">
        <v>44774</v>
      </c>
      <c r="E3391" s="16">
        <v>14</v>
      </c>
      <c r="F3391" s="15" t="str">
        <f t="shared" si="52"/>
        <v>1216-291728-44774</v>
      </c>
    </row>
    <row r="3392" spans="1:6" ht="14.25" customHeight="1" x14ac:dyDescent="0.25">
      <c r="A3392" s="15" t="s">
        <v>3532</v>
      </c>
      <c r="B3392" s="16">
        <v>1216</v>
      </c>
      <c r="C3392" s="16">
        <v>291728</v>
      </c>
      <c r="D3392" s="31">
        <v>44781</v>
      </c>
      <c r="E3392" s="16">
        <v>15</v>
      </c>
      <c r="F3392" s="15" t="str">
        <f t="shared" si="52"/>
        <v>1216-291728-44781</v>
      </c>
    </row>
    <row r="3393" spans="1:6" ht="14.25" customHeight="1" x14ac:dyDescent="0.25">
      <c r="A3393" s="15" t="s">
        <v>3533</v>
      </c>
      <c r="B3393" s="16">
        <v>1216</v>
      </c>
      <c r="C3393" s="16">
        <v>291728</v>
      </c>
      <c r="D3393" s="31">
        <v>44788</v>
      </c>
      <c r="E3393" s="16">
        <v>3</v>
      </c>
      <c r="F3393" s="15" t="str">
        <f t="shared" si="52"/>
        <v>1216-291728-44788</v>
      </c>
    </row>
    <row r="3394" spans="1:6" ht="14.25" customHeight="1" x14ac:dyDescent="0.25">
      <c r="A3394" s="15" t="s">
        <v>3534</v>
      </c>
      <c r="B3394" s="16">
        <v>1216</v>
      </c>
      <c r="C3394" s="16">
        <v>300380</v>
      </c>
      <c r="D3394" s="31">
        <v>44739</v>
      </c>
      <c r="E3394" s="16">
        <v>44</v>
      </c>
      <c r="F3394" s="15" t="str">
        <f t="shared" si="52"/>
        <v>1216-300380-44739</v>
      </c>
    </row>
    <row r="3395" spans="1:6" ht="14.25" customHeight="1" x14ac:dyDescent="0.25">
      <c r="A3395" s="15" t="s">
        <v>3535</v>
      </c>
      <c r="B3395" s="16">
        <v>1216</v>
      </c>
      <c r="C3395" s="16">
        <v>300380</v>
      </c>
      <c r="D3395" s="31">
        <v>44746</v>
      </c>
      <c r="E3395" s="16">
        <v>21</v>
      </c>
      <c r="F3395" s="15" t="str">
        <f t="shared" ref="F3395:F3458" si="53">B3395&amp;"-"&amp;C3395&amp;"-"&amp;INT(D3395)</f>
        <v>1216-300380-44746</v>
      </c>
    </row>
    <row r="3396" spans="1:6" ht="14.25" customHeight="1" x14ac:dyDescent="0.25">
      <c r="A3396" s="15" t="s">
        <v>3536</v>
      </c>
      <c r="B3396" s="16">
        <v>1216</v>
      </c>
      <c r="C3396" s="16">
        <v>300380</v>
      </c>
      <c r="D3396" s="31">
        <v>44753</v>
      </c>
      <c r="E3396" s="16">
        <v>60</v>
      </c>
      <c r="F3396" s="15" t="str">
        <f t="shared" si="53"/>
        <v>1216-300380-44753</v>
      </c>
    </row>
    <row r="3397" spans="1:6" ht="14.25" customHeight="1" x14ac:dyDescent="0.25">
      <c r="A3397" s="15" t="s">
        <v>3537</v>
      </c>
      <c r="B3397" s="16">
        <v>1216</v>
      </c>
      <c r="C3397" s="16">
        <v>300380</v>
      </c>
      <c r="D3397" s="31">
        <v>44760</v>
      </c>
      <c r="E3397" s="16">
        <v>54</v>
      </c>
      <c r="F3397" s="15" t="str">
        <f t="shared" si="53"/>
        <v>1216-300380-44760</v>
      </c>
    </row>
    <row r="3398" spans="1:6" ht="14.25" customHeight="1" x14ac:dyDescent="0.25">
      <c r="A3398" s="15" t="s">
        <v>3538</v>
      </c>
      <c r="B3398" s="16">
        <v>1216</v>
      </c>
      <c r="C3398" s="16">
        <v>300380</v>
      </c>
      <c r="D3398" s="31">
        <v>44767</v>
      </c>
      <c r="E3398" s="16">
        <v>62</v>
      </c>
      <c r="F3398" s="15" t="str">
        <f t="shared" si="53"/>
        <v>1216-300380-44767</v>
      </c>
    </row>
    <row r="3399" spans="1:6" ht="14.25" customHeight="1" x14ac:dyDescent="0.25">
      <c r="A3399" s="15" t="s">
        <v>3539</v>
      </c>
      <c r="B3399" s="16">
        <v>1216</v>
      </c>
      <c r="C3399" s="16">
        <v>300380</v>
      </c>
      <c r="D3399" s="31">
        <v>44774</v>
      </c>
      <c r="E3399" s="16">
        <v>42</v>
      </c>
      <c r="F3399" s="15" t="str">
        <f t="shared" si="53"/>
        <v>1216-300380-44774</v>
      </c>
    </row>
    <row r="3400" spans="1:6" ht="14.25" customHeight="1" x14ac:dyDescent="0.25">
      <c r="A3400" s="15" t="s">
        <v>3540</v>
      </c>
      <c r="B3400" s="16">
        <v>1216</v>
      </c>
      <c r="C3400" s="16">
        <v>300380</v>
      </c>
      <c r="D3400" s="31">
        <v>44781</v>
      </c>
      <c r="E3400" s="16">
        <v>42</v>
      </c>
      <c r="F3400" s="15" t="str">
        <f t="shared" si="53"/>
        <v>1216-300380-44781</v>
      </c>
    </row>
    <row r="3401" spans="1:6" ht="14.25" customHeight="1" x14ac:dyDescent="0.25">
      <c r="A3401" s="15" t="s">
        <v>3541</v>
      </c>
      <c r="B3401" s="16">
        <v>1216</v>
      </c>
      <c r="C3401" s="16">
        <v>300380</v>
      </c>
      <c r="D3401" s="31">
        <v>44788</v>
      </c>
      <c r="E3401" s="16">
        <v>44</v>
      </c>
      <c r="F3401" s="15" t="str">
        <f t="shared" si="53"/>
        <v>1216-300380-44788</v>
      </c>
    </row>
    <row r="3402" spans="1:6" ht="14.25" customHeight="1" x14ac:dyDescent="0.25">
      <c r="A3402" s="15" t="s">
        <v>3542</v>
      </c>
      <c r="B3402" s="16">
        <v>1216</v>
      </c>
      <c r="C3402" s="16">
        <v>614993</v>
      </c>
      <c r="D3402" s="31">
        <v>44739</v>
      </c>
      <c r="E3402" s="16">
        <v>29</v>
      </c>
      <c r="F3402" s="15" t="str">
        <f t="shared" si="53"/>
        <v>1216-614993-44739</v>
      </c>
    </row>
    <row r="3403" spans="1:6" ht="14.25" customHeight="1" x14ac:dyDescent="0.25">
      <c r="A3403" s="15" t="s">
        <v>3543</v>
      </c>
      <c r="B3403" s="16">
        <v>1216</v>
      </c>
      <c r="C3403" s="16">
        <v>614993</v>
      </c>
      <c r="D3403" s="31">
        <v>44746</v>
      </c>
      <c r="E3403" s="16">
        <v>24</v>
      </c>
      <c r="F3403" s="15" t="str">
        <f t="shared" si="53"/>
        <v>1216-614993-44746</v>
      </c>
    </row>
    <row r="3404" spans="1:6" ht="14.25" customHeight="1" x14ac:dyDescent="0.25">
      <c r="A3404" s="15" t="s">
        <v>3544</v>
      </c>
      <c r="B3404" s="16">
        <v>1216</v>
      </c>
      <c r="C3404" s="16">
        <v>614993</v>
      </c>
      <c r="D3404" s="31">
        <v>44753</v>
      </c>
      <c r="E3404" s="16">
        <v>24</v>
      </c>
      <c r="F3404" s="15" t="str">
        <f t="shared" si="53"/>
        <v>1216-614993-44753</v>
      </c>
    </row>
    <row r="3405" spans="1:6" ht="14.25" customHeight="1" x14ac:dyDescent="0.25">
      <c r="A3405" s="15" t="s">
        <v>3545</v>
      </c>
      <c r="B3405" s="16">
        <v>1216</v>
      </c>
      <c r="C3405" s="16">
        <v>614993</v>
      </c>
      <c r="D3405" s="31">
        <v>44760</v>
      </c>
      <c r="E3405" s="16">
        <v>11</v>
      </c>
      <c r="F3405" s="15" t="str">
        <f t="shared" si="53"/>
        <v>1216-614993-44760</v>
      </c>
    </row>
    <row r="3406" spans="1:6" ht="14.25" customHeight="1" x14ac:dyDescent="0.25">
      <c r="A3406" s="15" t="s">
        <v>3546</v>
      </c>
      <c r="B3406" s="16">
        <v>1216</v>
      </c>
      <c r="C3406" s="16">
        <v>614993</v>
      </c>
      <c r="D3406" s="31">
        <v>44767</v>
      </c>
      <c r="E3406" s="16">
        <v>18</v>
      </c>
      <c r="F3406" s="15" t="str">
        <f t="shared" si="53"/>
        <v>1216-614993-44767</v>
      </c>
    </row>
    <row r="3407" spans="1:6" ht="14.25" customHeight="1" x14ac:dyDescent="0.25">
      <c r="A3407" s="15" t="s">
        <v>3547</v>
      </c>
      <c r="B3407" s="16">
        <v>1216</v>
      </c>
      <c r="C3407" s="16">
        <v>614993</v>
      </c>
      <c r="D3407" s="31">
        <v>44774</v>
      </c>
      <c r="E3407" s="16">
        <v>26</v>
      </c>
      <c r="F3407" s="15" t="str">
        <f t="shared" si="53"/>
        <v>1216-614993-44774</v>
      </c>
    </row>
    <row r="3408" spans="1:6" ht="14.25" customHeight="1" x14ac:dyDescent="0.25">
      <c r="A3408" s="15" t="s">
        <v>3548</v>
      </c>
      <c r="B3408" s="16">
        <v>1216</v>
      </c>
      <c r="C3408" s="16">
        <v>614993</v>
      </c>
      <c r="D3408" s="31">
        <v>44781</v>
      </c>
      <c r="E3408" s="16">
        <v>29</v>
      </c>
      <c r="F3408" s="15" t="str">
        <f t="shared" si="53"/>
        <v>1216-614993-44781</v>
      </c>
    </row>
    <row r="3409" spans="1:6" ht="14.25" customHeight="1" x14ac:dyDescent="0.25">
      <c r="A3409" s="15" t="s">
        <v>3549</v>
      </c>
      <c r="B3409" s="16">
        <v>1216</v>
      </c>
      <c r="C3409" s="16">
        <v>614993</v>
      </c>
      <c r="D3409" s="31">
        <v>44788</v>
      </c>
      <c r="E3409" s="16">
        <v>33</v>
      </c>
      <c r="F3409" s="15" t="str">
        <f t="shared" si="53"/>
        <v>1216-614993-44788</v>
      </c>
    </row>
    <row r="3410" spans="1:6" ht="14.25" customHeight="1" x14ac:dyDescent="0.25">
      <c r="A3410" s="15" t="s">
        <v>3550</v>
      </c>
      <c r="B3410" s="16">
        <v>1218</v>
      </c>
      <c r="C3410" s="16">
        <v>23393</v>
      </c>
      <c r="D3410" s="31">
        <v>32874</v>
      </c>
      <c r="E3410" s="16">
        <v>57</v>
      </c>
      <c r="F3410" s="15" t="str">
        <f t="shared" si="53"/>
        <v>1218-23393-32874</v>
      </c>
    </row>
    <row r="3411" spans="1:6" ht="14.25" customHeight="1" x14ac:dyDescent="0.25">
      <c r="A3411" s="15" t="s">
        <v>3551</v>
      </c>
      <c r="B3411" s="16">
        <v>1218</v>
      </c>
      <c r="C3411" s="16">
        <v>23393</v>
      </c>
      <c r="D3411" s="31">
        <v>44739</v>
      </c>
      <c r="E3411" s="16">
        <v>144</v>
      </c>
      <c r="F3411" s="15" t="str">
        <f t="shared" si="53"/>
        <v>1218-23393-44739</v>
      </c>
    </row>
    <row r="3412" spans="1:6" ht="14.25" customHeight="1" x14ac:dyDescent="0.25">
      <c r="A3412" s="15" t="s">
        <v>3552</v>
      </c>
      <c r="B3412" s="16">
        <v>1218</v>
      </c>
      <c r="C3412" s="16">
        <v>23393</v>
      </c>
      <c r="D3412" s="31">
        <v>44746</v>
      </c>
      <c r="E3412" s="16">
        <v>131</v>
      </c>
      <c r="F3412" s="15" t="str">
        <f t="shared" si="53"/>
        <v>1218-23393-44746</v>
      </c>
    </row>
    <row r="3413" spans="1:6" ht="14.25" customHeight="1" x14ac:dyDescent="0.25">
      <c r="A3413" s="15" t="s">
        <v>3553</v>
      </c>
      <c r="B3413" s="16">
        <v>1218</v>
      </c>
      <c r="C3413" s="16">
        <v>23393</v>
      </c>
      <c r="D3413" s="31">
        <v>44753</v>
      </c>
      <c r="E3413" s="16">
        <v>181</v>
      </c>
      <c r="F3413" s="15" t="str">
        <f t="shared" si="53"/>
        <v>1218-23393-44753</v>
      </c>
    </row>
    <row r="3414" spans="1:6" ht="14.25" customHeight="1" x14ac:dyDescent="0.25">
      <c r="A3414" s="15" t="s">
        <v>3554</v>
      </c>
      <c r="B3414" s="16">
        <v>1218</v>
      </c>
      <c r="C3414" s="16">
        <v>23393</v>
      </c>
      <c r="D3414" s="31">
        <v>44760</v>
      </c>
      <c r="E3414" s="16">
        <v>96</v>
      </c>
      <c r="F3414" s="15" t="str">
        <f t="shared" si="53"/>
        <v>1218-23393-44760</v>
      </c>
    </row>
    <row r="3415" spans="1:6" ht="14.25" customHeight="1" x14ac:dyDescent="0.25">
      <c r="A3415" s="15" t="s">
        <v>3555</v>
      </c>
      <c r="B3415" s="16">
        <v>1218</v>
      </c>
      <c r="C3415" s="16">
        <v>23393</v>
      </c>
      <c r="D3415" s="31">
        <v>44767</v>
      </c>
      <c r="E3415" s="16">
        <v>125</v>
      </c>
      <c r="F3415" s="15" t="str">
        <f t="shared" si="53"/>
        <v>1218-23393-44767</v>
      </c>
    </row>
    <row r="3416" spans="1:6" ht="14.25" customHeight="1" x14ac:dyDescent="0.25">
      <c r="A3416" s="15" t="s">
        <v>3556</v>
      </c>
      <c r="B3416" s="16">
        <v>1218</v>
      </c>
      <c r="C3416" s="16">
        <v>23393</v>
      </c>
      <c r="D3416" s="31">
        <v>44774</v>
      </c>
      <c r="E3416" s="16">
        <v>59</v>
      </c>
      <c r="F3416" s="15" t="str">
        <f t="shared" si="53"/>
        <v>1218-23393-44774</v>
      </c>
    </row>
    <row r="3417" spans="1:6" ht="14.25" customHeight="1" x14ac:dyDescent="0.25">
      <c r="A3417" s="15" t="s">
        <v>3557</v>
      </c>
      <c r="B3417" s="16">
        <v>1218</v>
      </c>
      <c r="C3417" s="16">
        <v>23393</v>
      </c>
      <c r="D3417" s="31">
        <v>44781</v>
      </c>
      <c r="E3417" s="16">
        <v>54</v>
      </c>
      <c r="F3417" s="15" t="str">
        <f t="shared" si="53"/>
        <v>1218-23393-44781</v>
      </c>
    </row>
    <row r="3418" spans="1:6" ht="14.25" customHeight="1" x14ac:dyDescent="0.25">
      <c r="A3418" s="15" t="s">
        <v>3558</v>
      </c>
      <c r="B3418" s="16">
        <v>1218</v>
      </c>
      <c r="C3418" s="16">
        <v>23393</v>
      </c>
      <c r="D3418" s="31">
        <v>44788</v>
      </c>
      <c r="E3418" s="16">
        <v>158</v>
      </c>
      <c r="F3418" s="15" t="str">
        <f t="shared" si="53"/>
        <v>1218-23393-44788</v>
      </c>
    </row>
    <row r="3419" spans="1:6" ht="14.25" customHeight="1" x14ac:dyDescent="0.25">
      <c r="A3419" s="15" t="s">
        <v>3559</v>
      </c>
      <c r="B3419" s="16">
        <v>1218</v>
      </c>
      <c r="C3419" s="16">
        <v>26764</v>
      </c>
      <c r="D3419" s="31">
        <v>44739</v>
      </c>
      <c r="E3419" s="16">
        <v>29</v>
      </c>
      <c r="F3419" s="15" t="str">
        <f t="shared" si="53"/>
        <v>1218-26764-44739</v>
      </c>
    </row>
    <row r="3420" spans="1:6" ht="14.25" customHeight="1" x14ac:dyDescent="0.25">
      <c r="A3420" s="15" t="s">
        <v>3560</v>
      </c>
      <c r="B3420" s="16">
        <v>1218</v>
      </c>
      <c r="C3420" s="16">
        <v>26764</v>
      </c>
      <c r="D3420" s="31">
        <v>44746</v>
      </c>
      <c r="E3420" s="16">
        <v>95</v>
      </c>
      <c r="F3420" s="15" t="str">
        <f t="shared" si="53"/>
        <v>1218-26764-44746</v>
      </c>
    </row>
    <row r="3421" spans="1:6" ht="14.25" customHeight="1" x14ac:dyDescent="0.25">
      <c r="A3421" s="15" t="s">
        <v>3561</v>
      </c>
      <c r="B3421" s="16">
        <v>1218</v>
      </c>
      <c r="C3421" s="16">
        <v>26764</v>
      </c>
      <c r="D3421" s="31">
        <v>44753</v>
      </c>
      <c r="E3421" s="16">
        <v>119</v>
      </c>
      <c r="F3421" s="15" t="str">
        <f t="shared" si="53"/>
        <v>1218-26764-44753</v>
      </c>
    </row>
    <row r="3422" spans="1:6" ht="14.25" customHeight="1" x14ac:dyDescent="0.25">
      <c r="A3422" s="15" t="s">
        <v>3562</v>
      </c>
      <c r="B3422" s="16">
        <v>1218</v>
      </c>
      <c r="C3422" s="16">
        <v>26764</v>
      </c>
      <c r="D3422" s="31">
        <v>44760</v>
      </c>
      <c r="E3422" s="16">
        <v>84</v>
      </c>
      <c r="F3422" s="15" t="str">
        <f t="shared" si="53"/>
        <v>1218-26764-44760</v>
      </c>
    </row>
    <row r="3423" spans="1:6" ht="14.25" customHeight="1" x14ac:dyDescent="0.25">
      <c r="A3423" s="15" t="s">
        <v>3563</v>
      </c>
      <c r="B3423" s="16">
        <v>1218</v>
      </c>
      <c r="C3423" s="16">
        <v>26764</v>
      </c>
      <c r="D3423" s="31">
        <v>44767</v>
      </c>
      <c r="E3423" s="16">
        <v>74</v>
      </c>
      <c r="F3423" s="15" t="str">
        <f t="shared" si="53"/>
        <v>1218-26764-44767</v>
      </c>
    </row>
    <row r="3424" spans="1:6" ht="14.25" customHeight="1" x14ac:dyDescent="0.25">
      <c r="A3424" s="15" t="s">
        <v>3564</v>
      </c>
      <c r="B3424" s="16">
        <v>1218</v>
      </c>
      <c r="C3424" s="16">
        <v>26764</v>
      </c>
      <c r="D3424" s="31">
        <v>44774</v>
      </c>
      <c r="E3424" s="16">
        <v>92</v>
      </c>
      <c r="F3424" s="15" t="str">
        <f t="shared" si="53"/>
        <v>1218-26764-44774</v>
      </c>
    </row>
    <row r="3425" spans="1:6" ht="14.25" customHeight="1" x14ac:dyDescent="0.25">
      <c r="A3425" s="15" t="s">
        <v>3565</v>
      </c>
      <c r="B3425" s="16">
        <v>1218</v>
      </c>
      <c r="C3425" s="16">
        <v>26764</v>
      </c>
      <c r="D3425" s="31">
        <v>44781</v>
      </c>
      <c r="E3425" s="16">
        <v>33</v>
      </c>
      <c r="F3425" s="15" t="str">
        <f t="shared" si="53"/>
        <v>1218-26764-44781</v>
      </c>
    </row>
    <row r="3426" spans="1:6" ht="14.25" customHeight="1" x14ac:dyDescent="0.25">
      <c r="A3426" s="15" t="s">
        <v>3566</v>
      </c>
      <c r="B3426" s="16">
        <v>1218</v>
      </c>
      <c r="C3426" s="16">
        <v>26764</v>
      </c>
      <c r="D3426" s="31">
        <v>44788</v>
      </c>
      <c r="E3426" s="16">
        <v>82</v>
      </c>
      <c r="F3426" s="15" t="str">
        <f t="shared" si="53"/>
        <v>1218-26764-44788</v>
      </c>
    </row>
    <row r="3427" spans="1:6" ht="14.25" customHeight="1" x14ac:dyDescent="0.25">
      <c r="A3427" s="15" t="s">
        <v>3567</v>
      </c>
      <c r="B3427" s="16">
        <v>1218</v>
      </c>
      <c r="C3427" s="16">
        <v>53934</v>
      </c>
      <c r="D3427" s="31">
        <v>44739</v>
      </c>
      <c r="E3427" s="16">
        <v>169</v>
      </c>
      <c r="F3427" s="15" t="str">
        <f t="shared" si="53"/>
        <v>1218-53934-44739</v>
      </c>
    </row>
    <row r="3428" spans="1:6" ht="14.25" customHeight="1" x14ac:dyDescent="0.25">
      <c r="A3428" s="15" t="s">
        <v>3568</v>
      </c>
      <c r="B3428" s="16">
        <v>1218</v>
      </c>
      <c r="C3428" s="16">
        <v>53934</v>
      </c>
      <c r="D3428" s="31">
        <v>44746</v>
      </c>
      <c r="E3428" s="16">
        <v>190</v>
      </c>
      <c r="F3428" s="15" t="str">
        <f t="shared" si="53"/>
        <v>1218-53934-44746</v>
      </c>
    </row>
    <row r="3429" spans="1:6" ht="14.25" customHeight="1" x14ac:dyDescent="0.25">
      <c r="A3429" s="15" t="s">
        <v>3569</v>
      </c>
      <c r="B3429" s="16">
        <v>1218</v>
      </c>
      <c r="C3429" s="16">
        <v>53934</v>
      </c>
      <c r="D3429" s="31">
        <v>44753</v>
      </c>
      <c r="E3429" s="16">
        <v>77</v>
      </c>
      <c r="F3429" s="15" t="str">
        <f t="shared" si="53"/>
        <v>1218-53934-44753</v>
      </c>
    </row>
    <row r="3430" spans="1:6" ht="14.25" customHeight="1" x14ac:dyDescent="0.25">
      <c r="A3430" s="15" t="s">
        <v>3570</v>
      </c>
      <c r="B3430" s="16">
        <v>1218</v>
      </c>
      <c r="C3430" s="16">
        <v>53934</v>
      </c>
      <c r="D3430" s="31">
        <v>44760</v>
      </c>
      <c r="E3430" s="16">
        <v>165</v>
      </c>
      <c r="F3430" s="15" t="str">
        <f t="shared" si="53"/>
        <v>1218-53934-44760</v>
      </c>
    </row>
    <row r="3431" spans="1:6" ht="14.25" customHeight="1" x14ac:dyDescent="0.25">
      <c r="A3431" s="15" t="s">
        <v>3571</v>
      </c>
      <c r="B3431" s="16">
        <v>1218</v>
      </c>
      <c r="C3431" s="16">
        <v>53934</v>
      </c>
      <c r="D3431" s="31">
        <v>44767</v>
      </c>
      <c r="E3431" s="16">
        <v>72</v>
      </c>
      <c r="F3431" s="15" t="str">
        <f t="shared" si="53"/>
        <v>1218-53934-44767</v>
      </c>
    </row>
    <row r="3432" spans="1:6" ht="14.25" customHeight="1" x14ac:dyDescent="0.25">
      <c r="A3432" s="15" t="s">
        <v>3572</v>
      </c>
      <c r="B3432" s="16">
        <v>1218</v>
      </c>
      <c r="C3432" s="16">
        <v>53934</v>
      </c>
      <c r="D3432" s="31">
        <v>44774</v>
      </c>
      <c r="E3432" s="16">
        <v>260</v>
      </c>
      <c r="F3432" s="15" t="str">
        <f t="shared" si="53"/>
        <v>1218-53934-44774</v>
      </c>
    </row>
    <row r="3433" spans="1:6" ht="14.25" customHeight="1" x14ac:dyDescent="0.25">
      <c r="A3433" s="15" t="s">
        <v>3573</v>
      </c>
      <c r="B3433" s="16">
        <v>1218</v>
      </c>
      <c r="C3433" s="16">
        <v>53934</v>
      </c>
      <c r="D3433" s="31">
        <v>44781</v>
      </c>
      <c r="E3433" s="16">
        <v>203</v>
      </c>
      <c r="F3433" s="15" t="str">
        <f t="shared" si="53"/>
        <v>1218-53934-44781</v>
      </c>
    </row>
    <row r="3434" spans="1:6" ht="14.25" customHeight="1" x14ac:dyDescent="0.25">
      <c r="A3434" s="15" t="s">
        <v>3574</v>
      </c>
      <c r="B3434" s="16">
        <v>1218</v>
      </c>
      <c r="C3434" s="16">
        <v>53934</v>
      </c>
      <c r="D3434" s="31">
        <v>44788</v>
      </c>
      <c r="E3434" s="16">
        <v>184</v>
      </c>
      <c r="F3434" s="15" t="str">
        <f t="shared" si="53"/>
        <v>1218-53934-44788</v>
      </c>
    </row>
    <row r="3435" spans="1:6" ht="14.25" customHeight="1" x14ac:dyDescent="0.25">
      <c r="A3435" s="15" t="s">
        <v>3575</v>
      </c>
      <c r="B3435" s="16">
        <v>1218</v>
      </c>
      <c r="C3435" s="16">
        <v>78699</v>
      </c>
      <c r="D3435" s="31">
        <v>44739</v>
      </c>
      <c r="E3435" s="16">
        <v>3</v>
      </c>
      <c r="F3435" s="15" t="str">
        <f t="shared" si="53"/>
        <v>1218-78699-44739</v>
      </c>
    </row>
    <row r="3436" spans="1:6" ht="14.25" customHeight="1" x14ac:dyDescent="0.25">
      <c r="A3436" s="15" t="s">
        <v>3576</v>
      </c>
      <c r="B3436" s="16">
        <v>1218</v>
      </c>
      <c r="C3436" s="16">
        <v>78699</v>
      </c>
      <c r="D3436" s="31">
        <v>44746</v>
      </c>
      <c r="E3436" s="16">
        <v>3</v>
      </c>
      <c r="F3436" s="15" t="str">
        <f t="shared" si="53"/>
        <v>1218-78699-44746</v>
      </c>
    </row>
    <row r="3437" spans="1:6" ht="14.25" customHeight="1" x14ac:dyDescent="0.25">
      <c r="A3437" s="15" t="s">
        <v>3577</v>
      </c>
      <c r="B3437" s="16">
        <v>1218</v>
      </c>
      <c r="C3437" s="16">
        <v>78699</v>
      </c>
      <c r="D3437" s="31">
        <v>44753</v>
      </c>
      <c r="E3437" s="16">
        <v>3</v>
      </c>
      <c r="F3437" s="15" t="str">
        <f t="shared" si="53"/>
        <v>1218-78699-44753</v>
      </c>
    </row>
    <row r="3438" spans="1:6" ht="14.25" customHeight="1" x14ac:dyDescent="0.25">
      <c r="A3438" s="15" t="s">
        <v>3578</v>
      </c>
      <c r="B3438" s="16">
        <v>1218</v>
      </c>
      <c r="C3438" s="16">
        <v>78699</v>
      </c>
      <c r="D3438" s="31">
        <v>44760</v>
      </c>
      <c r="E3438" s="16">
        <v>3</v>
      </c>
      <c r="F3438" s="15" t="str">
        <f t="shared" si="53"/>
        <v>1218-78699-44760</v>
      </c>
    </row>
    <row r="3439" spans="1:6" ht="14.25" customHeight="1" x14ac:dyDescent="0.25">
      <c r="A3439" s="15" t="s">
        <v>3579</v>
      </c>
      <c r="B3439" s="16">
        <v>1218</v>
      </c>
      <c r="C3439" s="16">
        <v>78699</v>
      </c>
      <c r="D3439" s="31">
        <v>44767</v>
      </c>
      <c r="E3439" s="16">
        <v>3</v>
      </c>
      <c r="F3439" s="15" t="str">
        <f t="shared" si="53"/>
        <v>1218-78699-44767</v>
      </c>
    </row>
    <row r="3440" spans="1:6" ht="14.25" customHeight="1" x14ac:dyDescent="0.25">
      <c r="A3440" s="15" t="s">
        <v>3580</v>
      </c>
      <c r="B3440" s="16">
        <v>1218</v>
      </c>
      <c r="C3440" s="16">
        <v>78699</v>
      </c>
      <c r="D3440" s="31">
        <v>44774</v>
      </c>
      <c r="E3440" s="16">
        <v>3</v>
      </c>
      <c r="F3440" s="15" t="str">
        <f t="shared" si="53"/>
        <v>1218-78699-44774</v>
      </c>
    </row>
    <row r="3441" spans="1:6" ht="14.25" customHeight="1" x14ac:dyDescent="0.25">
      <c r="A3441" s="15" t="s">
        <v>3581</v>
      </c>
      <c r="B3441" s="16">
        <v>1218</v>
      </c>
      <c r="C3441" s="16">
        <v>78699</v>
      </c>
      <c r="D3441" s="31">
        <v>44781</v>
      </c>
      <c r="E3441" s="16">
        <v>3</v>
      </c>
      <c r="F3441" s="15" t="str">
        <f t="shared" si="53"/>
        <v>1218-78699-44781</v>
      </c>
    </row>
    <row r="3442" spans="1:6" ht="14.25" customHeight="1" x14ac:dyDescent="0.25">
      <c r="A3442" s="15" t="s">
        <v>3582</v>
      </c>
      <c r="B3442" s="16">
        <v>1218</v>
      </c>
      <c r="C3442" s="16">
        <v>78699</v>
      </c>
      <c r="D3442" s="31">
        <v>44788</v>
      </c>
      <c r="E3442" s="16">
        <v>3</v>
      </c>
      <c r="F3442" s="15" t="str">
        <f t="shared" si="53"/>
        <v>1218-78699-44788</v>
      </c>
    </row>
    <row r="3443" spans="1:6" ht="14.25" customHeight="1" x14ac:dyDescent="0.25">
      <c r="A3443" s="15" t="s">
        <v>3583</v>
      </c>
      <c r="B3443" s="16">
        <v>1218</v>
      </c>
      <c r="C3443" s="16">
        <v>78869</v>
      </c>
      <c r="D3443" s="31">
        <v>44739</v>
      </c>
      <c r="E3443" s="16">
        <v>3</v>
      </c>
      <c r="F3443" s="15" t="str">
        <f t="shared" si="53"/>
        <v>1218-78869-44739</v>
      </c>
    </row>
    <row r="3444" spans="1:6" ht="14.25" customHeight="1" x14ac:dyDescent="0.25">
      <c r="A3444" s="15" t="s">
        <v>3584</v>
      </c>
      <c r="B3444" s="16">
        <v>1218</v>
      </c>
      <c r="C3444" s="16">
        <v>78869</v>
      </c>
      <c r="D3444" s="31">
        <v>44746</v>
      </c>
      <c r="E3444" s="16">
        <v>3</v>
      </c>
      <c r="F3444" s="15" t="str">
        <f t="shared" si="53"/>
        <v>1218-78869-44746</v>
      </c>
    </row>
    <row r="3445" spans="1:6" ht="14.25" customHeight="1" x14ac:dyDescent="0.25">
      <c r="A3445" s="15" t="s">
        <v>3585</v>
      </c>
      <c r="B3445" s="16">
        <v>1218</v>
      </c>
      <c r="C3445" s="16">
        <v>78869</v>
      </c>
      <c r="D3445" s="31">
        <v>44753</v>
      </c>
      <c r="E3445" s="16">
        <v>3</v>
      </c>
      <c r="F3445" s="15" t="str">
        <f t="shared" si="53"/>
        <v>1218-78869-44753</v>
      </c>
    </row>
    <row r="3446" spans="1:6" ht="14.25" customHeight="1" x14ac:dyDescent="0.25">
      <c r="A3446" s="15" t="s">
        <v>3586</v>
      </c>
      <c r="B3446" s="16">
        <v>1218</v>
      </c>
      <c r="C3446" s="16">
        <v>78869</v>
      </c>
      <c r="D3446" s="31">
        <v>44760</v>
      </c>
      <c r="E3446" s="16">
        <v>3</v>
      </c>
      <c r="F3446" s="15" t="str">
        <f t="shared" si="53"/>
        <v>1218-78869-44760</v>
      </c>
    </row>
    <row r="3447" spans="1:6" ht="14.25" customHeight="1" x14ac:dyDescent="0.25">
      <c r="A3447" s="15" t="s">
        <v>3587</v>
      </c>
      <c r="B3447" s="16">
        <v>1218</v>
      </c>
      <c r="C3447" s="16">
        <v>78869</v>
      </c>
      <c r="D3447" s="31">
        <v>44767</v>
      </c>
      <c r="E3447" s="16">
        <v>3</v>
      </c>
      <c r="F3447" s="15" t="str">
        <f t="shared" si="53"/>
        <v>1218-78869-44767</v>
      </c>
    </row>
    <row r="3448" spans="1:6" ht="14.25" customHeight="1" x14ac:dyDescent="0.25">
      <c r="A3448" s="15" t="s">
        <v>3588</v>
      </c>
      <c r="B3448" s="16">
        <v>1218</v>
      </c>
      <c r="C3448" s="16">
        <v>78869</v>
      </c>
      <c r="D3448" s="31">
        <v>44774</v>
      </c>
      <c r="E3448" s="16">
        <v>3</v>
      </c>
      <c r="F3448" s="15" t="str">
        <f t="shared" si="53"/>
        <v>1218-78869-44774</v>
      </c>
    </row>
    <row r="3449" spans="1:6" ht="14.25" customHeight="1" x14ac:dyDescent="0.25">
      <c r="A3449" s="15" t="s">
        <v>3589</v>
      </c>
      <c r="B3449" s="16">
        <v>1218</v>
      </c>
      <c r="C3449" s="16">
        <v>78869</v>
      </c>
      <c r="D3449" s="31">
        <v>44781</v>
      </c>
      <c r="E3449" s="16">
        <v>3</v>
      </c>
      <c r="F3449" s="15" t="str">
        <f t="shared" si="53"/>
        <v>1218-78869-44781</v>
      </c>
    </row>
    <row r="3450" spans="1:6" ht="14.25" customHeight="1" x14ac:dyDescent="0.25">
      <c r="A3450" s="15" t="s">
        <v>3590</v>
      </c>
      <c r="B3450" s="16">
        <v>1218</v>
      </c>
      <c r="C3450" s="16">
        <v>78869</v>
      </c>
      <c r="D3450" s="31">
        <v>44788</v>
      </c>
      <c r="E3450" s="16">
        <v>3</v>
      </c>
      <c r="F3450" s="15" t="str">
        <f t="shared" si="53"/>
        <v>1218-78869-44788</v>
      </c>
    </row>
    <row r="3451" spans="1:6" ht="14.25" customHeight="1" x14ac:dyDescent="0.25">
      <c r="A3451" s="15" t="s">
        <v>3591</v>
      </c>
      <c r="B3451" s="16">
        <v>1218</v>
      </c>
      <c r="C3451" s="16">
        <v>115600</v>
      </c>
      <c r="D3451" s="31">
        <v>32874</v>
      </c>
      <c r="E3451" s="16">
        <v>30</v>
      </c>
      <c r="F3451" s="15" t="str">
        <f t="shared" si="53"/>
        <v>1218-115600-32874</v>
      </c>
    </row>
    <row r="3452" spans="1:6" ht="14.25" customHeight="1" x14ac:dyDescent="0.25">
      <c r="A3452" s="15" t="s">
        <v>3592</v>
      </c>
      <c r="B3452" s="16">
        <v>1218</v>
      </c>
      <c r="C3452" s="16">
        <v>115600</v>
      </c>
      <c r="D3452" s="31">
        <v>44739</v>
      </c>
      <c r="E3452" s="16">
        <v>38</v>
      </c>
      <c r="F3452" s="15" t="str">
        <f t="shared" si="53"/>
        <v>1218-115600-44739</v>
      </c>
    </row>
    <row r="3453" spans="1:6" ht="14.25" customHeight="1" x14ac:dyDescent="0.25">
      <c r="A3453" s="15" t="s">
        <v>3593</v>
      </c>
      <c r="B3453" s="16">
        <v>1218</v>
      </c>
      <c r="C3453" s="16">
        <v>115600</v>
      </c>
      <c r="D3453" s="31">
        <v>44746</v>
      </c>
      <c r="E3453" s="16">
        <v>30</v>
      </c>
      <c r="F3453" s="15" t="str">
        <f t="shared" si="53"/>
        <v>1218-115600-44746</v>
      </c>
    </row>
    <row r="3454" spans="1:6" ht="14.25" customHeight="1" x14ac:dyDescent="0.25">
      <c r="A3454" s="15" t="s">
        <v>3594</v>
      </c>
      <c r="B3454" s="16">
        <v>1218</v>
      </c>
      <c r="C3454" s="16">
        <v>115600</v>
      </c>
      <c r="D3454" s="31">
        <v>44753</v>
      </c>
      <c r="E3454" s="16">
        <v>13</v>
      </c>
      <c r="F3454" s="15" t="str">
        <f t="shared" si="53"/>
        <v>1218-115600-44753</v>
      </c>
    </row>
    <row r="3455" spans="1:6" ht="14.25" customHeight="1" x14ac:dyDescent="0.25">
      <c r="A3455" s="15" t="s">
        <v>3595</v>
      </c>
      <c r="B3455" s="16">
        <v>1218</v>
      </c>
      <c r="C3455" s="16">
        <v>115600</v>
      </c>
      <c r="D3455" s="31">
        <v>44760</v>
      </c>
      <c r="E3455" s="16">
        <v>35</v>
      </c>
      <c r="F3455" s="15" t="str">
        <f t="shared" si="53"/>
        <v>1218-115600-44760</v>
      </c>
    </row>
    <row r="3456" spans="1:6" ht="14.25" customHeight="1" x14ac:dyDescent="0.25">
      <c r="A3456" s="15" t="s">
        <v>3596</v>
      </c>
      <c r="B3456" s="16">
        <v>1218</v>
      </c>
      <c r="C3456" s="16">
        <v>115600</v>
      </c>
      <c r="D3456" s="31">
        <v>44767</v>
      </c>
      <c r="E3456" s="16">
        <v>36</v>
      </c>
      <c r="F3456" s="15" t="str">
        <f t="shared" si="53"/>
        <v>1218-115600-44767</v>
      </c>
    </row>
    <row r="3457" spans="1:6" ht="14.25" customHeight="1" x14ac:dyDescent="0.25">
      <c r="A3457" s="15" t="s">
        <v>3597</v>
      </c>
      <c r="B3457" s="16">
        <v>1218</v>
      </c>
      <c r="C3457" s="16">
        <v>115600</v>
      </c>
      <c r="D3457" s="31">
        <v>44774</v>
      </c>
      <c r="E3457" s="16">
        <v>12</v>
      </c>
      <c r="F3457" s="15" t="str">
        <f t="shared" si="53"/>
        <v>1218-115600-44774</v>
      </c>
    </row>
    <row r="3458" spans="1:6" ht="14.25" customHeight="1" x14ac:dyDescent="0.25">
      <c r="A3458" s="15" t="s">
        <v>3598</v>
      </c>
      <c r="B3458" s="16">
        <v>1218</v>
      </c>
      <c r="C3458" s="16">
        <v>115600</v>
      </c>
      <c r="D3458" s="31">
        <v>44781</v>
      </c>
      <c r="E3458" s="16">
        <v>31</v>
      </c>
      <c r="F3458" s="15" t="str">
        <f t="shared" si="53"/>
        <v>1218-115600-44781</v>
      </c>
    </row>
    <row r="3459" spans="1:6" ht="14.25" customHeight="1" x14ac:dyDescent="0.25">
      <c r="A3459" s="15" t="s">
        <v>3599</v>
      </c>
      <c r="B3459" s="16">
        <v>1218</v>
      </c>
      <c r="C3459" s="16">
        <v>115600</v>
      </c>
      <c r="D3459" s="31">
        <v>44788</v>
      </c>
      <c r="E3459" s="16">
        <v>28</v>
      </c>
      <c r="F3459" s="15" t="str">
        <f t="shared" ref="F3459:F3522" si="54">B3459&amp;"-"&amp;C3459&amp;"-"&amp;INT(D3459)</f>
        <v>1218-115600-44788</v>
      </c>
    </row>
    <row r="3460" spans="1:6" ht="14.25" customHeight="1" x14ac:dyDescent="0.25">
      <c r="A3460" s="15" t="s">
        <v>3600</v>
      </c>
      <c r="B3460" s="16">
        <v>1218</v>
      </c>
      <c r="C3460" s="16">
        <v>129208</v>
      </c>
      <c r="D3460" s="31">
        <v>32874</v>
      </c>
      <c r="E3460" s="16">
        <v>6</v>
      </c>
      <c r="F3460" s="15" t="str">
        <f t="shared" si="54"/>
        <v>1218-129208-32874</v>
      </c>
    </row>
    <row r="3461" spans="1:6" ht="14.25" customHeight="1" x14ac:dyDescent="0.25">
      <c r="A3461" s="15" t="s">
        <v>3601</v>
      </c>
      <c r="B3461" s="16">
        <v>1218</v>
      </c>
      <c r="C3461" s="16">
        <v>129208</v>
      </c>
      <c r="D3461" s="31">
        <v>44739</v>
      </c>
      <c r="E3461" s="16">
        <v>15</v>
      </c>
      <c r="F3461" s="15" t="str">
        <f t="shared" si="54"/>
        <v>1218-129208-44739</v>
      </c>
    </row>
    <row r="3462" spans="1:6" ht="14.25" customHeight="1" x14ac:dyDescent="0.25">
      <c r="A3462" s="15" t="s">
        <v>3602</v>
      </c>
      <c r="B3462" s="16">
        <v>1218</v>
      </c>
      <c r="C3462" s="16">
        <v>129208</v>
      </c>
      <c r="D3462" s="31">
        <v>44746</v>
      </c>
      <c r="E3462" s="16">
        <v>15</v>
      </c>
      <c r="F3462" s="15" t="str">
        <f t="shared" si="54"/>
        <v>1218-129208-44746</v>
      </c>
    </row>
    <row r="3463" spans="1:6" ht="14.25" customHeight="1" x14ac:dyDescent="0.25">
      <c r="A3463" s="15" t="s">
        <v>3603</v>
      </c>
      <c r="B3463" s="16">
        <v>1218</v>
      </c>
      <c r="C3463" s="16">
        <v>129208</v>
      </c>
      <c r="D3463" s="31">
        <v>44753</v>
      </c>
      <c r="E3463" s="16">
        <v>15</v>
      </c>
      <c r="F3463" s="15" t="str">
        <f t="shared" si="54"/>
        <v>1218-129208-44753</v>
      </c>
    </row>
    <row r="3464" spans="1:6" ht="14.25" customHeight="1" x14ac:dyDescent="0.25">
      <c r="A3464" s="15" t="s">
        <v>3604</v>
      </c>
      <c r="B3464" s="16">
        <v>1218</v>
      </c>
      <c r="C3464" s="16">
        <v>129208</v>
      </c>
      <c r="D3464" s="31">
        <v>44760</v>
      </c>
      <c r="E3464" s="16">
        <v>15</v>
      </c>
      <c r="F3464" s="15" t="str">
        <f t="shared" si="54"/>
        <v>1218-129208-44760</v>
      </c>
    </row>
    <row r="3465" spans="1:6" ht="14.25" customHeight="1" x14ac:dyDescent="0.25">
      <c r="A3465" s="15" t="s">
        <v>3605</v>
      </c>
      <c r="B3465" s="16">
        <v>1218</v>
      </c>
      <c r="C3465" s="16">
        <v>129208</v>
      </c>
      <c r="D3465" s="31">
        <v>44767</v>
      </c>
      <c r="E3465" s="16">
        <v>15</v>
      </c>
      <c r="F3465" s="15" t="str">
        <f t="shared" si="54"/>
        <v>1218-129208-44767</v>
      </c>
    </row>
    <row r="3466" spans="1:6" ht="14.25" customHeight="1" x14ac:dyDescent="0.25">
      <c r="A3466" s="15" t="s">
        <v>3606</v>
      </c>
      <c r="B3466" s="16">
        <v>1218</v>
      </c>
      <c r="C3466" s="16">
        <v>129208</v>
      </c>
      <c r="D3466" s="31">
        <v>44774</v>
      </c>
      <c r="E3466" s="16">
        <v>15</v>
      </c>
      <c r="F3466" s="15" t="str">
        <f t="shared" si="54"/>
        <v>1218-129208-44774</v>
      </c>
    </row>
    <row r="3467" spans="1:6" ht="14.25" customHeight="1" x14ac:dyDescent="0.25">
      <c r="A3467" s="15" t="s">
        <v>3607</v>
      </c>
      <c r="B3467" s="16">
        <v>1218</v>
      </c>
      <c r="C3467" s="16">
        <v>129208</v>
      </c>
      <c r="D3467" s="31">
        <v>44781</v>
      </c>
      <c r="E3467" s="16">
        <v>15</v>
      </c>
      <c r="F3467" s="15" t="str">
        <f t="shared" si="54"/>
        <v>1218-129208-44781</v>
      </c>
    </row>
    <row r="3468" spans="1:6" ht="14.25" customHeight="1" x14ac:dyDescent="0.25">
      <c r="A3468" s="15" t="s">
        <v>3608</v>
      </c>
      <c r="B3468" s="16">
        <v>1218</v>
      </c>
      <c r="C3468" s="16">
        <v>129208</v>
      </c>
      <c r="D3468" s="31">
        <v>44788</v>
      </c>
      <c r="E3468" s="16">
        <v>15</v>
      </c>
      <c r="F3468" s="15" t="str">
        <f t="shared" si="54"/>
        <v>1218-129208-44788</v>
      </c>
    </row>
    <row r="3469" spans="1:6" ht="14.25" customHeight="1" x14ac:dyDescent="0.25">
      <c r="A3469" s="15" t="s">
        <v>3609</v>
      </c>
      <c r="B3469" s="16">
        <v>1218</v>
      </c>
      <c r="C3469" s="16">
        <v>141622</v>
      </c>
      <c r="D3469" s="31">
        <v>44739</v>
      </c>
      <c r="E3469" s="16">
        <v>9</v>
      </c>
      <c r="F3469" s="15" t="str">
        <f t="shared" si="54"/>
        <v>1218-141622-44739</v>
      </c>
    </row>
    <row r="3470" spans="1:6" ht="14.25" customHeight="1" x14ac:dyDescent="0.25">
      <c r="A3470" s="15" t="s">
        <v>3610</v>
      </c>
      <c r="B3470" s="16">
        <v>1218</v>
      </c>
      <c r="C3470" s="16">
        <v>141622</v>
      </c>
      <c r="D3470" s="31">
        <v>44746</v>
      </c>
      <c r="E3470" s="16">
        <v>32</v>
      </c>
      <c r="F3470" s="15" t="str">
        <f t="shared" si="54"/>
        <v>1218-141622-44746</v>
      </c>
    </row>
    <row r="3471" spans="1:6" ht="14.25" customHeight="1" x14ac:dyDescent="0.25">
      <c r="A3471" s="15" t="s">
        <v>3611</v>
      </c>
      <c r="B3471" s="16">
        <v>1218</v>
      </c>
      <c r="C3471" s="16">
        <v>141622</v>
      </c>
      <c r="D3471" s="31">
        <v>44753</v>
      </c>
      <c r="E3471" s="16">
        <v>34</v>
      </c>
      <c r="F3471" s="15" t="str">
        <f t="shared" si="54"/>
        <v>1218-141622-44753</v>
      </c>
    </row>
    <row r="3472" spans="1:6" ht="14.25" customHeight="1" x14ac:dyDescent="0.25">
      <c r="A3472" s="15" t="s">
        <v>3612</v>
      </c>
      <c r="B3472" s="16">
        <v>1218</v>
      </c>
      <c r="C3472" s="16">
        <v>141622</v>
      </c>
      <c r="D3472" s="31">
        <v>44760</v>
      </c>
      <c r="E3472" s="16">
        <v>28</v>
      </c>
      <c r="F3472" s="15" t="str">
        <f t="shared" si="54"/>
        <v>1218-141622-44760</v>
      </c>
    </row>
    <row r="3473" spans="1:6" ht="14.25" customHeight="1" x14ac:dyDescent="0.25">
      <c r="A3473" s="15" t="s">
        <v>3613</v>
      </c>
      <c r="B3473" s="16">
        <v>1218</v>
      </c>
      <c r="C3473" s="16">
        <v>141622</v>
      </c>
      <c r="D3473" s="31">
        <v>44767</v>
      </c>
      <c r="E3473" s="16">
        <v>10</v>
      </c>
      <c r="F3473" s="15" t="str">
        <f t="shared" si="54"/>
        <v>1218-141622-44767</v>
      </c>
    </row>
    <row r="3474" spans="1:6" ht="14.25" customHeight="1" x14ac:dyDescent="0.25">
      <c r="A3474" s="15" t="s">
        <v>3614</v>
      </c>
      <c r="B3474" s="16">
        <v>1218</v>
      </c>
      <c r="C3474" s="16">
        <v>141622</v>
      </c>
      <c r="D3474" s="31">
        <v>44774</v>
      </c>
      <c r="E3474" s="16">
        <v>30</v>
      </c>
      <c r="F3474" s="15" t="str">
        <f t="shared" si="54"/>
        <v>1218-141622-44774</v>
      </c>
    </row>
    <row r="3475" spans="1:6" ht="14.25" customHeight="1" x14ac:dyDescent="0.25">
      <c r="A3475" s="15" t="s">
        <v>3615</v>
      </c>
      <c r="B3475" s="16">
        <v>1218</v>
      </c>
      <c r="C3475" s="16">
        <v>141622</v>
      </c>
      <c r="D3475" s="31">
        <v>44781</v>
      </c>
      <c r="E3475" s="16">
        <v>36</v>
      </c>
      <c r="F3475" s="15" t="str">
        <f t="shared" si="54"/>
        <v>1218-141622-44781</v>
      </c>
    </row>
    <row r="3476" spans="1:6" ht="14.25" customHeight="1" x14ac:dyDescent="0.25">
      <c r="A3476" s="15" t="s">
        <v>3616</v>
      </c>
      <c r="B3476" s="16">
        <v>1218</v>
      </c>
      <c r="C3476" s="16">
        <v>141622</v>
      </c>
      <c r="D3476" s="31">
        <v>44788</v>
      </c>
      <c r="E3476" s="16">
        <v>33</v>
      </c>
      <c r="F3476" s="15" t="str">
        <f t="shared" si="54"/>
        <v>1218-141622-44788</v>
      </c>
    </row>
    <row r="3477" spans="1:6" ht="14.25" customHeight="1" x14ac:dyDescent="0.25">
      <c r="A3477" s="15" t="s">
        <v>3617</v>
      </c>
      <c r="B3477" s="16">
        <v>1218</v>
      </c>
      <c r="C3477" s="16">
        <v>141626</v>
      </c>
      <c r="D3477" s="31">
        <v>44739</v>
      </c>
      <c r="E3477" s="16">
        <v>335</v>
      </c>
      <c r="F3477" s="15" t="str">
        <f t="shared" si="54"/>
        <v>1218-141626-44739</v>
      </c>
    </row>
    <row r="3478" spans="1:6" ht="14.25" customHeight="1" x14ac:dyDescent="0.25">
      <c r="A3478" s="15" t="s">
        <v>3618</v>
      </c>
      <c r="B3478" s="16">
        <v>1218</v>
      </c>
      <c r="C3478" s="16">
        <v>141626</v>
      </c>
      <c r="D3478" s="31">
        <v>44746</v>
      </c>
      <c r="E3478" s="16">
        <v>305</v>
      </c>
      <c r="F3478" s="15" t="str">
        <f t="shared" si="54"/>
        <v>1218-141626-44746</v>
      </c>
    </row>
    <row r="3479" spans="1:6" ht="14.25" customHeight="1" x14ac:dyDescent="0.25">
      <c r="A3479" s="15" t="s">
        <v>3619</v>
      </c>
      <c r="B3479" s="16">
        <v>1218</v>
      </c>
      <c r="C3479" s="16">
        <v>141626</v>
      </c>
      <c r="D3479" s="31">
        <v>44753</v>
      </c>
      <c r="E3479" s="16">
        <v>296</v>
      </c>
      <c r="F3479" s="15" t="str">
        <f t="shared" si="54"/>
        <v>1218-141626-44753</v>
      </c>
    </row>
    <row r="3480" spans="1:6" ht="14.25" customHeight="1" x14ac:dyDescent="0.25">
      <c r="A3480" s="15" t="s">
        <v>3620</v>
      </c>
      <c r="B3480" s="16">
        <v>1218</v>
      </c>
      <c r="C3480" s="16">
        <v>141626</v>
      </c>
      <c r="D3480" s="31">
        <v>44760</v>
      </c>
      <c r="E3480" s="16">
        <v>274</v>
      </c>
      <c r="F3480" s="15" t="str">
        <f t="shared" si="54"/>
        <v>1218-141626-44760</v>
      </c>
    </row>
    <row r="3481" spans="1:6" ht="14.25" customHeight="1" x14ac:dyDescent="0.25">
      <c r="A3481" s="15" t="s">
        <v>3621</v>
      </c>
      <c r="B3481" s="16">
        <v>1218</v>
      </c>
      <c r="C3481" s="16">
        <v>141626</v>
      </c>
      <c r="D3481" s="31">
        <v>44767</v>
      </c>
      <c r="E3481" s="16">
        <v>240</v>
      </c>
      <c r="F3481" s="15" t="str">
        <f t="shared" si="54"/>
        <v>1218-141626-44767</v>
      </c>
    </row>
    <row r="3482" spans="1:6" ht="14.25" customHeight="1" x14ac:dyDescent="0.25">
      <c r="A3482" s="15" t="s">
        <v>3622</v>
      </c>
      <c r="B3482" s="16">
        <v>1218</v>
      </c>
      <c r="C3482" s="16">
        <v>141626</v>
      </c>
      <c r="D3482" s="31">
        <v>44774</v>
      </c>
      <c r="E3482" s="16">
        <v>322</v>
      </c>
      <c r="F3482" s="15" t="str">
        <f t="shared" si="54"/>
        <v>1218-141626-44774</v>
      </c>
    </row>
    <row r="3483" spans="1:6" ht="14.25" customHeight="1" x14ac:dyDescent="0.25">
      <c r="A3483" s="15" t="s">
        <v>3623</v>
      </c>
      <c r="B3483" s="16">
        <v>1218</v>
      </c>
      <c r="C3483" s="16">
        <v>141626</v>
      </c>
      <c r="D3483" s="31">
        <v>44781</v>
      </c>
      <c r="E3483" s="16">
        <v>168</v>
      </c>
      <c r="F3483" s="15" t="str">
        <f t="shared" si="54"/>
        <v>1218-141626-44781</v>
      </c>
    </row>
    <row r="3484" spans="1:6" ht="14.25" customHeight="1" x14ac:dyDescent="0.25">
      <c r="A3484" s="15" t="s">
        <v>3624</v>
      </c>
      <c r="B3484" s="16">
        <v>1218</v>
      </c>
      <c r="C3484" s="16">
        <v>141626</v>
      </c>
      <c r="D3484" s="31">
        <v>44788</v>
      </c>
      <c r="E3484" s="16">
        <v>105</v>
      </c>
      <c r="F3484" s="15" t="str">
        <f t="shared" si="54"/>
        <v>1218-141626-44788</v>
      </c>
    </row>
    <row r="3485" spans="1:6" ht="14.25" customHeight="1" x14ac:dyDescent="0.25">
      <c r="A3485" s="15" t="s">
        <v>3625</v>
      </c>
      <c r="B3485" s="16">
        <v>1218</v>
      </c>
      <c r="C3485" s="16">
        <v>141791</v>
      </c>
      <c r="D3485" s="31">
        <v>44739</v>
      </c>
      <c r="E3485" s="16">
        <v>3</v>
      </c>
      <c r="F3485" s="15" t="str">
        <f t="shared" si="54"/>
        <v>1218-141791-44739</v>
      </c>
    </row>
    <row r="3486" spans="1:6" ht="14.25" customHeight="1" x14ac:dyDescent="0.25">
      <c r="A3486" s="15" t="s">
        <v>3626</v>
      </c>
      <c r="B3486" s="16">
        <v>1218</v>
      </c>
      <c r="C3486" s="16">
        <v>141791</v>
      </c>
      <c r="D3486" s="31">
        <v>44746</v>
      </c>
      <c r="E3486" s="16">
        <v>3</v>
      </c>
      <c r="F3486" s="15" t="str">
        <f t="shared" si="54"/>
        <v>1218-141791-44746</v>
      </c>
    </row>
    <row r="3487" spans="1:6" ht="14.25" customHeight="1" x14ac:dyDescent="0.25">
      <c r="A3487" s="15" t="s">
        <v>3627</v>
      </c>
      <c r="B3487" s="16">
        <v>1218</v>
      </c>
      <c r="C3487" s="16">
        <v>141791</v>
      </c>
      <c r="D3487" s="31">
        <v>44753</v>
      </c>
      <c r="E3487" s="16">
        <v>3</v>
      </c>
      <c r="F3487" s="15" t="str">
        <f t="shared" si="54"/>
        <v>1218-141791-44753</v>
      </c>
    </row>
    <row r="3488" spans="1:6" ht="14.25" customHeight="1" x14ac:dyDescent="0.25">
      <c r="A3488" s="15" t="s">
        <v>3628</v>
      </c>
      <c r="B3488" s="16">
        <v>1218</v>
      </c>
      <c r="C3488" s="16">
        <v>141791</v>
      </c>
      <c r="D3488" s="31">
        <v>44760</v>
      </c>
      <c r="E3488" s="16">
        <v>3</v>
      </c>
      <c r="F3488" s="15" t="str">
        <f t="shared" si="54"/>
        <v>1218-141791-44760</v>
      </c>
    </row>
    <row r="3489" spans="1:6" ht="14.25" customHeight="1" x14ac:dyDescent="0.25">
      <c r="A3489" s="15" t="s">
        <v>3629</v>
      </c>
      <c r="B3489" s="16">
        <v>1218</v>
      </c>
      <c r="C3489" s="16">
        <v>141791</v>
      </c>
      <c r="D3489" s="31">
        <v>44767</v>
      </c>
      <c r="E3489" s="16">
        <v>3</v>
      </c>
      <c r="F3489" s="15" t="str">
        <f t="shared" si="54"/>
        <v>1218-141791-44767</v>
      </c>
    </row>
    <row r="3490" spans="1:6" ht="14.25" customHeight="1" x14ac:dyDescent="0.25">
      <c r="A3490" s="15" t="s">
        <v>3630</v>
      </c>
      <c r="B3490" s="16">
        <v>1218</v>
      </c>
      <c r="C3490" s="16">
        <v>141791</v>
      </c>
      <c r="D3490" s="31">
        <v>44774</v>
      </c>
      <c r="E3490" s="16">
        <v>3</v>
      </c>
      <c r="F3490" s="15" t="str">
        <f t="shared" si="54"/>
        <v>1218-141791-44774</v>
      </c>
    </row>
    <row r="3491" spans="1:6" ht="14.25" customHeight="1" x14ac:dyDescent="0.25">
      <c r="A3491" s="15" t="s">
        <v>3631</v>
      </c>
      <c r="B3491" s="16">
        <v>1218</v>
      </c>
      <c r="C3491" s="16">
        <v>141791</v>
      </c>
      <c r="D3491" s="31">
        <v>44781</v>
      </c>
      <c r="E3491" s="16">
        <v>3</v>
      </c>
      <c r="F3491" s="15" t="str">
        <f t="shared" si="54"/>
        <v>1218-141791-44781</v>
      </c>
    </row>
    <row r="3492" spans="1:6" ht="14.25" customHeight="1" x14ac:dyDescent="0.25">
      <c r="A3492" s="15" t="s">
        <v>3632</v>
      </c>
      <c r="B3492" s="16">
        <v>1218</v>
      </c>
      <c r="C3492" s="16">
        <v>141791</v>
      </c>
      <c r="D3492" s="31">
        <v>44788</v>
      </c>
      <c r="E3492" s="16">
        <v>3</v>
      </c>
      <c r="F3492" s="15" t="str">
        <f t="shared" si="54"/>
        <v>1218-141791-44788</v>
      </c>
    </row>
    <row r="3493" spans="1:6" ht="14.25" customHeight="1" x14ac:dyDescent="0.25">
      <c r="A3493" s="15" t="s">
        <v>3633</v>
      </c>
      <c r="B3493" s="16">
        <v>1218</v>
      </c>
      <c r="C3493" s="16">
        <v>141846</v>
      </c>
      <c r="D3493" s="31">
        <v>44739</v>
      </c>
      <c r="E3493" s="16">
        <v>18</v>
      </c>
      <c r="F3493" s="15" t="str">
        <f t="shared" si="54"/>
        <v>1218-141846-44739</v>
      </c>
    </row>
    <row r="3494" spans="1:6" ht="14.25" customHeight="1" x14ac:dyDescent="0.25">
      <c r="A3494" s="15" t="s">
        <v>3634</v>
      </c>
      <c r="B3494" s="16">
        <v>1218</v>
      </c>
      <c r="C3494" s="16">
        <v>141846</v>
      </c>
      <c r="D3494" s="31">
        <v>44746</v>
      </c>
      <c r="E3494" s="16">
        <v>18</v>
      </c>
      <c r="F3494" s="15" t="str">
        <f t="shared" si="54"/>
        <v>1218-141846-44746</v>
      </c>
    </row>
    <row r="3495" spans="1:6" ht="14.25" customHeight="1" x14ac:dyDescent="0.25">
      <c r="A3495" s="15" t="s">
        <v>3635</v>
      </c>
      <c r="B3495" s="16">
        <v>1218</v>
      </c>
      <c r="C3495" s="16">
        <v>141846</v>
      </c>
      <c r="D3495" s="31">
        <v>44753</v>
      </c>
      <c r="E3495" s="16">
        <v>12</v>
      </c>
      <c r="F3495" s="15" t="str">
        <f t="shared" si="54"/>
        <v>1218-141846-44753</v>
      </c>
    </row>
    <row r="3496" spans="1:6" ht="14.25" customHeight="1" x14ac:dyDescent="0.25">
      <c r="A3496" s="15" t="s">
        <v>3636</v>
      </c>
      <c r="B3496" s="16">
        <v>1218</v>
      </c>
      <c r="C3496" s="16">
        <v>141846</v>
      </c>
      <c r="D3496" s="31">
        <v>44760</v>
      </c>
      <c r="E3496" s="16">
        <v>5</v>
      </c>
      <c r="F3496" s="15" t="str">
        <f t="shared" si="54"/>
        <v>1218-141846-44760</v>
      </c>
    </row>
    <row r="3497" spans="1:6" ht="14.25" customHeight="1" x14ac:dyDescent="0.25">
      <c r="A3497" s="15" t="s">
        <v>3637</v>
      </c>
      <c r="B3497" s="16">
        <v>1218</v>
      </c>
      <c r="C3497" s="16">
        <v>141846</v>
      </c>
      <c r="D3497" s="31">
        <v>44767</v>
      </c>
      <c r="E3497" s="16">
        <v>15</v>
      </c>
      <c r="F3497" s="15" t="str">
        <f t="shared" si="54"/>
        <v>1218-141846-44767</v>
      </c>
    </row>
    <row r="3498" spans="1:6" ht="14.25" customHeight="1" x14ac:dyDescent="0.25">
      <c r="A3498" s="15" t="s">
        <v>3638</v>
      </c>
      <c r="B3498" s="16">
        <v>1218</v>
      </c>
      <c r="C3498" s="16">
        <v>141846</v>
      </c>
      <c r="D3498" s="31">
        <v>44774</v>
      </c>
      <c r="E3498" s="16">
        <v>9</v>
      </c>
      <c r="F3498" s="15" t="str">
        <f t="shared" si="54"/>
        <v>1218-141846-44774</v>
      </c>
    </row>
    <row r="3499" spans="1:6" ht="14.25" customHeight="1" x14ac:dyDescent="0.25">
      <c r="A3499" s="15" t="s">
        <v>3639</v>
      </c>
      <c r="B3499" s="16">
        <v>1218</v>
      </c>
      <c r="C3499" s="16">
        <v>141846</v>
      </c>
      <c r="D3499" s="31">
        <v>44781</v>
      </c>
      <c r="E3499" s="16">
        <v>18</v>
      </c>
      <c r="F3499" s="15" t="str">
        <f t="shared" si="54"/>
        <v>1218-141846-44781</v>
      </c>
    </row>
    <row r="3500" spans="1:6" ht="14.25" customHeight="1" x14ac:dyDescent="0.25">
      <c r="A3500" s="15" t="s">
        <v>3640</v>
      </c>
      <c r="B3500" s="16">
        <v>1218</v>
      </c>
      <c r="C3500" s="16">
        <v>141846</v>
      </c>
      <c r="D3500" s="31">
        <v>44788</v>
      </c>
      <c r="E3500" s="16">
        <v>27</v>
      </c>
      <c r="F3500" s="15" t="str">
        <f t="shared" si="54"/>
        <v>1218-141846-44788</v>
      </c>
    </row>
    <row r="3501" spans="1:6" ht="14.25" customHeight="1" x14ac:dyDescent="0.25">
      <c r="A3501" s="15" t="s">
        <v>3641</v>
      </c>
      <c r="B3501" s="16">
        <v>1218</v>
      </c>
      <c r="C3501" s="16">
        <v>141967</v>
      </c>
      <c r="D3501" s="31">
        <v>44739</v>
      </c>
      <c r="E3501" s="16">
        <v>13</v>
      </c>
      <c r="F3501" s="15" t="str">
        <f t="shared" si="54"/>
        <v>1218-141967-44739</v>
      </c>
    </row>
    <row r="3502" spans="1:6" ht="14.25" customHeight="1" x14ac:dyDescent="0.25">
      <c r="A3502" s="15" t="s">
        <v>3642</v>
      </c>
      <c r="B3502" s="16">
        <v>1218</v>
      </c>
      <c r="C3502" s="16">
        <v>141967</v>
      </c>
      <c r="D3502" s="31">
        <v>44746</v>
      </c>
      <c r="E3502" s="16">
        <v>17</v>
      </c>
      <c r="F3502" s="15" t="str">
        <f t="shared" si="54"/>
        <v>1218-141967-44746</v>
      </c>
    </row>
    <row r="3503" spans="1:6" ht="14.25" customHeight="1" x14ac:dyDescent="0.25">
      <c r="A3503" s="15" t="s">
        <v>3643</v>
      </c>
      <c r="B3503" s="16">
        <v>1218</v>
      </c>
      <c r="C3503" s="16">
        <v>141967</v>
      </c>
      <c r="D3503" s="31">
        <v>44753</v>
      </c>
      <c r="E3503" s="16">
        <v>1</v>
      </c>
      <c r="F3503" s="15" t="str">
        <f t="shared" si="54"/>
        <v>1218-141967-44753</v>
      </c>
    </row>
    <row r="3504" spans="1:6" ht="14.25" customHeight="1" x14ac:dyDescent="0.25">
      <c r="A3504" s="15" t="s">
        <v>3644</v>
      </c>
      <c r="B3504" s="16">
        <v>1218</v>
      </c>
      <c r="C3504" s="16">
        <v>141967</v>
      </c>
      <c r="D3504" s="31">
        <v>44760</v>
      </c>
      <c r="E3504" s="16">
        <v>12</v>
      </c>
      <c r="F3504" s="15" t="str">
        <f t="shared" si="54"/>
        <v>1218-141967-44760</v>
      </c>
    </row>
    <row r="3505" spans="1:6" ht="14.25" customHeight="1" x14ac:dyDescent="0.25">
      <c r="A3505" s="15" t="s">
        <v>3645</v>
      </c>
      <c r="B3505" s="16">
        <v>1218</v>
      </c>
      <c r="C3505" s="16">
        <v>141967</v>
      </c>
      <c r="D3505" s="31">
        <v>44767</v>
      </c>
      <c r="E3505" s="16">
        <v>13</v>
      </c>
      <c r="F3505" s="15" t="str">
        <f t="shared" si="54"/>
        <v>1218-141967-44767</v>
      </c>
    </row>
    <row r="3506" spans="1:6" ht="14.25" customHeight="1" x14ac:dyDescent="0.25">
      <c r="A3506" s="15" t="s">
        <v>3646</v>
      </c>
      <c r="B3506" s="16">
        <v>1218</v>
      </c>
      <c r="C3506" s="16">
        <v>141967</v>
      </c>
      <c r="D3506" s="31">
        <v>44774</v>
      </c>
      <c r="E3506" s="16">
        <v>16</v>
      </c>
      <c r="F3506" s="15" t="str">
        <f t="shared" si="54"/>
        <v>1218-141967-44774</v>
      </c>
    </row>
    <row r="3507" spans="1:6" ht="14.25" customHeight="1" x14ac:dyDescent="0.25">
      <c r="A3507" s="15" t="s">
        <v>3647</v>
      </c>
      <c r="B3507" s="16">
        <v>1218</v>
      </c>
      <c r="C3507" s="16">
        <v>141967</v>
      </c>
      <c r="D3507" s="31">
        <v>44781</v>
      </c>
      <c r="E3507" s="16">
        <v>9</v>
      </c>
      <c r="F3507" s="15" t="str">
        <f t="shared" si="54"/>
        <v>1218-141967-44781</v>
      </c>
    </row>
    <row r="3508" spans="1:6" ht="14.25" customHeight="1" x14ac:dyDescent="0.25">
      <c r="A3508" s="15" t="s">
        <v>3648</v>
      </c>
      <c r="B3508" s="16">
        <v>1218</v>
      </c>
      <c r="C3508" s="16">
        <v>141967</v>
      </c>
      <c r="D3508" s="31">
        <v>44788</v>
      </c>
      <c r="E3508" s="16">
        <v>13</v>
      </c>
      <c r="F3508" s="15" t="str">
        <f t="shared" si="54"/>
        <v>1218-141967-44788</v>
      </c>
    </row>
    <row r="3509" spans="1:6" ht="14.25" customHeight="1" x14ac:dyDescent="0.25">
      <c r="A3509" s="15" t="s">
        <v>3649</v>
      </c>
      <c r="B3509" s="16">
        <v>1218</v>
      </c>
      <c r="C3509" s="16">
        <v>142194</v>
      </c>
      <c r="D3509" s="31">
        <v>44739</v>
      </c>
      <c r="E3509" s="16">
        <v>12</v>
      </c>
      <c r="F3509" s="15" t="str">
        <f t="shared" si="54"/>
        <v>1218-142194-44739</v>
      </c>
    </row>
    <row r="3510" spans="1:6" ht="14.25" customHeight="1" x14ac:dyDescent="0.25">
      <c r="A3510" s="15" t="s">
        <v>3650</v>
      </c>
      <c r="B3510" s="16">
        <v>1218</v>
      </c>
      <c r="C3510" s="16">
        <v>142194</v>
      </c>
      <c r="D3510" s="31">
        <v>44746</v>
      </c>
      <c r="E3510" s="16">
        <v>12</v>
      </c>
      <c r="F3510" s="15" t="str">
        <f t="shared" si="54"/>
        <v>1218-142194-44746</v>
      </c>
    </row>
    <row r="3511" spans="1:6" ht="14.25" customHeight="1" x14ac:dyDescent="0.25">
      <c r="A3511" s="15" t="s">
        <v>3651</v>
      </c>
      <c r="B3511" s="16">
        <v>1218</v>
      </c>
      <c r="C3511" s="16">
        <v>142194</v>
      </c>
      <c r="D3511" s="31">
        <v>44753</v>
      </c>
      <c r="E3511" s="16">
        <v>6</v>
      </c>
      <c r="F3511" s="15" t="str">
        <f t="shared" si="54"/>
        <v>1218-142194-44753</v>
      </c>
    </row>
    <row r="3512" spans="1:6" ht="14.25" customHeight="1" x14ac:dyDescent="0.25">
      <c r="A3512" s="15" t="s">
        <v>3652</v>
      </c>
      <c r="B3512" s="16">
        <v>1218</v>
      </c>
      <c r="C3512" s="16">
        <v>142194</v>
      </c>
      <c r="D3512" s="31">
        <v>44760</v>
      </c>
      <c r="E3512" s="16">
        <v>9</v>
      </c>
      <c r="F3512" s="15" t="str">
        <f t="shared" si="54"/>
        <v>1218-142194-44760</v>
      </c>
    </row>
    <row r="3513" spans="1:6" ht="14.25" customHeight="1" x14ac:dyDescent="0.25">
      <c r="A3513" s="15" t="s">
        <v>3653</v>
      </c>
      <c r="B3513" s="16">
        <v>1218</v>
      </c>
      <c r="C3513" s="16">
        <v>142194</v>
      </c>
      <c r="D3513" s="31">
        <v>44767</v>
      </c>
      <c r="E3513" s="16">
        <v>12</v>
      </c>
      <c r="F3513" s="15" t="str">
        <f t="shared" si="54"/>
        <v>1218-142194-44767</v>
      </c>
    </row>
    <row r="3514" spans="1:6" ht="14.25" customHeight="1" x14ac:dyDescent="0.25">
      <c r="A3514" s="15" t="s">
        <v>3654</v>
      </c>
      <c r="B3514" s="16">
        <v>1218</v>
      </c>
      <c r="C3514" s="16">
        <v>142194</v>
      </c>
      <c r="D3514" s="31">
        <v>44774</v>
      </c>
      <c r="E3514" s="16">
        <v>17</v>
      </c>
      <c r="F3514" s="15" t="str">
        <f t="shared" si="54"/>
        <v>1218-142194-44774</v>
      </c>
    </row>
    <row r="3515" spans="1:6" ht="14.25" customHeight="1" x14ac:dyDescent="0.25">
      <c r="A3515" s="15" t="s">
        <v>3655</v>
      </c>
      <c r="B3515" s="16">
        <v>1218</v>
      </c>
      <c r="C3515" s="16">
        <v>142194</v>
      </c>
      <c r="D3515" s="31">
        <v>44781</v>
      </c>
      <c r="E3515" s="16">
        <v>0</v>
      </c>
      <c r="F3515" s="15" t="str">
        <f t="shared" si="54"/>
        <v>1218-142194-44781</v>
      </c>
    </row>
    <row r="3516" spans="1:6" ht="14.25" customHeight="1" x14ac:dyDescent="0.25">
      <c r="A3516" s="15" t="s">
        <v>3656</v>
      </c>
      <c r="B3516" s="16">
        <v>1218</v>
      </c>
      <c r="C3516" s="16">
        <v>142194</v>
      </c>
      <c r="D3516" s="31">
        <v>44788</v>
      </c>
      <c r="E3516" s="16">
        <v>15</v>
      </c>
      <c r="F3516" s="15" t="str">
        <f t="shared" si="54"/>
        <v>1218-142194-44788</v>
      </c>
    </row>
    <row r="3517" spans="1:6" ht="14.25" customHeight="1" x14ac:dyDescent="0.25">
      <c r="A3517" s="15" t="s">
        <v>3657</v>
      </c>
      <c r="B3517" s="16">
        <v>1218</v>
      </c>
      <c r="C3517" s="16">
        <v>149729</v>
      </c>
      <c r="D3517" s="31">
        <v>44739</v>
      </c>
      <c r="E3517" s="16">
        <v>56</v>
      </c>
      <c r="F3517" s="15" t="str">
        <f t="shared" si="54"/>
        <v>1218-149729-44739</v>
      </c>
    </row>
    <row r="3518" spans="1:6" ht="14.25" customHeight="1" x14ac:dyDescent="0.25">
      <c r="A3518" s="15" t="s">
        <v>3658</v>
      </c>
      <c r="B3518" s="16">
        <v>1218</v>
      </c>
      <c r="C3518" s="16">
        <v>149729</v>
      </c>
      <c r="D3518" s="31">
        <v>44746</v>
      </c>
      <c r="E3518" s="16">
        <v>56</v>
      </c>
      <c r="F3518" s="15" t="str">
        <f t="shared" si="54"/>
        <v>1218-149729-44746</v>
      </c>
    </row>
    <row r="3519" spans="1:6" ht="14.25" customHeight="1" x14ac:dyDescent="0.25">
      <c r="A3519" s="15" t="s">
        <v>3659</v>
      </c>
      <c r="B3519" s="16">
        <v>1218</v>
      </c>
      <c r="C3519" s="16">
        <v>149729</v>
      </c>
      <c r="D3519" s="31">
        <v>44753</v>
      </c>
      <c r="E3519" s="16">
        <v>56</v>
      </c>
      <c r="F3519" s="15" t="str">
        <f t="shared" si="54"/>
        <v>1218-149729-44753</v>
      </c>
    </row>
    <row r="3520" spans="1:6" ht="14.25" customHeight="1" x14ac:dyDescent="0.25">
      <c r="A3520" s="15" t="s">
        <v>3660</v>
      </c>
      <c r="B3520" s="16">
        <v>1218</v>
      </c>
      <c r="C3520" s="16">
        <v>149729</v>
      </c>
      <c r="D3520" s="31">
        <v>44760</v>
      </c>
      <c r="E3520" s="16">
        <v>64</v>
      </c>
      <c r="F3520" s="15" t="str">
        <f t="shared" si="54"/>
        <v>1218-149729-44760</v>
      </c>
    </row>
    <row r="3521" spans="1:6" ht="14.25" customHeight="1" x14ac:dyDescent="0.25">
      <c r="A3521" s="15" t="s">
        <v>3661</v>
      </c>
      <c r="B3521" s="16">
        <v>1218</v>
      </c>
      <c r="C3521" s="16">
        <v>149729</v>
      </c>
      <c r="D3521" s="31">
        <v>44767</v>
      </c>
      <c r="E3521" s="16">
        <v>48</v>
      </c>
      <c r="F3521" s="15" t="str">
        <f t="shared" si="54"/>
        <v>1218-149729-44767</v>
      </c>
    </row>
    <row r="3522" spans="1:6" ht="14.25" customHeight="1" x14ac:dyDescent="0.25">
      <c r="A3522" s="15" t="s">
        <v>3662</v>
      </c>
      <c r="B3522" s="16">
        <v>1218</v>
      </c>
      <c r="C3522" s="16">
        <v>149729</v>
      </c>
      <c r="D3522" s="31">
        <v>44774</v>
      </c>
      <c r="E3522" s="16">
        <v>48</v>
      </c>
      <c r="F3522" s="15" t="str">
        <f t="shared" si="54"/>
        <v>1218-149729-44774</v>
      </c>
    </row>
    <row r="3523" spans="1:6" ht="14.25" customHeight="1" x14ac:dyDescent="0.25">
      <c r="A3523" s="15" t="s">
        <v>3663</v>
      </c>
      <c r="B3523" s="16">
        <v>1218</v>
      </c>
      <c r="C3523" s="16">
        <v>149729</v>
      </c>
      <c r="D3523" s="31">
        <v>44781</v>
      </c>
      <c r="E3523" s="16">
        <v>31</v>
      </c>
      <c r="F3523" s="15" t="str">
        <f t="shared" ref="F3523:F3586" si="55">B3523&amp;"-"&amp;C3523&amp;"-"&amp;INT(D3523)</f>
        <v>1218-149729-44781</v>
      </c>
    </row>
    <row r="3524" spans="1:6" ht="14.25" customHeight="1" x14ac:dyDescent="0.25">
      <c r="A3524" s="15" t="s">
        <v>3664</v>
      </c>
      <c r="B3524" s="16">
        <v>1218</v>
      </c>
      <c r="C3524" s="16">
        <v>149729</v>
      </c>
      <c r="D3524" s="31">
        <v>44788</v>
      </c>
      <c r="E3524" s="16">
        <v>58</v>
      </c>
      <c r="F3524" s="15" t="str">
        <f t="shared" si="55"/>
        <v>1218-149729-44788</v>
      </c>
    </row>
    <row r="3525" spans="1:6" ht="14.25" customHeight="1" x14ac:dyDescent="0.25">
      <c r="A3525" s="15" t="s">
        <v>3665</v>
      </c>
      <c r="B3525" s="16">
        <v>1218</v>
      </c>
      <c r="C3525" s="16">
        <v>149779</v>
      </c>
      <c r="D3525" s="31">
        <v>44739</v>
      </c>
      <c r="E3525" s="16">
        <v>3</v>
      </c>
      <c r="F3525" s="15" t="str">
        <f t="shared" si="55"/>
        <v>1218-149779-44739</v>
      </c>
    </row>
    <row r="3526" spans="1:6" ht="14.25" customHeight="1" x14ac:dyDescent="0.25">
      <c r="A3526" s="15" t="s">
        <v>3666</v>
      </c>
      <c r="B3526" s="16">
        <v>1218</v>
      </c>
      <c r="C3526" s="16">
        <v>149779</v>
      </c>
      <c r="D3526" s="31">
        <v>44746</v>
      </c>
      <c r="E3526" s="16">
        <v>3</v>
      </c>
      <c r="F3526" s="15" t="str">
        <f t="shared" si="55"/>
        <v>1218-149779-44746</v>
      </c>
    </row>
    <row r="3527" spans="1:6" ht="14.25" customHeight="1" x14ac:dyDescent="0.25">
      <c r="A3527" s="15" t="s">
        <v>3667</v>
      </c>
      <c r="B3527" s="16">
        <v>1218</v>
      </c>
      <c r="C3527" s="16">
        <v>149779</v>
      </c>
      <c r="D3527" s="31">
        <v>44753</v>
      </c>
      <c r="E3527" s="16">
        <v>3</v>
      </c>
      <c r="F3527" s="15" t="str">
        <f t="shared" si="55"/>
        <v>1218-149779-44753</v>
      </c>
    </row>
    <row r="3528" spans="1:6" ht="14.25" customHeight="1" x14ac:dyDescent="0.25">
      <c r="A3528" s="15" t="s">
        <v>3668</v>
      </c>
      <c r="B3528" s="16">
        <v>1218</v>
      </c>
      <c r="C3528" s="16">
        <v>149779</v>
      </c>
      <c r="D3528" s="31">
        <v>44760</v>
      </c>
      <c r="E3528" s="16">
        <v>3</v>
      </c>
      <c r="F3528" s="15" t="str">
        <f t="shared" si="55"/>
        <v>1218-149779-44760</v>
      </c>
    </row>
    <row r="3529" spans="1:6" ht="14.25" customHeight="1" x14ac:dyDescent="0.25">
      <c r="A3529" s="15" t="s">
        <v>3669</v>
      </c>
      <c r="B3529" s="16">
        <v>1218</v>
      </c>
      <c r="C3529" s="16">
        <v>149779</v>
      </c>
      <c r="D3529" s="31">
        <v>44767</v>
      </c>
      <c r="E3529" s="16">
        <v>3</v>
      </c>
      <c r="F3529" s="15" t="str">
        <f t="shared" si="55"/>
        <v>1218-149779-44767</v>
      </c>
    </row>
    <row r="3530" spans="1:6" ht="14.25" customHeight="1" x14ac:dyDescent="0.25">
      <c r="A3530" s="15" t="s">
        <v>3670</v>
      </c>
      <c r="B3530" s="16">
        <v>1218</v>
      </c>
      <c r="C3530" s="16">
        <v>149779</v>
      </c>
      <c r="D3530" s="31">
        <v>44774</v>
      </c>
      <c r="E3530" s="16">
        <v>3</v>
      </c>
      <c r="F3530" s="15" t="str">
        <f t="shared" si="55"/>
        <v>1218-149779-44774</v>
      </c>
    </row>
    <row r="3531" spans="1:6" ht="14.25" customHeight="1" x14ac:dyDescent="0.25">
      <c r="A3531" s="15" t="s">
        <v>3671</v>
      </c>
      <c r="B3531" s="16">
        <v>1218</v>
      </c>
      <c r="C3531" s="16">
        <v>149779</v>
      </c>
      <c r="D3531" s="31">
        <v>44781</v>
      </c>
      <c r="E3531" s="16">
        <v>3</v>
      </c>
      <c r="F3531" s="15" t="str">
        <f t="shared" si="55"/>
        <v>1218-149779-44781</v>
      </c>
    </row>
    <row r="3532" spans="1:6" ht="14.25" customHeight="1" x14ac:dyDescent="0.25">
      <c r="A3532" s="15" t="s">
        <v>3672</v>
      </c>
      <c r="B3532" s="16">
        <v>1218</v>
      </c>
      <c r="C3532" s="16">
        <v>149779</v>
      </c>
      <c r="D3532" s="31">
        <v>44788</v>
      </c>
      <c r="E3532" s="16">
        <v>3</v>
      </c>
      <c r="F3532" s="15" t="str">
        <f t="shared" si="55"/>
        <v>1218-149779-44788</v>
      </c>
    </row>
    <row r="3533" spans="1:6" ht="14.25" customHeight="1" x14ac:dyDescent="0.25">
      <c r="A3533" s="15" t="s">
        <v>3673</v>
      </c>
      <c r="B3533" s="16">
        <v>1218</v>
      </c>
      <c r="C3533" s="16">
        <v>189933</v>
      </c>
      <c r="D3533" s="31">
        <v>44739</v>
      </c>
      <c r="E3533" s="16">
        <v>42</v>
      </c>
      <c r="F3533" s="15" t="str">
        <f t="shared" si="55"/>
        <v>1218-189933-44739</v>
      </c>
    </row>
    <row r="3534" spans="1:6" ht="14.25" customHeight="1" x14ac:dyDescent="0.25">
      <c r="A3534" s="15" t="s">
        <v>3674</v>
      </c>
      <c r="B3534" s="16">
        <v>1218</v>
      </c>
      <c r="C3534" s="16">
        <v>189933</v>
      </c>
      <c r="D3534" s="31">
        <v>44746</v>
      </c>
      <c r="E3534" s="16">
        <v>31</v>
      </c>
      <c r="F3534" s="15" t="str">
        <f t="shared" si="55"/>
        <v>1218-189933-44746</v>
      </c>
    </row>
    <row r="3535" spans="1:6" ht="14.25" customHeight="1" x14ac:dyDescent="0.25">
      <c r="A3535" s="15" t="s">
        <v>3675</v>
      </c>
      <c r="B3535" s="16">
        <v>1218</v>
      </c>
      <c r="C3535" s="16">
        <v>189933</v>
      </c>
      <c r="D3535" s="31">
        <v>44753</v>
      </c>
      <c r="E3535" s="16">
        <v>39</v>
      </c>
      <c r="F3535" s="15" t="str">
        <f t="shared" si="55"/>
        <v>1218-189933-44753</v>
      </c>
    </row>
    <row r="3536" spans="1:6" ht="14.25" customHeight="1" x14ac:dyDescent="0.25">
      <c r="A3536" s="15" t="s">
        <v>3676</v>
      </c>
      <c r="B3536" s="16">
        <v>1218</v>
      </c>
      <c r="C3536" s="16">
        <v>189933</v>
      </c>
      <c r="D3536" s="31">
        <v>44760</v>
      </c>
      <c r="E3536" s="16">
        <v>43</v>
      </c>
      <c r="F3536" s="15" t="str">
        <f t="shared" si="55"/>
        <v>1218-189933-44760</v>
      </c>
    </row>
    <row r="3537" spans="1:6" ht="14.25" customHeight="1" x14ac:dyDescent="0.25">
      <c r="A3537" s="15" t="s">
        <v>3677</v>
      </c>
      <c r="B3537" s="16">
        <v>1218</v>
      </c>
      <c r="C3537" s="16">
        <v>189933</v>
      </c>
      <c r="D3537" s="31">
        <v>44767</v>
      </c>
      <c r="E3537" s="16">
        <v>47</v>
      </c>
      <c r="F3537" s="15" t="str">
        <f t="shared" si="55"/>
        <v>1218-189933-44767</v>
      </c>
    </row>
    <row r="3538" spans="1:6" ht="14.25" customHeight="1" x14ac:dyDescent="0.25">
      <c r="A3538" s="15" t="s">
        <v>3678</v>
      </c>
      <c r="B3538" s="16">
        <v>1218</v>
      </c>
      <c r="C3538" s="16">
        <v>189933</v>
      </c>
      <c r="D3538" s="31">
        <v>44774</v>
      </c>
      <c r="E3538" s="16">
        <v>44</v>
      </c>
      <c r="F3538" s="15" t="str">
        <f t="shared" si="55"/>
        <v>1218-189933-44774</v>
      </c>
    </row>
    <row r="3539" spans="1:6" ht="14.25" customHeight="1" x14ac:dyDescent="0.25">
      <c r="A3539" s="15" t="s">
        <v>3679</v>
      </c>
      <c r="B3539" s="16">
        <v>1218</v>
      </c>
      <c r="C3539" s="16">
        <v>189933</v>
      </c>
      <c r="D3539" s="31">
        <v>44781</v>
      </c>
      <c r="E3539" s="16">
        <v>45</v>
      </c>
      <c r="F3539" s="15" t="str">
        <f t="shared" si="55"/>
        <v>1218-189933-44781</v>
      </c>
    </row>
    <row r="3540" spans="1:6" ht="14.25" customHeight="1" x14ac:dyDescent="0.25">
      <c r="A3540" s="15" t="s">
        <v>3680</v>
      </c>
      <c r="B3540" s="16">
        <v>1218</v>
      </c>
      <c r="C3540" s="16">
        <v>189933</v>
      </c>
      <c r="D3540" s="31">
        <v>44788</v>
      </c>
      <c r="E3540" s="16">
        <v>45</v>
      </c>
      <c r="F3540" s="15" t="str">
        <f t="shared" si="55"/>
        <v>1218-189933-44788</v>
      </c>
    </row>
    <row r="3541" spans="1:6" ht="14.25" customHeight="1" x14ac:dyDescent="0.25">
      <c r="A3541" s="15" t="s">
        <v>3681</v>
      </c>
      <c r="B3541" s="16">
        <v>1218</v>
      </c>
      <c r="C3541" s="16">
        <v>202577</v>
      </c>
      <c r="D3541" s="31">
        <v>44739</v>
      </c>
      <c r="E3541" s="16">
        <v>38</v>
      </c>
      <c r="F3541" s="15" t="str">
        <f t="shared" si="55"/>
        <v>1218-202577-44739</v>
      </c>
    </row>
    <row r="3542" spans="1:6" ht="14.25" customHeight="1" x14ac:dyDescent="0.25">
      <c r="A3542" s="15" t="s">
        <v>3682</v>
      </c>
      <c r="B3542" s="16">
        <v>1218</v>
      </c>
      <c r="C3542" s="16">
        <v>202577</v>
      </c>
      <c r="D3542" s="31">
        <v>44746</v>
      </c>
      <c r="E3542" s="16">
        <v>43</v>
      </c>
      <c r="F3542" s="15" t="str">
        <f t="shared" si="55"/>
        <v>1218-202577-44746</v>
      </c>
    </row>
    <row r="3543" spans="1:6" ht="14.25" customHeight="1" x14ac:dyDescent="0.25">
      <c r="A3543" s="15" t="s">
        <v>3683</v>
      </c>
      <c r="B3543" s="16">
        <v>1218</v>
      </c>
      <c r="C3543" s="16">
        <v>202577</v>
      </c>
      <c r="D3543" s="31">
        <v>44753</v>
      </c>
      <c r="E3543" s="16">
        <v>9</v>
      </c>
      <c r="F3543" s="15" t="str">
        <f t="shared" si="55"/>
        <v>1218-202577-44753</v>
      </c>
    </row>
    <row r="3544" spans="1:6" ht="14.25" customHeight="1" x14ac:dyDescent="0.25">
      <c r="A3544" s="15" t="s">
        <v>3684</v>
      </c>
      <c r="B3544" s="16">
        <v>1218</v>
      </c>
      <c r="C3544" s="16">
        <v>202577</v>
      </c>
      <c r="D3544" s="31">
        <v>44760</v>
      </c>
      <c r="E3544" s="16">
        <v>24</v>
      </c>
      <c r="F3544" s="15" t="str">
        <f t="shared" si="55"/>
        <v>1218-202577-44760</v>
      </c>
    </row>
    <row r="3545" spans="1:6" ht="14.25" customHeight="1" x14ac:dyDescent="0.25">
      <c r="A3545" s="15" t="s">
        <v>3685</v>
      </c>
      <c r="B3545" s="16">
        <v>1218</v>
      </c>
      <c r="C3545" s="16">
        <v>202577</v>
      </c>
      <c r="D3545" s="31">
        <v>44767</v>
      </c>
      <c r="E3545" s="16">
        <v>33</v>
      </c>
      <c r="F3545" s="15" t="str">
        <f t="shared" si="55"/>
        <v>1218-202577-44767</v>
      </c>
    </row>
    <row r="3546" spans="1:6" ht="14.25" customHeight="1" x14ac:dyDescent="0.25">
      <c r="A3546" s="15" t="s">
        <v>3686</v>
      </c>
      <c r="B3546" s="16">
        <v>1218</v>
      </c>
      <c r="C3546" s="16">
        <v>202577</v>
      </c>
      <c r="D3546" s="31">
        <v>44774</v>
      </c>
      <c r="E3546" s="16">
        <v>39</v>
      </c>
      <c r="F3546" s="15" t="str">
        <f t="shared" si="55"/>
        <v>1218-202577-44774</v>
      </c>
    </row>
    <row r="3547" spans="1:6" ht="14.25" customHeight="1" x14ac:dyDescent="0.25">
      <c r="A3547" s="15" t="s">
        <v>3687</v>
      </c>
      <c r="B3547" s="16">
        <v>1218</v>
      </c>
      <c r="C3547" s="16">
        <v>202577</v>
      </c>
      <c r="D3547" s="31">
        <v>44781</v>
      </c>
      <c r="E3547" s="16">
        <v>8</v>
      </c>
      <c r="F3547" s="15" t="str">
        <f t="shared" si="55"/>
        <v>1218-202577-44781</v>
      </c>
    </row>
    <row r="3548" spans="1:6" ht="14.25" customHeight="1" x14ac:dyDescent="0.25">
      <c r="A3548" s="15" t="s">
        <v>3688</v>
      </c>
      <c r="B3548" s="16">
        <v>1218</v>
      </c>
      <c r="C3548" s="16">
        <v>202577</v>
      </c>
      <c r="D3548" s="31">
        <v>44788</v>
      </c>
      <c r="E3548" s="16">
        <v>18</v>
      </c>
      <c r="F3548" s="15" t="str">
        <f t="shared" si="55"/>
        <v>1218-202577-44788</v>
      </c>
    </row>
    <row r="3549" spans="1:6" ht="14.25" customHeight="1" x14ac:dyDescent="0.25">
      <c r="A3549" s="15" t="s">
        <v>3689</v>
      </c>
      <c r="B3549" s="16">
        <v>1218</v>
      </c>
      <c r="C3549" s="16">
        <v>234334</v>
      </c>
      <c r="D3549" s="31">
        <v>44739</v>
      </c>
      <c r="E3549" s="16">
        <v>44</v>
      </c>
      <c r="F3549" s="15" t="str">
        <f t="shared" si="55"/>
        <v>1218-234334-44739</v>
      </c>
    </row>
    <row r="3550" spans="1:6" ht="14.25" customHeight="1" x14ac:dyDescent="0.25">
      <c r="A3550" s="15" t="s">
        <v>3690</v>
      </c>
      <c r="B3550" s="16">
        <v>1218</v>
      </c>
      <c r="C3550" s="16">
        <v>234334</v>
      </c>
      <c r="D3550" s="31">
        <v>44746</v>
      </c>
      <c r="E3550" s="16">
        <v>20</v>
      </c>
      <c r="F3550" s="15" t="str">
        <f t="shared" si="55"/>
        <v>1218-234334-44746</v>
      </c>
    </row>
    <row r="3551" spans="1:6" ht="14.25" customHeight="1" x14ac:dyDescent="0.25">
      <c r="A3551" s="15" t="s">
        <v>3691</v>
      </c>
      <c r="B3551" s="16">
        <v>1218</v>
      </c>
      <c r="C3551" s="16">
        <v>234334</v>
      </c>
      <c r="D3551" s="31">
        <v>44753</v>
      </c>
      <c r="E3551" s="16">
        <v>30</v>
      </c>
      <c r="F3551" s="15" t="str">
        <f t="shared" si="55"/>
        <v>1218-234334-44753</v>
      </c>
    </row>
    <row r="3552" spans="1:6" ht="14.25" customHeight="1" x14ac:dyDescent="0.25">
      <c r="A3552" s="15" t="s">
        <v>3692</v>
      </c>
      <c r="B3552" s="16">
        <v>1218</v>
      </c>
      <c r="C3552" s="16">
        <v>234334</v>
      </c>
      <c r="D3552" s="31">
        <v>44760</v>
      </c>
      <c r="E3552" s="16">
        <v>36</v>
      </c>
      <c r="F3552" s="15" t="str">
        <f t="shared" si="55"/>
        <v>1218-234334-44760</v>
      </c>
    </row>
    <row r="3553" spans="1:6" ht="14.25" customHeight="1" x14ac:dyDescent="0.25">
      <c r="A3553" s="15" t="s">
        <v>3693</v>
      </c>
      <c r="B3553" s="16">
        <v>1218</v>
      </c>
      <c r="C3553" s="16">
        <v>234334</v>
      </c>
      <c r="D3553" s="31">
        <v>44767</v>
      </c>
      <c r="E3553" s="16">
        <v>45</v>
      </c>
      <c r="F3553" s="15" t="str">
        <f t="shared" si="55"/>
        <v>1218-234334-44767</v>
      </c>
    </row>
    <row r="3554" spans="1:6" ht="14.25" customHeight="1" x14ac:dyDescent="0.25">
      <c r="A3554" s="15" t="s">
        <v>3694</v>
      </c>
      <c r="B3554" s="16">
        <v>1218</v>
      </c>
      <c r="C3554" s="16">
        <v>234334</v>
      </c>
      <c r="D3554" s="31">
        <v>44774</v>
      </c>
      <c r="E3554" s="16">
        <v>39</v>
      </c>
      <c r="F3554" s="15" t="str">
        <f t="shared" si="55"/>
        <v>1218-234334-44774</v>
      </c>
    </row>
    <row r="3555" spans="1:6" ht="14.25" customHeight="1" x14ac:dyDescent="0.25">
      <c r="A3555" s="15" t="s">
        <v>3695</v>
      </c>
      <c r="B3555" s="16">
        <v>1218</v>
      </c>
      <c r="C3555" s="16">
        <v>234334</v>
      </c>
      <c r="D3555" s="31">
        <v>44781</v>
      </c>
      <c r="E3555" s="16">
        <v>21</v>
      </c>
      <c r="F3555" s="15" t="str">
        <f t="shared" si="55"/>
        <v>1218-234334-44781</v>
      </c>
    </row>
    <row r="3556" spans="1:6" ht="14.25" customHeight="1" x14ac:dyDescent="0.25">
      <c r="A3556" s="15" t="s">
        <v>3696</v>
      </c>
      <c r="B3556" s="16">
        <v>1218</v>
      </c>
      <c r="C3556" s="16">
        <v>234334</v>
      </c>
      <c r="D3556" s="31">
        <v>44788</v>
      </c>
      <c r="E3556" s="16">
        <v>36</v>
      </c>
      <c r="F3556" s="15" t="str">
        <f t="shared" si="55"/>
        <v>1218-234334-44788</v>
      </c>
    </row>
    <row r="3557" spans="1:6" ht="14.25" customHeight="1" x14ac:dyDescent="0.25">
      <c r="A3557" s="15" t="s">
        <v>3697</v>
      </c>
      <c r="B3557" s="16">
        <v>1218</v>
      </c>
      <c r="C3557" s="16">
        <v>249444</v>
      </c>
      <c r="D3557" s="31">
        <v>44739</v>
      </c>
      <c r="E3557" s="16">
        <v>37</v>
      </c>
      <c r="F3557" s="15" t="str">
        <f t="shared" si="55"/>
        <v>1218-249444-44739</v>
      </c>
    </row>
    <row r="3558" spans="1:6" ht="14.25" customHeight="1" x14ac:dyDescent="0.25">
      <c r="A3558" s="15" t="s">
        <v>3698</v>
      </c>
      <c r="B3558" s="16">
        <v>1218</v>
      </c>
      <c r="C3558" s="16">
        <v>249444</v>
      </c>
      <c r="D3558" s="31">
        <v>44746</v>
      </c>
      <c r="E3558" s="16">
        <v>36</v>
      </c>
      <c r="F3558" s="15" t="str">
        <f t="shared" si="55"/>
        <v>1218-249444-44746</v>
      </c>
    </row>
    <row r="3559" spans="1:6" ht="14.25" customHeight="1" x14ac:dyDescent="0.25">
      <c r="A3559" s="15" t="s">
        <v>3699</v>
      </c>
      <c r="B3559" s="16">
        <v>1218</v>
      </c>
      <c r="C3559" s="16">
        <v>249444</v>
      </c>
      <c r="D3559" s="31">
        <v>44753</v>
      </c>
      <c r="E3559" s="16">
        <v>36</v>
      </c>
      <c r="F3559" s="15" t="str">
        <f t="shared" si="55"/>
        <v>1218-249444-44753</v>
      </c>
    </row>
    <row r="3560" spans="1:6" ht="14.25" customHeight="1" x14ac:dyDescent="0.25">
      <c r="A3560" s="15" t="s">
        <v>3700</v>
      </c>
      <c r="B3560" s="16">
        <v>1218</v>
      </c>
      <c r="C3560" s="16">
        <v>249444</v>
      </c>
      <c r="D3560" s="31">
        <v>44760</v>
      </c>
      <c r="E3560" s="16">
        <v>33</v>
      </c>
      <c r="F3560" s="15" t="str">
        <f t="shared" si="55"/>
        <v>1218-249444-44760</v>
      </c>
    </row>
    <row r="3561" spans="1:6" ht="14.25" customHeight="1" x14ac:dyDescent="0.25">
      <c r="A3561" s="15" t="s">
        <v>3701</v>
      </c>
      <c r="B3561" s="16">
        <v>1218</v>
      </c>
      <c r="C3561" s="16">
        <v>249444</v>
      </c>
      <c r="D3561" s="31">
        <v>44767</v>
      </c>
      <c r="E3561" s="16">
        <v>35</v>
      </c>
      <c r="F3561" s="15" t="str">
        <f t="shared" si="55"/>
        <v>1218-249444-44767</v>
      </c>
    </row>
    <row r="3562" spans="1:6" ht="14.25" customHeight="1" x14ac:dyDescent="0.25">
      <c r="A3562" s="15" t="s">
        <v>3702</v>
      </c>
      <c r="B3562" s="16">
        <v>1218</v>
      </c>
      <c r="C3562" s="16">
        <v>249444</v>
      </c>
      <c r="D3562" s="31">
        <v>44774</v>
      </c>
      <c r="E3562" s="16">
        <v>33</v>
      </c>
      <c r="F3562" s="15" t="str">
        <f t="shared" si="55"/>
        <v>1218-249444-44774</v>
      </c>
    </row>
    <row r="3563" spans="1:6" ht="14.25" customHeight="1" x14ac:dyDescent="0.25">
      <c r="A3563" s="15" t="s">
        <v>3703</v>
      </c>
      <c r="B3563" s="16">
        <v>1218</v>
      </c>
      <c r="C3563" s="16">
        <v>249444</v>
      </c>
      <c r="D3563" s="31">
        <v>44781</v>
      </c>
      <c r="E3563" s="16">
        <v>40</v>
      </c>
      <c r="F3563" s="15" t="str">
        <f t="shared" si="55"/>
        <v>1218-249444-44781</v>
      </c>
    </row>
    <row r="3564" spans="1:6" ht="14.25" customHeight="1" x14ac:dyDescent="0.25">
      <c r="A3564" s="15" t="s">
        <v>3704</v>
      </c>
      <c r="B3564" s="16">
        <v>1218</v>
      </c>
      <c r="C3564" s="16">
        <v>249444</v>
      </c>
      <c r="D3564" s="31">
        <v>44788</v>
      </c>
      <c r="E3564" s="16">
        <v>23</v>
      </c>
      <c r="F3564" s="15" t="str">
        <f t="shared" si="55"/>
        <v>1218-249444-44788</v>
      </c>
    </row>
    <row r="3565" spans="1:6" ht="14.25" customHeight="1" x14ac:dyDescent="0.25">
      <c r="A3565" s="15" t="s">
        <v>3705</v>
      </c>
      <c r="B3565" s="16">
        <v>1218</v>
      </c>
      <c r="C3565" s="16">
        <v>249795</v>
      </c>
      <c r="D3565" s="31">
        <v>44739</v>
      </c>
      <c r="E3565" s="16">
        <v>15</v>
      </c>
      <c r="F3565" s="15" t="str">
        <f t="shared" si="55"/>
        <v>1218-249795-44739</v>
      </c>
    </row>
    <row r="3566" spans="1:6" ht="14.25" customHeight="1" x14ac:dyDescent="0.25">
      <c r="A3566" s="15" t="s">
        <v>3706</v>
      </c>
      <c r="B3566" s="16">
        <v>1218</v>
      </c>
      <c r="C3566" s="16">
        <v>249795</v>
      </c>
      <c r="D3566" s="31">
        <v>44746</v>
      </c>
      <c r="E3566" s="16">
        <v>15</v>
      </c>
      <c r="F3566" s="15" t="str">
        <f t="shared" si="55"/>
        <v>1218-249795-44746</v>
      </c>
    </row>
    <row r="3567" spans="1:6" ht="14.25" customHeight="1" x14ac:dyDescent="0.25">
      <c r="A3567" s="15" t="s">
        <v>3707</v>
      </c>
      <c r="B3567" s="16">
        <v>1218</v>
      </c>
      <c r="C3567" s="16">
        <v>249795</v>
      </c>
      <c r="D3567" s="31">
        <v>44753</v>
      </c>
      <c r="E3567" s="16">
        <v>15</v>
      </c>
      <c r="F3567" s="15" t="str">
        <f t="shared" si="55"/>
        <v>1218-249795-44753</v>
      </c>
    </row>
    <row r="3568" spans="1:6" ht="14.25" customHeight="1" x14ac:dyDescent="0.25">
      <c r="A3568" s="15" t="s">
        <v>3708</v>
      </c>
      <c r="B3568" s="16">
        <v>1218</v>
      </c>
      <c r="C3568" s="16">
        <v>249795</v>
      </c>
      <c r="D3568" s="31">
        <v>44760</v>
      </c>
      <c r="E3568" s="16">
        <v>15</v>
      </c>
      <c r="F3568" s="15" t="str">
        <f t="shared" si="55"/>
        <v>1218-249795-44760</v>
      </c>
    </row>
    <row r="3569" spans="1:6" ht="14.25" customHeight="1" x14ac:dyDescent="0.25">
      <c r="A3569" s="15" t="s">
        <v>3709</v>
      </c>
      <c r="B3569" s="16">
        <v>1218</v>
      </c>
      <c r="C3569" s="16">
        <v>249795</v>
      </c>
      <c r="D3569" s="31">
        <v>44767</v>
      </c>
      <c r="E3569" s="16">
        <v>15</v>
      </c>
      <c r="F3569" s="15" t="str">
        <f t="shared" si="55"/>
        <v>1218-249795-44767</v>
      </c>
    </row>
    <row r="3570" spans="1:6" ht="14.25" customHeight="1" x14ac:dyDescent="0.25">
      <c r="A3570" s="15" t="s">
        <v>3710</v>
      </c>
      <c r="B3570" s="16">
        <v>1218</v>
      </c>
      <c r="C3570" s="16">
        <v>249795</v>
      </c>
      <c r="D3570" s="31">
        <v>44774</v>
      </c>
      <c r="E3570" s="16">
        <v>15</v>
      </c>
      <c r="F3570" s="15" t="str">
        <f t="shared" si="55"/>
        <v>1218-249795-44774</v>
      </c>
    </row>
    <row r="3571" spans="1:6" ht="14.25" customHeight="1" x14ac:dyDescent="0.25">
      <c r="A3571" s="15" t="s">
        <v>3711</v>
      </c>
      <c r="B3571" s="16">
        <v>1218</v>
      </c>
      <c r="C3571" s="16">
        <v>249795</v>
      </c>
      <c r="D3571" s="31">
        <v>44781</v>
      </c>
      <c r="E3571" s="16">
        <v>15</v>
      </c>
      <c r="F3571" s="15" t="str">
        <f t="shared" si="55"/>
        <v>1218-249795-44781</v>
      </c>
    </row>
    <row r="3572" spans="1:6" ht="14.25" customHeight="1" x14ac:dyDescent="0.25">
      <c r="A3572" s="15" t="s">
        <v>3712</v>
      </c>
      <c r="B3572" s="16">
        <v>1218</v>
      </c>
      <c r="C3572" s="16">
        <v>249795</v>
      </c>
      <c r="D3572" s="31">
        <v>44788</v>
      </c>
      <c r="E3572" s="16">
        <v>15</v>
      </c>
      <c r="F3572" s="15" t="str">
        <f t="shared" si="55"/>
        <v>1218-249795-44788</v>
      </c>
    </row>
    <row r="3573" spans="1:6" ht="14.25" customHeight="1" x14ac:dyDescent="0.25">
      <c r="A3573" s="15" t="s">
        <v>3713</v>
      </c>
      <c r="B3573" s="16">
        <v>1218</v>
      </c>
      <c r="C3573" s="16">
        <v>250979</v>
      </c>
      <c r="D3573" s="31">
        <v>44739</v>
      </c>
      <c r="E3573" s="16">
        <v>18</v>
      </c>
      <c r="F3573" s="15" t="str">
        <f t="shared" si="55"/>
        <v>1218-250979-44739</v>
      </c>
    </row>
    <row r="3574" spans="1:6" ht="14.25" customHeight="1" x14ac:dyDescent="0.25">
      <c r="A3574" s="15" t="s">
        <v>3714</v>
      </c>
      <c r="B3574" s="16">
        <v>1218</v>
      </c>
      <c r="C3574" s="16">
        <v>250979</v>
      </c>
      <c r="D3574" s="31">
        <v>44746</v>
      </c>
      <c r="E3574" s="16">
        <v>16</v>
      </c>
      <c r="F3574" s="15" t="str">
        <f t="shared" si="55"/>
        <v>1218-250979-44746</v>
      </c>
    </row>
    <row r="3575" spans="1:6" ht="14.25" customHeight="1" x14ac:dyDescent="0.25">
      <c r="A3575" s="15" t="s">
        <v>3715</v>
      </c>
      <c r="B3575" s="16">
        <v>1218</v>
      </c>
      <c r="C3575" s="16">
        <v>250979</v>
      </c>
      <c r="D3575" s="31">
        <v>44753</v>
      </c>
      <c r="E3575" s="16">
        <v>30</v>
      </c>
      <c r="F3575" s="15" t="str">
        <f t="shared" si="55"/>
        <v>1218-250979-44753</v>
      </c>
    </row>
    <row r="3576" spans="1:6" ht="14.25" customHeight="1" x14ac:dyDescent="0.25">
      <c r="A3576" s="15" t="s">
        <v>3716</v>
      </c>
      <c r="B3576" s="16">
        <v>1218</v>
      </c>
      <c r="C3576" s="16">
        <v>250979</v>
      </c>
      <c r="D3576" s="31">
        <v>44760</v>
      </c>
      <c r="E3576" s="16">
        <v>33</v>
      </c>
      <c r="F3576" s="15" t="str">
        <f t="shared" si="55"/>
        <v>1218-250979-44760</v>
      </c>
    </row>
    <row r="3577" spans="1:6" ht="14.25" customHeight="1" x14ac:dyDescent="0.25">
      <c r="A3577" s="15" t="s">
        <v>3717</v>
      </c>
      <c r="B3577" s="16">
        <v>1218</v>
      </c>
      <c r="C3577" s="16">
        <v>250979</v>
      </c>
      <c r="D3577" s="31">
        <v>44767</v>
      </c>
      <c r="E3577" s="16">
        <v>44</v>
      </c>
      <c r="F3577" s="15" t="str">
        <f t="shared" si="55"/>
        <v>1218-250979-44767</v>
      </c>
    </row>
    <row r="3578" spans="1:6" ht="14.25" customHeight="1" x14ac:dyDescent="0.25">
      <c r="A3578" s="15" t="s">
        <v>3718</v>
      </c>
      <c r="B3578" s="16">
        <v>1218</v>
      </c>
      <c r="C3578" s="16">
        <v>250979</v>
      </c>
      <c r="D3578" s="31">
        <v>44774</v>
      </c>
      <c r="E3578" s="16">
        <v>41</v>
      </c>
      <c r="F3578" s="15" t="str">
        <f t="shared" si="55"/>
        <v>1218-250979-44774</v>
      </c>
    </row>
    <row r="3579" spans="1:6" ht="14.25" customHeight="1" x14ac:dyDescent="0.25">
      <c r="A3579" s="15" t="s">
        <v>3719</v>
      </c>
      <c r="B3579" s="16">
        <v>1218</v>
      </c>
      <c r="C3579" s="16">
        <v>250979</v>
      </c>
      <c r="D3579" s="31">
        <v>44781</v>
      </c>
      <c r="E3579" s="16">
        <v>36</v>
      </c>
      <c r="F3579" s="15" t="str">
        <f t="shared" si="55"/>
        <v>1218-250979-44781</v>
      </c>
    </row>
    <row r="3580" spans="1:6" ht="14.25" customHeight="1" x14ac:dyDescent="0.25">
      <c r="A3580" s="15" t="s">
        <v>3720</v>
      </c>
      <c r="B3580" s="16">
        <v>1218</v>
      </c>
      <c r="C3580" s="16">
        <v>250979</v>
      </c>
      <c r="D3580" s="31">
        <v>44788</v>
      </c>
      <c r="E3580" s="16">
        <v>30</v>
      </c>
      <c r="F3580" s="15" t="str">
        <f t="shared" si="55"/>
        <v>1218-250979-44788</v>
      </c>
    </row>
    <row r="3581" spans="1:6" ht="14.25" customHeight="1" x14ac:dyDescent="0.25">
      <c r="A3581" s="15" t="s">
        <v>3721</v>
      </c>
      <c r="B3581" s="16">
        <v>1218</v>
      </c>
      <c r="C3581" s="16">
        <v>250981</v>
      </c>
      <c r="D3581" s="31">
        <v>44739</v>
      </c>
      <c r="E3581" s="16">
        <v>3</v>
      </c>
      <c r="F3581" s="15" t="str">
        <f t="shared" si="55"/>
        <v>1218-250981-44739</v>
      </c>
    </row>
    <row r="3582" spans="1:6" ht="14.25" customHeight="1" x14ac:dyDescent="0.25">
      <c r="A3582" s="15" t="s">
        <v>3722</v>
      </c>
      <c r="B3582" s="16">
        <v>1218</v>
      </c>
      <c r="C3582" s="16">
        <v>250981</v>
      </c>
      <c r="D3582" s="31">
        <v>44746</v>
      </c>
      <c r="E3582" s="16">
        <v>3</v>
      </c>
      <c r="F3582" s="15" t="str">
        <f t="shared" si="55"/>
        <v>1218-250981-44746</v>
      </c>
    </row>
    <row r="3583" spans="1:6" ht="14.25" customHeight="1" x14ac:dyDescent="0.25">
      <c r="A3583" s="15" t="s">
        <v>3723</v>
      </c>
      <c r="B3583" s="16">
        <v>1218</v>
      </c>
      <c r="C3583" s="16">
        <v>250981</v>
      </c>
      <c r="D3583" s="31">
        <v>44753</v>
      </c>
      <c r="E3583" s="16">
        <v>3</v>
      </c>
      <c r="F3583" s="15" t="str">
        <f t="shared" si="55"/>
        <v>1218-250981-44753</v>
      </c>
    </row>
    <row r="3584" spans="1:6" ht="14.25" customHeight="1" x14ac:dyDescent="0.25">
      <c r="A3584" s="15" t="s">
        <v>3724</v>
      </c>
      <c r="B3584" s="16">
        <v>1218</v>
      </c>
      <c r="C3584" s="16">
        <v>250981</v>
      </c>
      <c r="D3584" s="31">
        <v>44760</v>
      </c>
      <c r="E3584" s="16">
        <v>3</v>
      </c>
      <c r="F3584" s="15" t="str">
        <f t="shared" si="55"/>
        <v>1218-250981-44760</v>
      </c>
    </row>
    <row r="3585" spans="1:6" ht="14.25" customHeight="1" x14ac:dyDescent="0.25">
      <c r="A3585" s="15" t="s">
        <v>3725</v>
      </c>
      <c r="B3585" s="16">
        <v>1218</v>
      </c>
      <c r="C3585" s="16">
        <v>250981</v>
      </c>
      <c r="D3585" s="31">
        <v>44767</v>
      </c>
      <c r="E3585" s="16">
        <v>3</v>
      </c>
      <c r="F3585" s="15" t="str">
        <f t="shared" si="55"/>
        <v>1218-250981-44767</v>
      </c>
    </row>
    <row r="3586" spans="1:6" ht="14.25" customHeight="1" x14ac:dyDescent="0.25">
      <c r="A3586" s="15" t="s">
        <v>3726</v>
      </c>
      <c r="B3586" s="16">
        <v>1218</v>
      </c>
      <c r="C3586" s="16">
        <v>250981</v>
      </c>
      <c r="D3586" s="31">
        <v>44774</v>
      </c>
      <c r="E3586" s="16">
        <v>3</v>
      </c>
      <c r="F3586" s="15" t="str">
        <f t="shared" si="55"/>
        <v>1218-250981-44774</v>
      </c>
    </row>
    <row r="3587" spans="1:6" ht="14.25" customHeight="1" x14ac:dyDescent="0.25">
      <c r="A3587" s="15" t="s">
        <v>3727</v>
      </c>
      <c r="B3587" s="16">
        <v>1218</v>
      </c>
      <c r="C3587" s="16">
        <v>250981</v>
      </c>
      <c r="D3587" s="31">
        <v>44781</v>
      </c>
      <c r="E3587" s="16">
        <v>3</v>
      </c>
      <c r="F3587" s="15" t="str">
        <f t="shared" ref="F3587:F3650" si="56">B3587&amp;"-"&amp;C3587&amp;"-"&amp;INT(D3587)</f>
        <v>1218-250981-44781</v>
      </c>
    </row>
    <row r="3588" spans="1:6" ht="14.25" customHeight="1" x14ac:dyDescent="0.25">
      <c r="A3588" s="15" t="s">
        <v>3728</v>
      </c>
      <c r="B3588" s="16">
        <v>1218</v>
      </c>
      <c r="C3588" s="16">
        <v>250981</v>
      </c>
      <c r="D3588" s="31">
        <v>44788</v>
      </c>
      <c r="E3588" s="16">
        <v>3</v>
      </c>
      <c r="F3588" s="15" t="str">
        <f t="shared" si="56"/>
        <v>1218-250981-44788</v>
      </c>
    </row>
    <row r="3589" spans="1:6" ht="14.25" customHeight="1" x14ac:dyDescent="0.25">
      <c r="A3589" s="15" t="s">
        <v>3729</v>
      </c>
      <c r="B3589" s="16">
        <v>1218</v>
      </c>
      <c r="C3589" s="16">
        <v>262294</v>
      </c>
      <c r="D3589" s="31">
        <v>44739</v>
      </c>
      <c r="E3589" s="16">
        <v>50</v>
      </c>
      <c r="F3589" s="15" t="str">
        <f t="shared" si="56"/>
        <v>1218-262294-44739</v>
      </c>
    </row>
    <row r="3590" spans="1:6" ht="14.25" customHeight="1" x14ac:dyDescent="0.25">
      <c r="A3590" s="15" t="s">
        <v>3730</v>
      </c>
      <c r="B3590" s="16">
        <v>1218</v>
      </c>
      <c r="C3590" s="16">
        <v>262294</v>
      </c>
      <c r="D3590" s="31">
        <v>44746</v>
      </c>
      <c r="E3590" s="16">
        <v>78</v>
      </c>
      <c r="F3590" s="15" t="str">
        <f t="shared" si="56"/>
        <v>1218-262294-44746</v>
      </c>
    </row>
    <row r="3591" spans="1:6" ht="14.25" customHeight="1" x14ac:dyDescent="0.25">
      <c r="A3591" s="15" t="s">
        <v>3731</v>
      </c>
      <c r="B3591" s="16">
        <v>1218</v>
      </c>
      <c r="C3591" s="16">
        <v>262294</v>
      </c>
      <c r="D3591" s="31">
        <v>44753</v>
      </c>
      <c r="E3591" s="16">
        <v>57</v>
      </c>
      <c r="F3591" s="15" t="str">
        <f t="shared" si="56"/>
        <v>1218-262294-44753</v>
      </c>
    </row>
    <row r="3592" spans="1:6" ht="14.25" customHeight="1" x14ac:dyDescent="0.25">
      <c r="A3592" s="15" t="s">
        <v>3732</v>
      </c>
      <c r="B3592" s="16">
        <v>1218</v>
      </c>
      <c r="C3592" s="16">
        <v>262294</v>
      </c>
      <c r="D3592" s="31">
        <v>44760</v>
      </c>
      <c r="E3592" s="16">
        <v>79</v>
      </c>
      <c r="F3592" s="15" t="str">
        <f t="shared" si="56"/>
        <v>1218-262294-44760</v>
      </c>
    </row>
    <row r="3593" spans="1:6" ht="14.25" customHeight="1" x14ac:dyDescent="0.25">
      <c r="A3593" s="15" t="s">
        <v>3733</v>
      </c>
      <c r="B3593" s="16">
        <v>1218</v>
      </c>
      <c r="C3593" s="16">
        <v>262294</v>
      </c>
      <c r="D3593" s="31">
        <v>44767</v>
      </c>
      <c r="E3593" s="16">
        <v>70</v>
      </c>
      <c r="F3593" s="15" t="str">
        <f t="shared" si="56"/>
        <v>1218-262294-44767</v>
      </c>
    </row>
    <row r="3594" spans="1:6" ht="14.25" customHeight="1" x14ac:dyDescent="0.25">
      <c r="A3594" s="15" t="s">
        <v>3734</v>
      </c>
      <c r="B3594" s="16">
        <v>1218</v>
      </c>
      <c r="C3594" s="16">
        <v>262294</v>
      </c>
      <c r="D3594" s="31">
        <v>44774</v>
      </c>
      <c r="E3594" s="16">
        <v>19</v>
      </c>
      <c r="F3594" s="15" t="str">
        <f t="shared" si="56"/>
        <v>1218-262294-44774</v>
      </c>
    </row>
    <row r="3595" spans="1:6" ht="14.25" customHeight="1" x14ac:dyDescent="0.25">
      <c r="A3595" s="15" t="s">
        <v>3735</v>
      </c>
      <c r="B3595" s="16">
        <v>1218</v>
      </c>
      <c r="C3595" s="16">
        <v>262294</v>
      </c>
      <c r="D3595" s="31">
        <v>44781</v>
      </c>
      <c r="E3595" s="16">
        <v>16</v>
      </c>
      <c r="F3595" s="15" t="str">
        <f t="shared" si="56"/>
        <v>1218-262294-44781</v>
      </c>
    </row>
    <row r="3596" spans="1:6" ht="14.25" customHeight="1" x14ac:dyDescent="0.25">
      <c r="A3596" s="15" t="s">
        <v>3736</v>
      </c>
      <c r="B3596" s="16">
        <v>1218</v>
      </c>
      <c r="C3596" s="16">
        <v>262294</v>
      </c>
      <c r="D3596" s="31">
        <v>44788</v>
      </c>
      <c r="E3596" s="16">
        <v>73</v>
      </c>
      <c r="F3596" s="15" t="str">
        <f t="shared" si="56"/>
        <v>1218-262294-44788</v>
      </c>
    </row>
    <row r="3597" spans="1:6" ht="14.25" customHeight="1" x14ac:dyDescent="0.25">
      <c r="A3597" s="15" t="s">
        <v>3737</v>
      </c>
      <c r="B3597" s="16">
        <v>1218</v>
      </c>
      <c r="C3597" s="16">
        <v>268831</v>
      </c>
      <c r="D3597" s="31">
        <v>44739</v>
      </c>
      <c r="E3597" s="16">
        <v>74</v>
      </c>
      <c r="F3597" s="15" t="str">
        <f t="shared" si="56"/>
        <v>1218-268831-44739</v>
      </c>
    </row>
    <row r="3598" spans="1:6" ht="14.25" customHeight="1" x14ac:dyDescent="0.25">
      <c r="A3598" s="15" t="s">
        <v>3738</v>
      </c>
      <c r="B3598" s="16">
        <v>1218</v>
      </c>
      <c r="C3598" s="16">
        <v>268831</v>
      </c>
      <c r="D3598" s="31">
        <v>44746</v>
      </c>
      <c r="E3598" s="16">
        <v>204</v>
      </c>
      <c r="F3598" s="15" t="str">
        <f t="shared" si="56"/>
        <v>1218-268831-44746</v>
      </c>
    </row>
    <row r="3599" spans="1:6" ht="14.25" customHeight="1" x14ac:dyDescent="0.25">
      <c r="A3599" s="15" t="s">
        <v>3739</v>
      </c>
      <c r="B3599" s="16">
        <v>1218</v>
      </c>
      <c r="C3599" s="16">
        <v>268831</v>
      </c>
      <c r="D3599" s="31">
        <v>44753</v>
      </c>
      <c r="E3599" s="16">
        <v>270</v>
      </c>
      <c r="F3599" s="15" t="str">
        <f t="shared" si="56"/>
        <v>1218-268831-44753</v>
      </c>
    </row>
    <row r="3600" spans="1:6" ht="14.25" customHeight="1" x14ac:dyDescent="0.25">
      <c r="A3600" s="15" t="s">
        <v>3740</v>
      </c>
      <c r="B3600" s="16">
        <v>1218</v>
      </c>
      <c r="C3600" s="16">
        <v>268831</v>
      </c>
      <c r="D3600" s="31">
        <v>44760</v>
      </c>
      <c r="E3600" s="16">
        <v>256</v>
      </c>
      <c r="F3600" s="15" t="str">
        <f t="shared" si="56"/>
        <v>1218-268831-44760</v>
      </c>
    </row>
    <row r="3601" spans="1:6" ht="14.25" customHeight="1" x14ac:dyDescent="0.25">
      <c r="A3601" s="15" t="s">
        <v>3741</v>
      </c>
      <c r="B3601" s="16">
        <v>1218</v>
      </c>
      <c r="C3601" s="16">
        <v>268831</v>
      </c>
      <c r="D3601" s="31">
        <v>44767</v>
      </c>
      <c r="E3601" s="16">
        <v>72</v>
      </c>
      <c r="F3601" s="15" t="str">
        <f t="shared" si="56"/>
        <v>1218-268831-44767</v>
      </c>
    </row>
    <row r="3602" spans="1:6" ht="14.25" customHeight="1" x14ac:dyDescent="0.25">
      <c r="A3602" s="15" t="s">
        <v>3742</v>
      </c>
      <c r="B3602" s="16">
        <v>1218</v>
      </c>
      <c r="C3602" s="16">
        <v>268831</v>
      </c>
      <c r="D3602" s="31">
        <v>44774</v>
      </c>
      <c r="E3602" s="16">
        <v>270</v>
      </c>
      <c r="F3602" s="15" t="str">
        <f t="shared" si="56"/>
        <v>1218-268831-44774</v>
      </c>
    </row>
    <row r="3603" spans="1:6" ht="14.25" customHeight="1" x14ac:dyDescent="0.25">
      <c r="A3603" s="15" t="s">
        <v>3743</v>
      </c>
      <c r="B3603" s="16">
        <v>1218</v>
      </c>
      <c r="C3603" s="16">
        <v>268831</v>
      </c>
      <c r="D3603" s="31">
        <v>44781</v>
      </c>
      <c r="E3603" s="16">
        <v>209</v>
      </c>
      <c r="F3603" s="15" t="str">
        <f t="shared" si="56"/>
        <v>1218-268831-44781</v>
      </c>
    </row>
    <row r="3604" spans="1:6" ht="14.25" customHeight="1" x14ac:dyDescent="0.25">
      <c r="A3604" s="15" t="s">
        <v>3744</v>
      </c>
      <c r="B3604" s="16">
        <v>1218</v>
      </c>
      <c r="C3604" s="16">
        <v>268831</v>
      </c>
      <c r="D3604" s="31">
        <v>44788</v>
      </c>
      <c r="E3604" s="16">
        <v>71</v>
      </c>
      <c r="F3604" s="15" t="str">
        <f t="shared" si="56"/>
        <v>1218-268831-44788</v>
      </c>
    </row>
    <row r="3605" spans="1:6" ht="14.25" customHeight="1" x14ac:dyDescent="0.25">
      <c r="A3605" s="15" t="s">
        <v>3745</v>
      </c>
      <c r="B3605" s="16">
        <v>1218</v>
      </c>
      <c r="C3605" s="16">
        <v>273701</v>
      </c>
      <c r="D3605" s="31">
        <v>44739</v>
      </c>
      <c r="E3605" s="16">
        <v>346</v>
      </c>
      <c r="F3605" s="15" t="str">
        <f t="shared" si="56"/>
        <v>1218-273701-44739</v>
      </c>
    </row>
    <row r="3606" spans="1:6" ht="14.25" customHeight="1" x14ac:dyDescent="0.25">
      <c r="A3606" s="15" t="s">
        <v>3746</v>
      </c>
      <c r="B3606" s="16">
        <v>1218</v>
      </c>
      <c r="C3606" s="16">
        <v>273701</v>
      </c>
      <c r="D3606" s="31">
        <v>44746</v>
      </c>
      <c r="E3606" s="16">
        <v>298</v>
      </c>
      <c r="F3606" s="15" t="str">
        <f t="shared" si="56"/>
        <v>1218-273701-44746</v>
      </c>
    </row>
    <row r="3607" spans="1:6" ht="14.25" customHeight="1" x14ac:dyDescent="0.25">
      <c r="A3607" s="15" t="s">
        <v>3747</v>
      </c>
      <c r="B3607" s="16">
        <v>1218</v>
      </c>
      <c r="C3607" s="16">
        <v>273701</v>
      </c>
      <c r="D3607" s="31">
        <v>44753</v>
      </c>
      <c r="E3607" s="16">
        <v>380</v>
      </c>
      <c r="F3607" s="15" t="str">
        <f t="shared" si="56"/>
        <v>1218-273701-44753</v>
      </c>
    </row>
    <row r="3608" spans="1:6" ht="14.25" customHeight="1" x14ac:dyDescent="0.25">
      <c r="A3608" s="15" t="s">
        <v>3748</v>
      </c>
      <c r="B3608" s="16">
        <v>1218</v>
      </c>
      <c r="C3608" s="16">
        <v>273701</v>
      </c>
      <c r="D3608" s="31">
        <v>44760</v>
      </c>
      <c r="E3608" s="16">
        <v>404</v>
      </c>
      <c r="F3608" s="15" t="str">
        <f t="shared" si="56"/>
        <v>1218-273701-44760</v>
      </c>
    </row>
    <row r="3609" spans="1:6" ht="14.25" customHeight="1" x14ac:dyDescent="0.25">
      <c r="A3609" s="15" t="s">
        <v>3749</v>
      </c>
      <c r="B3609" s="16">
        <v>1218</v>
      </c>
      <c r="C3609" s="16">
        <v>273701</v>
      </c>
      <c r="D3609" s="31">
        <v>44767</v>
      </c>
      <c r="E3609" s="16">
        <v>85</v>
      </c>
      <c r="F3609" s="15" t="str">
        <f t="shared" si="56"/>
        <v>1218-273701-44767</v>
      </c>
    </row>
    <row r="3610" spans="1:6" ht="14.25" customHeight="1" x14ac:dyDescent="0.25">
      <c r="A3610" s="15" t="s">
        <v>3750</v>
      </c>
      <c r="B3610" s="16">
        <v>1218</v>
      </c>
      <c r="C3610" s="16">
        <v>273701</v>
      </c>
      <c r="D3610" s="31">
        <v>44774</v>
      </c>
      <c r="E3610" s="16">
        <v>334</v>
      </c>
      <c r="F3610" s="15" t="str">
        <f t="shared" si="56"/>
        <v>1218-273701-44774</v>
      </c>
    </row>
    <row r="3611" spans="1:6" ht="14.25" customHeight="1" x14ac:dyDescent="0.25">
      <c r="A3611" s="15" t="s">
        <v>3751</v>
      </c>
      <c r="B3611" s="16">
        <v>1218</v>
      </c>
      <c r="C3611" s="16">
        <v>273701</v>
      </c>
      <c r="D3611" s="31">
        <v>44781</v>
      </c>
      <c r="E3611" s="16">
        <v>81</v>
      </c>
      <c r="F3611" s="15" t="str">
        <f t="shared" si="56"/>
        <v>1218-273701-44781</v>
      </c>
    </row>
    <row r="3612" spans="1:6" ht="14.25" customHeight="1" x14ac:dyDescent="0.25">
      <c r="A3612" s="15" t="s">
        <v>3752</v>
      </c>
      <c r="B3612" s="16">
        <v>1218</v>
      </c>
      <c r="C3612" s="16">
        <v>273701</v>
      </c>
      <c r="D3612" s="31">
        <v>44788</v>
      </c>
      <c r="E3612" s="16">
        <v>259</v>
      </c>
      <c r="F3612" s="15" t="str">
        <f t="shared" si="56"/>
        <v>1218-273701-44788</v>
      </c>
    </row>
    <row r="3613" spans="1:6" ht="14.25" customHeight="1" x14ac:dyDescent="0.25">
      <c r="A3613" s="15" t="s">
        <v>3753</v>
      </c>
      <c r="B3613" s="16">
        <v>1218</v>
      </c>
      <c r="C3613" s="16">
        <v>291726</v>
      </c>
      <c r="D3613" s="31">
        <v>44739</v>
      </c>
      <c r="E3613" s="16">
        <v>21</v>
      </c>
      <c r="F3613" s="15" t="str">
        <f t="shared" si="56"/>
        <v>1218-291726-44739</v>
      </c>
    </row>
    <row r="3614" spans="1:6" ht="14.25" customHeight="1" x14ac:dyDescent="0.25">
      <c r="A3614" s="15" t="s">
        <v>3754</v>
      </c>
      <c r="B3614" s="16">
        <v>1218</v>
      </c>
      <c r="C3614" s="16">
        <v>291726</v>
      </c>
      <c r="D3614" s="31">
        <v>44746</v>
      </c>
      <c r="E3614" s="16">
        <v>53</v>
      </c>
      <c r="F3614" s="15" t="str">
        <f t="shared" si="56"/>
        <v>1218-291726-44746</v>
      </c>
    </row>
    <row r="3615" spans="1:6" ht="14.25" customHeight="1" x14ac:dyDescent="0.25">
      <c r="A3615" s="15" t="s">
        <v>3755</v>
      </c>
      <c r="B3615" s="16">
        <v>1218</v>
      </c>
      <c r="C3615" s="16">
        <v>291726</v>
      </c>
      <c r="D3615" s="31">
        <v>44753</v>
      </c>
      <c r="E3615" s="16">
        <v>68</v>
      </c>
      <c r="F3615" s="15" t="str">
        <f t="shared" si="56"/>
        <v>1218-291726-44753</v>
      </c>
    </row>
    <row r="3616" spans="1:6" ht="14.25" customHeight="1" x14ac:dyDescent="0.25">
      <c r="A3616" s="15" t="s">
        <v>3756</v>
      </c>
      <c r="B3616" s="16">
        <v>1218</v>
      </c>
      <c r="C3616" s="16">
        <v>291726</v>
      </c>
      <c r="D3616" s="31">
        <v>44760</v>
      </c>
      <c r="E3616" s="16">
        <v>52</v>
      </c>
      <c r="F3616" s="15" t="str">
        <f t="shared" si="56"/>
        <v>1218-291726-44760</v>
      </c>
    </row>
    <row r="3617" spans="1:6" ht="14.25" customHeight="1" x14ac:dyDescent="0.25">
      <c r="A3617" s="15" t="s">
        <v>3757</v>
      </c>
      <c r="B3617" s="16">
        <v>1218</v>
      </c>
      <c r="C3617" s="16">
        <v>291726</v>
      </c>
      <c r="D3617" s="31">
        <v>44767</v>
      </c>
      <c r="E3617" s="16">
        <v>54</v>
      </c>
      <c r="F3617" s="15" t="str">
        <f t="shared" si="56"/>
        <v>1218-291726-44767</v>
      </c>
    </row>
    <row r="3618" spans="1:6" ht="14.25" customHeight="1" x14ac:dyDescent="0.25">
      <c r="A3618" s="15" t="s">
        <v>3758</v>
      </c>
      <c r="B3618" s="16">
        <v>1218</v>
      </c>
      <c r="C3618" s="16">
        <v>291726</v>
      </c>
      <c r="D3618" s="31">
        <v>44774</v>
      </c>
      <c r="E3618" s="16">
        <v>50</v>
      </c>
      <c r="F3618" s="15" t="str">
        <f t="shared" si="56"/>
        <v>1218-291726-44774</v>
      </c>
    </row>
    <row r="3619" spans="1:6" ht="14.25" customHeight="1" x14ac:dyDescent="0.25">
      <c r="A3619" s="15" t="s">
        <v>3759</v>
      </c>
      <c r="B3619" s="16">
        <v>1218</v>
      </c>
      <c r="C3619" s="16">
        <v>291726</v>
      </c>
      <c r="D3619" s="31">
        <v>44781</v>
      </c>
      <c r="E3619" s="16">
        <v>19</v>
      </c>
      <c r="F3619" s="15" t="str">
        <f t="shared" si="56"/>
        <v>1218-291726-44781</v>
      </c>
    </row>
    <row r="3620" spans="1:6" ht="14.25" customHeight="1" x14ac:dyDescent="0.25">
      <c r="A3620" s="15" t="s">
        <v>3760</v>
      </c>
      <c r="B3620" s="16">
        <v>1218</v>
      </c>
      <c r="C3620" s="16">
        <v>291726</v>
      </c>
      <c r="D3620" s="31">
        <v>44788</v>
      </c>
      <c r="E3620" s="16">
        <v>54</v>
      </c>
      <c r="F3620" s="15" t="str">
        <f t="shared" si="56"/>
        <v>1218-291726-44788</v>
      </c>
    </row>
    <row r="3621" spans="1:6" ht="14.25" customHeight="1" x14ac:dyDescent="0.25">
      <c r="A3621" s="15" t="s">
        <v>3761</v>
      </c>
      <c r="B3621" s="16">
        <v>1218</v>
      </c>
      <c r="C3621" s="16">
        <v>291728</v>
      </c>
      <c r="D3621" s="31">
        <v>44739</v>
      </c>
      <c r="E3621" s="16">
        <v>48</v>
      </c>
      <c r="F3621" s="15" t="str">
        <f t="shared" si="56"/>
        <v>1218-291728-44739</v>
      </c>
    </row>
    <row r="3622" spans="1:6" ht="14.25" customHeight="1" x14ac:dyDescent="0.25">
      <c r="A3622" s="15" t="s">
        <v>3762</v>
      </c>
      <c r="B3622" s="16">
        <v>1218</v>
      </c>
      <c r="C3622" s="16">
        <v>291728</v>
      </c>
      <c r="D3622" s="31">
        <v>44746</v>
      </c>
      <c r="E3622" s="16">
        <v>20</v>
      </c>
      <c r="F3622" s="15" t="str">
        <f t="shared" si="56"/>
        <v>1218-291728-44746</v>
      </c>
    </row>
    <row r="3623" spans="1:6" ht="14.25" customHeight="1" x14ac:dyDescent="0.25">
      <c r="A3623" s="15" t="s">
        <v>3763</v>
      </c>
      <c r="B3623" s="16">
        <v>1218</v>
      </c>
      <c r="C3623" s="16">
        <v>291728</v>
      </c>
      <c r="D3623" s="31">
        <v>44753</v>
      </c>
      <c r="E3623" s="16">
        <v>51</v>
      </c>
      <c r="F3623" s="15" t="str">
        <f t="shared" si="56"/>
        <v>1218-291728-44753</v>
      </c>
    </row>
    <row r="3624" spans="1:6" ht="14.25" customHeight="1" x14ac:dyDescent="0.25">
      <c r="A3624" s="15" t="s">
        <v>3764</v>
      </c>
      <c r="B3624" s="16">
        <v>1218</v>
      </c>
      <c r="C3624" s="16">
        <v>291728</v>
      </c>
      <c r="D3624" s="31">
        <v>44760</v>
      </c>
      <c r="E3624" s="16">
        <v>14</v>
      </c>
      <c r="F3624" s="15" t="str">
        <f t="shared" si="56"/>
        <v>1218-291728-44760</v>
      </c>
    </row>
    <row r="3625" spans="1:6" ht="14.25" customHeight="1" x14ac:dyDescent="0.25">
      <c r="A3625" s="15" t="s">
        <v>3765</v>
      </c>
      <c r="B3625" s="16">
        <v>1218</v>
      </c>
      <c r="C3625" s="16">
        <v>291728</v>
      </c>
      <c r="D3625" s="31">
        <v>44767</v>
      </c>
      <c r="E3625" s="16">
        <v>47</v>
      </c>
      <c r="F3625" s="15" t="str">
        <f t="shared" si="56"/>
        <v>1218-291728-44767</v>
      </c>
    </row>
    <row r="3626" spans="1:6" ht="14.25" customHeight="1" x14ac:dyDescent="0.25">
      <c r="A3626" s="15" t="s">
        <v>3766</v>
      </c>
      <c r="B3626" s="16">
        <v>1218</v>
      </c>
      <c r="C3626" s="16">
        <v>291728</v>
      </c>
      <c r="D3626" s="31">
        <v>44774</v>
      </c>
      <c r="E3626" s="16">
        <v>53</v>
      </c>
      <c r="F3626" s="15" t="str">
        <f t="shared" si="56"/>
        <v>1218-291728-44774</v>
      </c>
    </row>
    <row r="3627" spans="1:6" ht="14.25" customHeight="1" x14ac:dyDescent="0.25">
      <c r="A3627" s="15" t="s">
        <v>3767</v>
      </c>
      <c r="B3627" s="16">
        <v>1218</v>
      </c>
      <c r="C3627" s="16">
        <v>291728</v>
      </c>
      <c r="D3627" s="31">
        <v>44781</v>
      </c>
      <c r="E3627" s="16">
        <v>45</v>
      </c>
      <c r="F3627" s="15" t="str">
        <f t="shared" si="56"/>
        <v>1218-291728-44781</v>
      </c>
    </row>
    <row r="3628" spans="1:6" ht="14.25" customHeight="1" x14ac:dyDescent="0.25">
      <c r="A3628" s="15" t="s">
        <v>3768</v>
      </c>
      <c r="B3628" s="16">
        <v>1218</v>
      </c>
      <c r="C3628" s="16">
        <v>291728</v>
      </c>
      <c r="D3628" s="31">
        <v>44788</v>
      </c>
      <c r="E3628" s="16">
        <v>18</v>
      </c>
      <c r="F3628" s="15" t="str">
        <f t="shared" si="56"/>
        <v>1218-291728-44788</v>
      </c>
    </row>
    <row r="3629" spans="1:6" ht="14.25" customHeight="1" x14ac:dyDescent="0.25">
      <c r="A3629" s="15" t="s">
        <v>3769</v>
      </c>
      <c r="B3629" s="16">
        <v>1218</v>
      </c>
      <c r="C3629" s="16">
        <v>300380</v>
      </c>
      <c r="D3629" s="31">
        <v>44739</v>
      </c>
      <c r="E3629" s="16">
        <v>13</v>
      </c>
      <c r="F3629" s="15" t="str">
        <f t="shared" si="56"/>
        <v>1218-300380-44739</v>
      </c>
    </row>
    <row r="3630" spans="1:6" ht="14.25" customHeight="1" x14ac:dyDescent="0.25">
      <c r="A3630" s="15" t="s">
        <v>3770</v>
      </c>
      <c r="B3630" s="16">
        <v>1218</v>
      </c>
      <c r="C3630" s="16">
        <v>300380</v>
      </c>
      <c r="D3630" s="31">
        <v>44746</v>
      </c>
      <c r="E3630" s="16">
        <v>45</v>
      </c>
      <c r="F3630" s="15" t="str">
        <f t="shared" si="56"/>
        <v>1218-300380-44746</v>
      </c>
    </row>
    <row r="3631" spans="1:6" ht="14.25" customHeight="1" x14ac:dyDescent="0.25">
      <c r="A3631" s="15" t="s">
        <v>3771</v>
      </c>
      <c r="B3631" s="16">
        <v>1218</v>
      </c>
      <c r="C3631" s="16">
        <v>300380</v>
      </c>
      <c r="D3631" s="31">
        <v>44753</v>
      </c>
      <c r="E3631" s="16">
        <v>18</v>
      </c>
      <c r="F3631" s="15" t="str">
        <f t="shared" si="56"/>
        <v>1218-300380-44753</v>
      </c>
    </row>
    <row r="3632" spans="1:6" ht="14.25" customHeight="1" x14ac:dyDescent="0.25">
      <c r="A3632" s="15" t="s">
        <v>3772</v>
      </c>
      <c r="B3632" s="16">
        <v>1218</v>
      </c>
      <c r="C3632" s="16">
        <v>300380</v>
      </c>
      <c r="D3632" s="31">
        <v>44760</v>
      </c>
      <c r="E3632" s="16">
        <v>12</v>
      </c>
      <c r="F3632" s="15" t="str">
        <f t="shared" si="56"/>
        <v>1218-300380-44760</v>
      </c>
    </row>
    <row r="3633" spans="1:6" ht="14.25" customHeight="1" x14ac:dyDescent="0.25">
      <c r="A3633" s="15" t="s">
        <v>3773</v>
      </c>
      <c r="B3633" s="16">
        <v>1218</v>
      </c>
      <c r="C3633" s="16">
        <v>300380</v>
      </c>
      <c r="D3633" s="31">
        <v>44767</v>
      </c>
      <c r="E3633" s="16">
        <v>9</v>
      </c>
      <c r="F3633" s="15" t="str">
        <f t="shared" si="56"/>
        <v>1218-300380-44767</v>
      </c>
    </row>
    <row r="3634" spans="1:6" ht="14.25" customHeight="1" x14ac:dyDescent="0.25">
      <c r="A3634" s="15" t="s">
        <v>3774</v>
      </c>
      <c r="B3634" s="16">
        <v>1218</v>
      </c>
      <c r="C3634" s="16">
        <v>300380</v>
      </c>
      <c r="D3634" s="31">
        <v>44774</v>
      </c>
      <c r="E3634" s="16">
        <v>11</v>
      </c>
      <c r="F3634" s="15" t="str">
        <f t="shared" si="56"/>
        <v>1218-300380-44774</v>
      </c>
    </row>
    <row r="3635" spans="1:6" ht="14.25" customHeight="1" x14ac:dyDescent="0.25">
      <c r="A3635" s="15" t="s">
        <v>3775</v>
      </c>
      <c r="B3635" s="16">
        <v>1218</v>
      </c>
      <c r="C3635" s="16">
        <v>300380</v>
      </c>
      <c r="D3635" s="31">
        <v>44781</v>
      </c>
      <c r="E3635" s="16">
        <v>30</v>
      </c>
      <c r="F3635" s="15" t="str">
        <f t="shared" si="56"/>
        <v>1218-300380-44781</v>
      </c>
    </row>
    <row r="3636" spans="1:6" ht="14.25" customHeight="1" x14ac:dyDescent="0.25">
      <c r="A3636" s="15" t="s">
        <v>3776</v>
      </c>
      <c r="B3636" s="16">
        <v>1218</v>
      </c>
      <c r="C3636" s="16">
        <v>300380</v>
      </c>
      <c r="D3636" s="31">
        <v>44788</v>
      </c>
      <c r="E3636" s="16">
        <v>35</v>
      </c>
      <c r="F3636" s="15" t="str">
        <f t="shared" si="56"/>
        <v>1218-300380-44788</v>
      </c>
    </row>
    <row r="3637" spans="1:6" ht="14.25" customHeight="1" x14ac:dyDescent="0.25">
      <c r="A3637" s="15" t="s">
        <v>3777</v>
      </c>
      <c r="B3637" s="16">
        <v>1218</v>
      </c>
      <c r="C3637" s="16">
        <v>614993</v>
      </c>
      <c r="D3637" s="31">
        <v>44739</v>
      </c>
      <c r="E3637" s="16">
        <v>31</v>
      </c>
      <c r="F3637" s="15" t="str">
        <f t="shared" si="56"/>
        <v>1218-614993-44739</v>
      </c>
    </row>
    <row r="3638" spans="1:6" ht="14.25" customHeight="1" x14ac:dyDescent="0.25">
      <c r="A3638" s="15" t="s">
        <v>3778</v>
      </c>
      <c r="B3638" s="16">
        <v>1218</v>
      </c>
      <c r="C3638" s="16">
        <v>614993</v>
      </c>
      <c r="D3638" s="31">
        <v>44746</v>
      </c>
      <c r="E3638" s="16">
        <v>15</v>
      </c>
      <c r="F3638" s="15" t="str">
        <f t="shared" si="56"/>
        <v>1218-614993-44746</v>
      </c>
    </row>
    <row r="3639" spans="1:6" ht="14.25" customHeight="1" x14ac:dyDescent="0.25">
      <c r="A3639" s="15" t="s">
        <v>3779</v>
      </c>
      <c r="B3639" s="16">
        <v>1218</v>
      </c>
      <c r="C3639" s="16">
        <v>614993</v>
      </c>
      <c r="D3639" s="31">
        <v>44753</v>
      </c>
      <c r="E3639" s="16">
        <v>26</v>
      </c>
      <c r="F3639" s="15" t="str">
        <f t="shared" si="56"/>
        <v>1218-614993-44753</v>
      </c>
    </row>
    <row r="3640" spans="1:6" ht="14.25" customHeight="1" x14ac:dyDescent="0.25">
      <c r="A3640" s="15" t="s">
        <v>3780</v>
      </c>
      <c r="B3640" s="16">
        <v>1218</v>
      </c>
      <c r="C3640" s="16">
        <v>614993</v>
      </c>
      <c r="D3640" s="31">
        <v>44760</v>
      </c>
      <c r="E3640" s="16">
        <v>27</v>
      </c>
      <c r="F3640" s="15" t="str">
        <f t="shared" si="56"/>
        <v>1218-614993-44760</v>
      </c>
    </row>
    <row r="3641" spans="1:6" ht="14.25" customHeight="1" x14ac:dyDescent="0.25">
      <c r="A3641" s="15" t="s">
        <v>3781</v>
      </c>
      <c r="B3641" s="16">
        <v>1218</v>
      </c>
      <c r="C3641" s="16">
        <v>614993</v>
      </c>
      <c r="D3641" s="31">
        <v>44767</v>
      </c>
      <c r="E3641" s="16">
        <v>9</v>
      </c>
      <c r="F3641" s="15" t="str">
        <f t="shared" si="56"/>
        <v>1218-614993-44767</v>
      </c>
    </row>
    <row r="3642" spans="1:6" ht="14.25" customHeight="1" x14ac:dyDescent="0.25">
      <c r="A3642" s="15" t="s">
        <v>3782</v>
      </c>
      <c r="B3642" s="16">
        <v>1218</v>
      </c>
      <c r="C3642" s="16">
        <v>614993</v>
      </c>
      <c r="D3642" s="31">
        <v>44774</v>
      </c>
      <c r="E3642" s="16">
        <v>33</v>
      </c>
      <c r="F3642" s="15" t="str">
        <f t="shared" si="56"/>
        <v>1218-614993-44774</v>
      </c>
    </row>
    <row r="3643" spans="1:6" ht="14.25" customHeight="1" x14ac:dyDescent="0.25">
      <c r="A3643" s="15" t="s">
        <v>3783</v>
      </c>
      <c r="B3643" s="16">
        <v>1218</v>
      </c>
      <c r="C3643" s="16">
        <v>614993</v>
      </c>
      <c r="D3643" s="31">
        <v>44781</v>
      </c>
      <c r="E3643" s="16">
        <v>27</v>
      </c>
      <c r="F3643" s="15" t="str">
        <f t="shared" si="56"/>
        <v>1218-614993-44781</v>
      </c>
    </row>
    <row r="3644" spans="1:6" ht="14.25" customHeight="1" x14ac:dyDescent="0.25">
      <c r="A3644" s="15" t="s">
        <v>3784</v>
      </c>
      <c r="B3644" s="16">
        <v>1218</v>
      </c>
      <c r="C3644" s="16">
        <v>614993</v>
      </c>
      <c r="D3644" s="31">
        <v>44788</v>
      </c>
      <c r="E3644" s="16">
        <v>9</v>
      </c>
      <c r="F3644" s="15" t="str">
        <f t="shared" si="56"/>
        <v>1218-614993-44788</v>
      </c>
    </row>
    <row r="3645" spans="1:6" ht="14.25" customHeight="1" x14ac:dyDescent="0.25">
      <c r="A3645" s="15" t="s">
        <v>3785</v>
      </c>
      <c r="B3645" s="16">
        <v>1219</v>
      </c>
      <c r="C3645" s="16">
        <v>23393</v>
      </c>
      <c r="D3645" s="31">
        <v>44739</v>
      </c>
      <c r="E3645" s="16">
        <v>37</v>
      </c>
      <c r="F3645" s="15" t="str">
        <f t="shared" si="56"/>
        <v>1219-23393-44739</v>
      </c>
    </row>
    <row r="3646" spans="1:6" ht="14.25" customHeight="1" x14ac:dyDescent="0.25">
      <c r="A3646" s="15" t="s">
        <v>3786</v>
      </c>
      <c r="B3646" s="16">
        <v>1219</v>
      </c>
      <c r="C3646" s="16">
        <v>23393</v>
      </c>
      <c r="D3646" s="31">
        <v>44746</v>
      </c>
      <c r="E3646" s="16">
        <v>42</v>
      </c>
      <c r="F3646" s="15" t="str">
        <f t="shared" si="56"/>
        <v>1219-23393-44746</v>
      </c>
    </row>
    <row r="3647" spans="1:6" ht="14.25" customHeight="1" x14ac:dyDescent="0.25">
      <c r="A3647" s="15" t="s">
        <v>3787</v>
      </c>
      <c r="B3647" s="16">
        <v>1219</v>
      </c>
      <c r="C3647" s="16">
        <v>23393</v>
      </c>
      <c r="D3647" s="31">
        <v>44753</v>
      </c>
      <c r="E3647" s="16">
        <v>51</v>
      </c>
      <c r="F3647" s="15" t="str">
        <f t="shared" si="56"/>
        <v>1219-23393-44753</v>
      </c>
    </row>
    <row r="3648" spans="1:6" ht="14.25" customHeight="1" x14ac:dyDescent="0.25">
      <c r="A3648" s="15" t="s">
        <v>3788</v>
      </c>
      <c r="B3648" s="16">
        <v>1219</v>
      </c>
      <c r="C3648" s="16">
        <v>23393</v>
      </c>
      <c r="D3648" s="31">
        <v>44760</v>
      </c>
      <c r="E3648" s="16">
        <v>55</v>
      </c>
      <c r="F3648" s="15" t="str">
        <f t="shared" si="56"/>
        <v>1219-23393-44760</v>
      </c>
    </row>
    <row r="3649" spans="1:6" ht="14.25" customHeight="1" x14ac:dyDescent="0.25">
      <c r="A3649" s="15" t="s">
        <v>3789</v>
      </c>
      <c r="B3649" s="16">
        <v>1219</v>
      </c>
      <c r="C3649" s="16">
        <v>23393</v>
      </c>
      <c r="D3649" s="31">
        <v>44767</v>
      </c>
      <c r="E3649" s="16">
        <v>48</v>
      </c>
      <c r="F3649" s="15" t="str">
        <f t="shared" si="56"/>
        <v>1219-23393-44767</v>
      </c>
    </row>
    <row r="3650" spans="1:6" ht="14.25" customHeight="1" x14ac:dyDescent="0.25">
      <c r="A3650" s="15" t="s">
        <v>3790</v>
      </c>
      <c r="B3650" s="16">
        <v>1219</v>
      </c>
      <c r="C3650" s="16">
        <v>23393</v>
      </c>
      <c r="D3650" s="31">
        <v>44774</v>
      </c>
      <c r="E3650" s="16">
        <v>55</v>
      </c>
      <c r="F3650" s="15" t="str">
        <f t="shared" si="56"/>
        <v>1219-23393-44774</v>
      </c>
    </row>
    <row r="3651" spans="1:6" ht="14.25" customHeight="1" x14ac:dyDescent="0.25">
      <c r="A3651" s="15" t="s">
        <v>3791</v>
      </c>
      <c r="B3651" s="16">
        <v>1219</v>
      </c>
      <c r="C3651" s="16">
        <v>23393</v>
      </c>
      <c r="D3651" s="31">
        <v>44781</v>
      </c>
      <c r="E3651" s="16">
        <v>49</v>
      </c>
      <c r="F3651" s="15" t="str">
        <f t="shared" ref="F3651:F3714" si="57">B3651&amp;"-"&amp;C3651&amp;"-"&amp;INT(D3651)</f>
        <v>1219-23393-44781</v>
      </c>
    </row>
    <row r="3652" spans="1:6" ht="14.25" customHeight="1" x14ac:dyDescent="0.25">
      <c r="A3652" s="15" t="s">
        <v>3792</v>
      </c>
      <c r="B3652" s="16">
        <v>1219</v>
      </c>
      <c r="C3652" s="16">
        <v>23393</v>
      </c>
      <c r="D3652" s="31">
        <v>44788</v>
      </c>
      <c r="E3652" s="16">
        <v>49</v>
      </c>
      <c r="F3652" s="15" t="str">
        <f t="shared" si="57"/>
        <v>1219-23393-44788</v>
      </c>
    </row>
    <row r="3653" spans="1:6" ht="14.25" customHeight="1" x14ac:dyDescent="0.25">
      <c r="A3653" s="15" t="s">
        <v>3793</v>
      </c>
      <c r="B3653" s="16">
        <v>1219</v>
      </c>
      <c r="C3653" s="16">
        <v>26764</v>
      </c>
      <c r="D3653" s="31">
        <v>44739</v>
      </c>
      <c r="E3653" s="16">
        <v>78</v>
      </c>
      <c r="F3653" s="15" t="str">
        <f t="shared" si="57"/>
        <v>1219-26764-44739</v>
      </c>
    </row>
    <row r="3654" spans="1:6" ht="14.25" customHeight="1" x14ac:dyDescent="0.25">
      <c r="A3654" s="15" t="s">
        <v>3794</v>
      </c>
      <c r="B3654" s="16">
        <v>1219</v>
      </c>
      <c r="C3654" s="16">
        <v>26764</v>
      </c>
      <c r="D3654" s="31">
        <v>44746</v>
      </c>
      <c r="E3654" s="16">
        <v>87</v>
      </c>
      <c r="F3654" s="15" t="str">
        <f t="shared" si="57"/>
        <v>1219-26764-44746</v>
      </c>
    </row>
    <row r="3655" spans="1:6" ht="14.25" customHeight="1" x14ac:dyDescent="0.25">
      <c r="A3655" s="15" t="s">
        <v>3795</v>
      </c>
      <c r="B3655" s="16">
        <v>1219</v>
      </c>
      <c r="C3655" s="16">
        <v>26764</v>
      </c>
      <c r="D3655" s="31">
        <v>44753</v>
      </c>
      <c r="E3655" s="16">
        <v>63</v>
      </c>
      <c r="F3655" s="15" t="str">
        <f t="shared" si="57"/>
        <v>1219-26764-44753</v>
      </c>
    </row>
    <row r="3656" spans="1:6" ht="14.25" customHeight="1" x14ac:dyDescent="0.25">
      <c r="A3656" s="15" t="s">
        <v>3796</v>
      </c>
      <c r="B3656" s="16">
        <v>1219</v>
      </c>
      <c r="C3656" s="16">
        <v>26764</v>
      </c>
      <c r="D3656" s="31">
        <v>44760</v>
      </c>
      <c r="E3656" s="16">
        <v>22</v>
      </c>
      <c r="F3656" s="15" t="str">
        <f t="shared" si="57"/>
        <v>1219-26764-44760</v>
      </c>
    </row>
    <row r="3657" spans="1:6" ht="14.25" customHeight="1" x14ac:dyDescent="0.25">
      <c r="A3657" s="15" t="s">
        <v>3797</v>
      </c>
      <c r="B3657" s="16">
        <v>1219</v>
      </c>
      <c r="C3657" s="16">
        <v>26764</v>
      </c>
      <c r="D3657" s="31">
        <v>44767</v>
      </c>
      <c r="E3657" s="16">
        <v>81</v>
      </c>
      <c r="F3657" s="15" t="str">
        <f t="shared" si="57"/>
        <v>1219-26764-44767</v>
      </c>
    </row>
    <row r="3658" spans="1:6" ht="14.25" customHeight="1" x14ac:dyDescent="0.25">
      <c r="A3658" s="15" t="s">
        <v>3798</v>
      </c>
      <c r="B3658" s="16">
        <v>1219</v>
      </c>
      <c r="C3658" s="16">
        <v>26764</v>
      </c>
      <c r="D3658" s="31">
        <v>44774</v>
      </c>
      <c r="E3658" s="16">
        <v>21</v>
      </c>
      <c r="F3658" s="15" t="str">
        <f t="shared" si="57"/>
        <v>1219-26764-44774</v>
      </c>
    </row>
    <row r="3659" spans="1:6" ht="14.25" customHeight="1" x14ac:dyDescent="0.25">
      <c r="A3659" s="15" t="s">
        <v>3799</v>
      </c>
      <c r="B3659" s="16">
        <v>1219</v>
      </c>
      <c r="C3659" s="16">
        <v>26764</v>
      </c>
      <c r="D3659" s="31">
        <v>44781</v>
      </c>
      <c r="E3659" s="16">
        <v>67</v>
      </c>
      <c r="F3659" s="15" t="str">
        <f t="shared" si="57"/>
        <v>1219-26764-44781</v>
      </c>
    </row>
    <row r="3660" spans="1:6" ht="14.25" customHeight="1" x14ac:dyDescent="0.25">
      <c r="A3660" s="15" t="s">
        <v>3800</v>
      </c>
      <c r="B3660" s="16">
        <v>1219</v>
      </c>
      <c r="C3660" s="16">
        <v>26764</v>
      </c>
      <c r="D3660" s="31">
        <v>44788</v>
      </c>
      <c r="E3660" s="16">
        <v>64</v>
      </c>
      <c r="F3660" s="15" t="str">
        <f t="shared" si="57"/>
        <v>1219-26764-44788</v>
      </c>
    </row>
    <row r="3661" spans="1:6" ht="14.25" customHeight="1" x14ac:dyDescent="0.25">
      <c r="A3661" s="15" t="s">
        <v>3801</v>
      </c>
      <c r="B3661" s="16">
        <v>1219</v>
      </c>
      <c r="C3661" s="16">
        <v>53934</v>
      </c>
      <c r="D3661" s="31">
        <v>44739</v>
      </c>
      <c r="E3661" s="16">
        <v>1004</v>
      </c>
      <c r="F3661" s="15" t="str">
        <f t="shared" si="57"/>
        <v>1219-53934-44739</v>
      </c>
    </row>
    <row r="3662" spans="1:6" ht="14.25" customHeight="1" x14ac:dyDescent="0.25">
      <c r="A3662" s="15" t="s">
        <v>3802</v>
      </c>
      <c r="B3662" s="16">
        <v>1219</v>
      </c>
      <c r="C3662" s="16">
        <v>53934</v>
      </c>
      <c r="D3662" s="31">
        <v>44746</v>
      </c>
      <c r="E3662" s="16">
        <v>1000</v>
      </c>
      <c r="F3662" s="15" t="str">
        <f t="shared" si="57"/>
        <v>1219-53934-44746</v>
      </c>
    </row>
    <row r="3663" spans="1:6" ht="14.25" customHeight="1" x14ac:dyDescent="0.25">
      <c r="A3663" s="15" t="s">
        <v>3803</v>
      </c>
      <c r="B3663" s="16">
        <v>1219</v>
      </c>
      <c r="C3663" s="16">
        <v>53934</v>
      </c>
      <c r="D3663" s="31">
        <v>44753</v>
      </c>
      <c r="E3663" s="16">
        <v>1000</v>
      </c>
      <c r="F3663" s="15" t="str">
        <f t="shared" si="57"/>
        <v>1219-53934-44753</v>
      </c>
    </row>
    <row r="3664" spans="1:6" ht="14.25" customHeight="1" x14ac:dyDescent="0.25">
      <c r="A3664" s="15" t="s">
        <v>3804</v>
      </c>
      <c r="B3664" s="16">
        <v>1219</v>
      </c>
      <c r="C3664" s="16">
        <v>53934</v>
      </c>
      <c r="D3664" s="31">
        <v>44760</v>
      </c>
      <c r="E3664" s="16">
        <v>1363</v>
      </c>
      <c r="F3664" s="15" t="str">
        <f t="shared" si="57"/>
        <v>1219-53934-44760</v>
      </c>
    </row>
    <row r="3665" spans="1:6" ht="14.25" customHeight="1" x14ac:dyDescent="0.25">
      <c r="A3665" s="15" t="s">
        <v>3805</v>
      </c>
      <c r="B3665" s="16">
        <v>1219</v>
      </c>
      <c r="C3665" s="16">
        <v>53934</v>
      </c>
      <c r="D3665" s="31">
        <v>44767</v>
      </c>
      <c r="E3665" s="16">
        <v>610</v>
      </c>
      <c r="F3665" s="15" t="str">
        <f t="shared" si="57"/>
        <v>1219-53934-44767</v>
      </c>
    </row>
    <row r="3666" spans="1:6" ht="14.25" customHeight="1" x14ac:dyDescent="0.25">
      <c r="A3666" s="15" t="s">
        <v>3806</v>
      </c>
      <c r="B3666" s="16">
        <v>1219</v>
      </c>
      <c r="C3666" s="16">
        <v>53934</v>
      </c>
      <c r="D3666" s="31">
        <v>44774</v>
      </c>
      <c r="E3666" s="16">
        <v>1155</v>
      </c>
      <c r="F3666" s="15" t="str">
        <f t="shared" si="57"/>
        <v>1219-53934-44774</v>
      </c>
    </row>
    <row r="3667" spans="1:6" ht="14.25" customHeight="1" x14ac:dyDescent="0.25">
      <c r="A3667" s="15" t="s">
        <v>3807</v>
      </c>
      <c r="B3667" s="16">
        <v>1219</v>
      </c>
      <c r="C3667" s="16">
        <v>53934</v>
      </c>
      <c r="D3667" s="31">
        <v>44781</v>
      </c>
      <c r="E3667" s="16">
        <v>606</v>
      </c>
      <c r="F3667" s="15" t="str">
        <f t="shared" si="57"/>
        <v>1219-53934-44781</v>
      </c>
    </row>
    <row r="3668" spans="1:6" ht="14.25" customHeight="1" x14ac:dyDescent="0.25">
      <c r="A3668" s="15" t="s">
        <v>3808</v>
      </c>
      <c r="B3668" s="16">
        <v>1219</v>
      </c>
      <c r="C3668" s="16">
        <v>53934</v>
      </c>
      <c r="D3668" s="31">
        <v>44788</v>
      </c>
      <c r="E3668" s="16">
        <v>1177</v>
      </c>
      <c r="F3668" s="15" t="str">
        <f t="shared" si="57"/>
        <v>1219-53934-44788</v>
      </c>
    </row>
    <row r="3669" spans="1:6" ht="14.25" customHeight="1" x14ac:dyDescent="0.25">
      <c r="A3669" s="15" t="s">
        <v>3809</v>
      </c>
      <c r="B3669" s="16">
        <v>1219</v>
      </c>
      <c r="C3669" s="16">
        <v>78699</v>
      </c>
      <c r="D3669" s="31">
        <v>44739</v>
      </c>
      <c r="E3669" s="16">
        <v>6</v>
      </c>
      <c r="F3669" s="15" t="str">
        <f t="shared" si="57"/>
        <v>1219-78699-44739</v>
      </c>
    </row>
    <row r="3670" spans="1:6" ht="14.25" customHeight="1" x14ac:dyDescent="0.25">
      <c r="A3670" s="15" t="s">
        <v>3810</v>
      </c>
      <c r="B3670" s="16">
        <v>1219</v>
      </c>
      <c r="C3670" s="16">
        <v>78699</v>
      </c>
      <c r="D3670" s="31">
        <v>44746</v>
      </c>
      <c r="E3670" s="16">
        <v>10</v>
      </c>
      <c r="F3670" s="15" t="str">
        <f t="shared" si="57"/>
        <v>1219-78699-44746</v>
      </c>
    </row>
    <row r="3671" spans="1:6" ht="14.25" customHeight="1" x14ac:dyDescent="0.25">
      <c r="A3671" s="15" t="s">
        <v>3811</v>
      </c>
      <c r="B3671" s="16">
        <v>1219</v>
      </c>
      <c r="C3671" s="16">
        <v>78699</v>
      </c>
      <c r="D3671" s="31">
        <v>44753</v>
      </c>
      <c r="E3671" s="16">
        <v>10</v>
      </c>
      <c r="F3671" s="15" t="str">
        <f t="shared" si="57"/>
        <v>1219-78699-44753</v>
      </c>
    </row>
    <row r="3672" spans="1:6" ht="14.25" customHeight="1" x14ac:dyDescent="0.25">
      <c r="A3672" s="15" t="s">
        <v>3812</v>
      </c>
      <c r="B3672" s="16">
        <v>1219</v>
      </c>
      <c r="C3672" s="16">
        <v>78699</v>
      </c>
      <c r="D3672" s="31">
        <v>44760</v>
      </c>
      <c r="E3672" s="16">
        <v>11</v>
      </c>
      <c r="F3672" s="15" t="str">
        <f t="shared" si="57"/>
        <v>1219-78699-44760</v>
      </c>
    </row>
    <row r="3673" spans="1:6" ht="14.25" customHeight="1" x14ac:dyDescent="0.25">
      <c r="A3673" s="15" t="s">
        <v>3813</v>
      </c>
      <c r="B3673" s="16">
        <v>1219</v>
      </c>
      <c r="C3673" s="16">
        <v>78699</v>
      </c>
      <c r="D3673" s="31">
        <v>44767</v>
      </c>
      <c r="E3673" s="16">
        <v>10</v>
      </c>
      <c r="F3673" s="15" t="str">
        <f t="shared" si="57"/>
        <v>1219-78699-44767</v>
      </c>
    </row>
    <row r="3674" spans="1:6" ht="14.25" customHeight="1" x14ac:dyDescent="0.25">
      <c r="A3674" s="15" t="s">
        <v>3814</v>
      </c>
      <c r="B3674" s="16">
        <v>1219</v>
      </c>
      <c r="C3674" s="16">
        <v>78699</v>
      </c>
      <c r="D3674" s="31">
        <v>44774</v>
      </c>
      <c r="E3674" s="16">
        <v>-2</v>
      </c>
      <c r="F3674" s="15" t="str">
        <f t="shared" si="57"/>
        <v>1219-78699-44774</v>
      </c>
    </row>
    <row r="3675" spans="1:6" ht="14.25" customHeight="1" x14ac:dyDescent="0.25">
      <c r="A3675" s="15" t="s">
        <v>3815</v>
      </c>
      <c r="B3675" s="16">
        <v>1219</v>
      </c>
      <c r="C3675" s="16">
        <v>78699</v>
      </c>
      <c r="D3675" s="31">
        <v>44781</v>
      </c>
      <c r="E3675" s="16">
        <v>2</v>
      </c>
      <c r="F3675" s="15" t="str">
        <f t="shared" si="57"/>
        <v>1219-78699-44781</v>
      </c>
    </row>
    <row r="3676" spans="1:6" ht="14.25" customHeight="1" x14ac:dyDescent="0.25">
      <c r="A3676" s="15" t="s">
        <v>3816</v>
      </c>
      <c r="B3676" s="16">
        <v>1219</v>
      </c>
      <c r="C3676" s="16">
        <v>78699</v>
      </c>
      <c r="D3676" s="31">
        <v>44788</v>
      </c>
      <c r="E3676" s="16">
        <v>8</v>
      </c>
      <c r="F3676" s="15" t="str">
        <f t="shared" si="57"/>
        <v>1219-78699-44788</v>
      </c>
    </row>
    <row r="3677" spans="1:6" ht="14.25" customHeight="1" x14ac:dyDescent="0.25">
      <c r="A3677" s="15" t="s">
        <v>3817</v>
      </c>
      <c r="B3677" s="16">
        <v>1219</v>
      </c>
      <c r="C3677" s="16">
        <v>78869</v>
      </c>
      <c r="D3677" s="31">
        <v>44739</v>
      </c>
      <c r="E3677" s="16">
        <v>14</v>
      </c>
      <c r="F3677" s="15" t="str">
        <f t="shared" si="57"/>
        <v>1219-78869-44739</v>
      </c>
    </row>
    <row r="3678" spans="1:6" ht="14.25" customHeight="1" x14ac:dyDescent="0.25">
      <c r="A3678" s="15" t="s">
        <v>3818</v>
      </c>
      <c r="B3678" s="16">
        <v>1219</v>
      </c>
      <c r="C3678" s="16">
        <v>78869</v>
      </c>
      <c r="D3678" s="31">
        <v>44746</v>
      </c>
      <c r="E3678" s="16">
        <v>14</v>
      </c>
      <c r="F3678" s="15" t="str">
        <f t="shared" si="57"/>
        <v>1219-78869-44746</v>
      </c>
    </row>
    <row r="3679" spans="1:6" ht="14.25" customHeight="1" x14ac:dyDescent="0.25">
      <c r="A3679" s="15" t="s">
        <v>3819</v>
      </c>
      <c r="B3679" s="16">
        <v>1219</v>
      </c>
      <c r="C3679" s="16">
        <v>78869</v>
      </c>
      <c r="D3679" s="31">
        <v>44753</v>
      </c>
      <c r="E3679" s="16">
        <v>39</v>
      </c>
      <c r="F3679" s="15" t="str">
        <f t="shared" si="57"/>
        <v>1219-78869-44753</v>
      </c>
    </row>
    <row r="3680" spans="1:6" ht="14.25" customHeight="1" x14ac:dyDescent="0.25">
      <c r="A3680" s="15" t="s">
        <v>3820</v>
      </c>
      <c r="B3680" s="16">
        <v>1219</v>
      </c>
      <c r="C3680" s="16">
        <v>78869</v>
      </c>
      <c r="D3680" s="31">
        <v>44760</v>
      </c>
      <c r="E3680" s="16">
        <v>40</v>
      </c>
      <c r="F3680" s="15" t="str">
        <f t="shared" si="57"/>
        <v>1219-78869-44760</v>
      </c>
    </row>
    <row r="3681" spans="1:6" ht="14.25" customHeight="1" x14ac:dyDescent="0.25">
      <c r="A3681" s="15" t="s">
        <v>3821</v>
      </c>
      <c r="B3681" s="16">
        <v>1219</v>
      </c>
      <c r="C3681" s="16">
        <v>78869</v>
      </c>
      <c r="D3681" s="31">
        <v>44767</v>
      </c>
      <c r="E3681" s="16">
        <v>13</v>
      </c>
      <c r="F3681" s="15" t="str">
        <f t="shared" si="57"/>
        <v>1219-78869-44767</v>
      </c>
    </row>
    <row r="3682" spans="1:6" ht="14.25" customHeight="1" x14ac:dyDescent="0.25">
      <c r="A3682" s="15" t="s">
        <v>3822</v>
      </c>
      <c r="B3682" s="16">
        <v>1219</v>
      </c>
      <c r="C3682" s="16">
        <v>78869</v>
      </c>
      <c r="D3682" s="31">
        <v>44774</v>
      </c>
      <c r="E3682" s="16">
        <v>50</v>
      </c>
      <c r="F3682" s="15" t="str">
        <f t="shared" si="57"/>
        <v>1219-78869-44774</v>
      </c>
    </row>
    <row r="3683" spans="1:6" ht="14.25" customHeight="1" x14ac:dyDescent="0.25">
      <c r="A3683" s="15" t="s">
        <v>3823</v>
      </c>
      <c r="B3683" s="16">
        <v>1219</v>
      </c>
      <c r="C3683" s="16">
        <v>78869</v>
      </c>
      <c r="D3683" s="31">
        <v>44781</v>
      </c>
      <c r="E3683" s="16">
        <v>44</v>
      </c>
      <c r="F3683" s="15" t="str">
        <f t="shared" si="57"/>
        <v>1219-78869-44781</v>
      </c>
    </row>
    <row r="3684" spans="1:6" ht="14.25" customHeight="1" x14ac:dyDescent="0.25">
      <c r="A3684" s="15" t="s">
        <v>3824</v>
      </c>
      <c r="B3684" s="16">
        <v>1219</v>
      </c>
      <c r="C3684" s="16">
        <v>78869</v>
      </c>
      <c r="D3684" s="31">
        <v>44788</v>
      </c>
      <c r="E3684" s="16">
        <v>33</v>
      </c>
      <c r="F3684" s="15" t="str">
        <f t="shared" si="57"/>
        <v>1219-78869-44788</v>
      </c>
    </row>
    <row r="3685" spans="1:6" ht="14.25" customHeight="1" x14ac:dyDescent="0.25">
      <c r="A3685" s="15" t="s">
        <v>3825</v>
      </c>
      <c r="B3685" s="16">
        <v>1219</v>
      </c>
      <c r="C3685" s="16">
        <v>115600</v>
      </c>
      <c r="D3685" s="31">
        <v>44739</v>
      </c>
      <c r="E3685" s="16">
        <v>3</v>
      </c>
      <c r="F3685" s="15" t="str">
        <f t="shared" si="57"/>
        <v>1219-115600-44739</v>
      </c>
    </row>
    <row r="3686" spans="1:6" ht="14.25" customHeight="1" x14ac:dyDescent="0.25">
      <c r="A3686" s="15" t="s">
        <v>3826</v>
      </c>
      <c r="B3686" s="16">
        <v>1219</v>
      </c>
      <c r="C3686" s="16">
        <v>115600</v>
      </c>
      <c r="D3686" s="31">
        <v>44746</v>
      </c>
      <c r="E3686" s="16">
        <v>3</v>
      </c>
      <c r="F3686" s="15" t="str">
        <f t="shared" si="57"/>
        <v>1219-115600-44746</v>
      </c>
    </row>
    <row r="3687" spans="1:6" ht="14.25" customHeight="1" x14ac:dyDescent="0.25">
      <c r="A3687" s="15" t="s">
        <v>3827</v>
      </c>
      <c r="B3687" s="16">
        <v>1219</v>
      </c>
      <c r="C3687" s="16">
        <v>115600</v>
      </c>
      <c r="D3687" s="31">
        <v>44753</v>
      </c>
      <c r="E3687" s="16">
        <v>3</v>
      </c>
      <c r="F3687" s="15" t="str">
        <f t="shared" si="57"/>
        <v>1219-115600-44753</v>
      </c>
    </row>
    <row r="3688" spans="1:6" ht="14.25" customHeight="1" x14ac:dyDescent="0.25">
      <c r="A3688" s="15" t="s">
        <v>3828</v>
      </c>
      <c r="B3688" s="16">
        <v>1219</v>
      </c>
      <c r="C3688" s="16">
        <v>115600</v>
      </c>
      <c r="D3688" s="31">
        <v>44760</v>
      </c>
      <c r="E3688" s="16">
        <v>3</v>
      </c>
      <c r="F3688" s="15" t="str">
        <f t="shared" si="57"/>
        <v>1219-115600-44760</v>
      </c>
    </row>
    <row r="3689" spans="1:6" ht="14.25" customHeight="1" x14ac:dyDescent="0.25">
      <c r="A3689" s="15" t="s">
        <v>3829</v>
      </c>
      <c r="B3689" s="16">
        <v>1219</v>
      </c>
      <c r="C3689" s="16">
        <v>115600</v>
      </c>
      <c r="D3689" s="31">
        <v>44767</v>
      </c>
      <c r="E3689" s="16">
        <v>3</v>
      </c>
      <c r="F3689" s="15" t="str">
        <f t="shared" si="57"/>
        <v>1219-115600-44767</v>
      </c>
    </row>
    <row r="3690" spans="1:6" ht="14.25" customHeight="1" x14ac:dyDescent="0.25">
      <c r="A3690" s="15" t="s">
        <v>3830</v>
      </c>
      <c r="B3690" s="16">
        <v>1219</v>
      </c>
      <c r="C3690" s="16">
        <v>115600</v>
      </c>
      <c r="D3690" s="31">
        <v>44774</v>
      </c>
      <c r="E3690" s="16">
        <v>3</v>
      </c>
      <c r="F3690" s="15" t="str">
        <f t="shared" si="57"/>
        <v>1219-115600-44774</v>
      </c>
    </row>
    <row r="3691" spans="1:6" ht="14.25" customHeight="1" x14ac:dyDescent="0.25">
      <c r="A3691" s="15" t="s">
        <v>3831</v>
      </c>
      <c r="B3691" s="16">
        <v>1219</v>
      </c>
      <c r="C3691" s="16">
        <v>115600</v>
      </c>
      <c r="D3691" s="31">
        <v>44781</v>
      </c>
      <c r="E3691" s="16">
        <v>3</v>
      </c>
      <c r="F3691" s="15" t="str">
        <f t="shared" si="57"/>
        <v>1219-115600-44781</v>
      </c>
    </row>
    <row r="3692" spans="1:6" ht="14.25" customHeight="1" x14ac:dyDescent="0.25">
      <c r="A3692" s="15" t="s">
        <v>3832</v>
      </c>
      <c r="B3692" s="16">
        <v>1219</v>
      </c>
      <c r="C3692" s="16">
        <v>115600</v>
      </c>
      <c r="D3692" s="31">
        <v>44788</v>
      </c>
      <c r="E3692" s="16">
        <v>3</v>
      </c>
      <c r="F3692" s="15" t="str">
        <f t="shared" si="57"/>
        <v>1219-115600-44788</v>
      </c>
    </row>
    <row r="3693" spans="1:6" ht="14.25" customHeight="1" x14ac:dyDescent="0.25">
      <c r="A3693" s="15" t="s">
        <v>3833</v>
      </c>
      <c r="B3693" s="16">
        <v>1219</v>
      </c>
      <c r="C3693" s="16">
        <v>129208</v>
      </c>
      <c r="D3693" s="31">
        <v>44739</v>
      </c>
      <c r="E3693" s="16">
        <v>3</v>
      </c>
      <c r="F3693" s="15" t="str">
        <f t="shared" si="57"/>
        <v>1219-129208-44739</v>
      </c>
    </row>
    <row r="3694" spans="1:6" ht="14.25" customHeight="1" x14ac:dyDescent="0.25">
      <c r="A3694" s="15" t="s">
        <v>3834</v>
      </c>
      <c r="B3694" s="16">
        <v>1219</v>
      </c>
      <c r="C3694" s="16">
        <v>129208</v>
      </c>
      <c r="D3694" s="31">
        <v>44746</v>
      </c>
      <c r="E3694" s="16">
        <v>3</v>
      </c>
      <c r="F3694" s="15" t="str">
        <f t="shared" si="57"/>
        <v>1219-129208-44746</v>
      </c>
    </row>
    <row r="3695" spans="1:6" ht="14.25" customHeight="1" x14ac:dyDescent="0.25">
      <c r="A3695" s="15" t="s">
        <v>3835</v>
      </c>
      <c r="B3695" s="16">
        <v>1219</v>
      </c>
      <c r="C3695" s="16">
        <v>129208</v>
      </c>
      <c r="D3695" s="31">
        <v>44753</v>
      </c>
      <c r="E3695" s="16">
        <v>3</v>
      </c>
      <c r="F3695" s="15" t="str">
        <f t="shared" si="57"/>
        <v>1219-129208-44753</v>
      </c>
    </row>
    <row r="3696" spans="1:6" ht="14.25" customHeight="1" x14ac:dyDescent="0.25">
      <c r="A3696" s="15" t="s">
        <v>3836</v>
      </c>
      <c r="B3696" s="16">
        <v>1219</v>
      </c>
      <c r="C3696" s="16">
        <v>129208</v>
      </c>
      <c r="D3696" s="31">
        <v>44760</v>
      </c>
      <c r="E3696" s="16">
        <v>3</v>
      </c>
      <c r="F3696" s="15" t="str">
        <f t="shared" si="57"/>
        <v>1219-129208-44760</v>
      </c>
    </row>
    <row r="3697" spans="1:6" ht="14.25" customHeight="1" x14ac:dyDescent="0.25">
      <c r="A3697" s="15" t="s">
        <v>3837</v>
      </c>
      <c r="B3697" s="16">
        <v>1219</v>
      </c>
      <c r="C3697" s="16">
        <v>129208</v>
      </c>
      <c r="D3697" s="31">
        <v>44767</v>
      </c>
      <c r="E3697" s="16">
        <v>3</v>
      </c>
      <c r="F3697" s="15" t="str">
        <f t="shared" si="57"/>
        <v>1219-129208-44767</v>
      </c>
    </row>
    <row r="3698" spans="1:6" ht="14.25" customHeight="1" x14ac:dyDescent="0.25">
      <c r="A3698" s="15" t="s">
        <v>3838</v>
      </c>
      <c r="B3698" s="16">
        <v>1219</v>
      </c>
      <c r="C3698" s="16">
        <v>129208</v>
      </c>
      <c r="D3698" s="31">
        <v>44774</v>
      </c>
      <c r="E3698" s="16">
        <v>3</v>
      </c>
      <c r="F3698" s="15" t="str">
        <f t="shared" si="57"/>
        <v>1219-129208-44774</v>
      </c>
    </row>
    <row r="3699" spans="1:6" ht="14.25" customHeight="1" x14ac:dyDescent="0.25">
      <c r="A3699" s="15" t="s">
        <v>3839</v>
      </c>
      <c r="B3699" s="16">
        <v>1219</v>
      </c>
      <c r="C3699" s="16">
        <v>129208</v>
      </c>
      <c r="D3699" s="31">
        <v>44781</v>
      </c>
      <c r="E3699" s="16">
        <v>3</v>
      </c>
      <c r="F3699" s="15" t="str">
        <f t="shared" si="57"/>
        <v>1219-129208-44781</v>
      </c>
    </row>
    <row r="3700" spans="1:6" ht="14.25" customHeight="1" x14ac:dyDescent="0.25">
      <c r="A3700" s="15" t="s">
        <v>3840</v>
      </c>
      <c r="B3700" s="16">
        <v>1219</v>
      </c>
      <c r="C3700" s="16">
        <v>129208</v>
      </c>
      <c r="D3700" s="31">
        <v>44788</v>
      </c>
      <c r="E3700" s="16">
        <v>3</v>
      </c>
      <c r="F3700" s="15" t="str">
        <f t="shared" si="57"/>
        <v>1219-129208-44788</v>
      </c>
    </row>
    <row r="3701" spans="1:6" ht="14.25" customHeight="1" x14ac:dyDescent="0.25">
      <c r="A3701" s="15" t="s">
        <v>3841</v>
      </c>
      <c r="B3701" s="16">
        <v>1219</v>
      </c>
      <c r="C3701" s="16">
        <v>141626</v>
      </c>
      <c r="D3701" s="31">
        <v>44739</v>
      </c>
      <c r="E3701" s="16">
        <v>133</v>
      </c>
      <c r="F3701" s="15" t="str">
        <f t="shared" si="57"/>
        <v>1219-141626-44739</v>
      </c>
    </row>
    <row r="3702" spans="1:6" ht="14.25" customHeight="1" x14ac:dyDescent="0.25">
      <c r="A3702" s="15" t="s">
        <v>3842</v>
      </c>
      <c r="B3702" s="16">
        <v>1219</v>
      </c>
      <c r="C3702" s="16">
        <v>141626</v>
      </c>
      <c r="D3702" s="31">
        <v>44746</v>
      </c>
      <c r="E3702" s="16">
        <v>62</v>
      </c>
      <c r="F3702" s="15" t="str">
        <f t="shared" si="57"/>
        <v>1219-141626-44746</v>
      </c>
    </row>
    <row r="3703" spans="1:6" ht="14.25" customHeight="1" x14ac:dyDescent="0.25">
      <c r="A3703" s="15" t="s">
        <v>3843</v>
      </c>
      <c r="B3703" s="16">
        <v>1219</v>
      </c>
      <c r="C3703" s="16">
        <v>141626</v>
      </c>
      <c r="D3703" s="31">
        <v>44753</v>
      </c>
      <c r="E3703" s="16">
        <v>91</v>
      </c>
      <c r="F3703" s="15" t="str">
        <f t="shared" si="57"/>
        <v>1219-141626-44753</v>
      </c>
    </row>
    <row r="3704" spans="1:6" ht="14.25" customHeight="1" x14ac:dyDescent="0.25">
      <c r="A3704" s="15" t="s">
        <v>3844</v>
      </c>
      <c r="B3704" s="16">
        <v>1219</v>
      </c>
      <c r="C3704" s="16">
        <v>141626</v>
      </c>
      <c r="D3704" s="31">
        <v>44760</v>
      </c>
      <c r="E3704" s="16">
        <v>63</v>
      </c>
      <c r="F3704" s="15" t="str">
        <f t="shared" si="57"/>
        <v>1219-141626-44760</v>
      </c>
    </row>
    <row r="3705" spans="1:6" ht="14.25" customHeight="1" x14ac:dyDescent="0.25">
      <c r="A3705" s="15" t="s">
        <v>3845</v>
      </c>
      <c r="B3705" s="16">
        <v>1219</v>
      </c>
      <c r="C3705" s="16">
        <v>141626</v>
      </c>
      <c r="D3705" s="31">
        <v>44767</v>
      </c>
      <c r="E3705" s="16">
        <v>124</v>
      </c>
      <c r="F3705" s="15" t="str">
        <f t="shared" si="57"/>
        <v>1219-141626-44767</v>
      </c>
    </row>
    <row r="3706" spans="1:6" ht="14.25" customHeight="1" x14ac:dyDescent="0.25">
      <c r="A3706" s="15" t="s">
        <v>3846</v>
      </c>
      <c r="B3706" s="16">
        <v>1219</v>
      </c>
      <c r="C3706" s="16">
        <v>141626</v>
      </c>
      <c r="D3706" s="31">
        <v>44774</v>
      </c>
      <c r="E3706" s="16">
        <v>63</v>
      </c>
      <c r="F3706" s="15" t="str">
        <f t="shared" si="57"/>
        <v>1219-141626-44774</v>
      </c>
    </row>
    <row r="3707" spans="1:6" ht="14.25" customHeight="1" x14ac:dyDescent="0.25">
      <c r="A3707" s="15" t="s">
        <v>3847</v>
      </c>
      <c r="B3707" s="16">
        <v>1219</v>
      </c>
      <c r="C3707" s="16">
        <v>141626</v>
      </c>
      <c r="D3707" s="31">
        <v>44781</v>
      </c>
      <c r="E3707" s="16">
        <v>170</v>
      </c>
      <c r="F3707" s="15" t="str">
        <f t="shared" si="57"/>
        <v>1219-141626-44781</v>
      </c>
    </row>
    <row r="3708" spans="1:6" ht="14.25" customHeight="1" x14ac:dyDescent="0.25">
      <c r="A3708" s="15" t="s">
        <v>3848</v>
      </c>
      <c r="B3708" s="16">
        <v>1219</v>
      </c>
      <c r="C3708" s="16">
        <v>141626</v>
      </c>
      <c r="D3708" s="31">
        <v>44788</v>
      </c>
      <c r="E3708" s="16">
        <v>139</v>
      </c>
      <c r="F3708" s="15" t="str">
        <f t="shared" si="57"/>
        <v>1219-141626-44788</v>
      </c>
    </row>
    <row r="3709" spans="1:6" ht="14.25" customHeight="1" x14ac:dyDescent="0.25">
      <c r="A3709" s="15" t="s">
        <v>3849</v>
      </c>
      <c r="B3709" s="16">
        <v>1219</v>
      </c>
      <c r="C3709" s="16">
        <v>141791</v>
      </c>
      <c r="D3709" s="31">
        <v>44739</v>
      </c>
      <c r="E3709" s="16">
        <v>9</v>
      </c>
      <c r="F3709" s="15" t="str">
        <f t="shared" si="57"/>
        <v>1219-141791-44739</v>
      </c>
    </row>
    <row r="3710" spans="1:6" ht="14.25" customHeight="1" x14ac:dyDescent="0.25">
      <c r="A3710" s="15" t="s">
        <v>3850</v>
      </c>
      <c r="B3710" s="16">
        <v>1219</v>
      </c>
      <c r="C3710" s="16">
        <v>141791</v>
      </c>
      <c r="D3710" s="31">
        <v>44746</v>
      </c>
      <c r="E3710" s="16">
        <v>15</v>
      </c>
      <c r="F3710" s="15" t="str">
        <f t="shared" si="57"/>
        <v>1219-141791-44746</v>
      </c>
    </row>
    <row r="3711" spans="1:6" ht="14.25" customHeight="1" x14ac:dyDescent="0.25">
      <c r="A3711" s="15" t="s">
        <v>3851</v>
      </c>
      <c r="B3711" s="16">
        <v>1219</v>
      </c>
      <c r="C3711" s="16">
        <v>141791</v>
      </c>
      <c r="D3711" s="31">
        <v>44753</v>
      </c>
      <c r="E3711" s="16">
        <v>17</v>
      </c>
      <c r="F3711" s="15" t="str">
        <f t="shared" si="57"/>
        <v>1219-141791-44753</v>
      </c>
    </row>
    <row r="3712" spans="1:6" ht="14.25" customHeight="1" x14ac:dyDescent="0.25">
      <c r="A3712" s="15" t="s">
        <v>3852</v>
      </c>
      <c r="B3712" s="16">
        <v>1219</v>
      </c>
      <c r="C3712" s="16">
        <v>141791</v>
      </c>
      <c r="D3712" s="31">
        <v>44760</v>
      </c>
      <c r="E3712" s="16">
        <v>6</v>
      </c>
      <c r="F3712" s="15" t="str">
        <f t="shared" si="57"/>
        <v>1219-141791-44760</v>
      </c>
    </row>
    <row r="3713" spans="1:6" ht="14.25" customHeight="1" x14ac:dyDescent="0.25">
      <c r="A3713" s="15" t="s">
        <v>3853</v>
      </c>
      <c r="B3713" s="16">
        <v>1219</v>
      </c>
      <c r="C3713" s="16">
        <v>141791</v>
      </c>
      <c r="D3713" s="31">
        <v>44767</v>
      </c>
      <c r="E3713" s="16">
        <v>6</v>
      </c>
      <c r="F3713" s="15" t="str">
        <f t="shared" si="57"/>
        <v>1219-141791-44767</v>
      </c>
    </row>
    <row r="3714" spans="1:6" ht="14.25" customHeight="1" x14ac:dyDescent="0.25">
      <c r="A3714" s="15" t="s">
        <v>3854</v>
      </c>
      <c r="B3714" s="16">
        <v>1219</v>
      </c>
      <c r="C3714" s="16">
        <v>141791</v>
      </c>
      <c r="D3714" s="31">
        <v>44774</v>
      </c>
      <c r="E3714" s="16">
        <v>20</v>
      </c>
      <c r="F3714" s="15" t="str">
        <f t="shared" si="57"/>
        <v>1219-141791-44774</v>
      </c>
    </row>
    <row r="3715" spans="1:6" ht="14.25" customHeight="1" x14ac:dyDescent="0.25">
      <c r="A3715" s="15" t="s">
        <v>3855</v>
      </c>
      <c r="B3715" s="16">
        <v>1219</v>
      </c>
      <c r="C3715" s="16">
        <v>141791</v>
      </c>
      <c r="D3715" s="31">
        <v>44781</v>
      </c>
      <c r="E3715" s="16">
        <v>20</v>
      </c>
      <c r="F3715" s="15" t="str">
        <f t="shared" ref="F3715:F3778" si="58">B3715&amp;"-"&amp;C3715&amp;"-"&amp;INT(D3715)</f>
        <v>1219-141791-44781</v>
      </c>
    </row>
    <row r="3716" spans="1:6" ht="14.25" customHeight="1" x14ac:dyDescent="0.25">
      <c r="A3716" s="15" t="s">
        <v>3856</v>
      </c>
      <c r="B3716" s="16">
        <v>1219</v>
      </c>
      <c r="C3716" s="16">
        <v>141791</v>
      </c>
      <c r="D3716" s="31">
        <v>44788</v>
      </c>
      <c r="E3716" s="16">
        <v>18</v>
      </c>
      <c r="F3716" s="15" t="str">
        <f t="shared" si="58"/>
        <v>1219-141791-44788</v>
      </c>
    </row>
    <row r="3717" spans="1:6" ht="14.25" customHeight="1" x14ac:dyDescent="0.25">
      <c r="A3717" s="15" t="s">
        <v>3857</v>
      </c>
      <c r="B3717" s="16">
        <v>1219</v>
      </c>
      <c r="C3717" s="16">
        <v>141846</v>
      </c>
      <c r="D3717" s="31">
        <v>44739</v>
      </c>
      <c r="E3717" s="16">
        <v>3</v>
      </c>
      <c r="F3717" s="15" t="str">
        <f t="shared" si="58"/>
        <v>1219-141846-44739</v>
      </c>
    </row>
    <row r="3718" spans="1:6" ht="14.25" customHeight="1" x14ac:dyDescent="0.25">
      <c r="A3718" s="15" t="s">
        <v>3858</v>
      </c>
      <c r="B3718" s="16">
        <v>1219</v>
      </c>
      <c r="C3718" s="16">
        <v>141846</v>
      </c>
      <c r="D3718" s="31">
        <v>44746</v>
      </c>
      <c r="E3718" s="16">
        <v>3</v>
      </c>
      <c r="F3718" s="15" t="str">
        <f t="shared" si="58"/>
        <v>1219-141846-44746</v>
      </c>
    </row>
    <row r="3719" spans="1:6" ht="14.25" customHeight="1" x14ac:dyDescent="0.25">
      <c r="A3719" s="15" t="s">
        <v>3859</v>
      </c>
      <c r="B3719" s="16">
        <v>1219</v>
      </c>
      <c r="C3719" s="16">
        <v>141846</v>
      </c>
      <c r="D3719" s="31">
        <v>44753</v>
      </c>
      <c r="E3719" s="16">
        <v>3</v>
      </c>
      <c r="F3719" s="15" t="str">
        <f t="shared" si="58"/>
        <v>1219-141846-44753</v>
      </c>
    </row>
    <row r="3720" spans="1:6" ht="14.25" customHeight="1" x14ac:dyDescent="0.25">
      <c r="A3720" s="15" t="s">
        <v>3860</v>
      </c>
      <c r="B3720" s="16">
        <v>1219</v>
      </c>
      <c r="C3720" s="16">
        <v>141846</v>
      </c>
      <c r="D3720" s="31">
        <v>44760</v>
      </c>
      <c r="E3720" s="16">
        <v>3</v>
      </c>
      <c r="F3720" s="15" t="str">
        <f t="shared" si="58"/>
        <v>1219-141846-44760</v>
      </c>
    </row>
    <row r="3721" spans="1:6" ht="14.25" customHeight="1" x14ac:dyDescent="0.25">
      <c r="A3721" s="15" t="s">
        <v>3861</v>
      </c>
      <c r="B3721" s="16">
        <v>1219</v>
      </c>
      <c r="C3721" s="16">
        <v>141846</v>
      </c>
      <c r="D3721" s="31">
        <v>44767</v>
      </c>
      <c r="E3721" s="16">
        <v>3</v>
      </c>
      <c r="F3721" s="15" t="str">
        <f t="shared" si="58"/>
        <v>1219-141846-44767</v>
      </c>
    </row>
    <row r="3722" spans="1:6" ht="14.25" customHeight="1" x14ac:dyDescent="0.25">
      <c r="A3722" s="15" t="s">
        <v>3862</v>
      </c>
      <c r="B3722" s="16">
        <v>1219</v>
      </c>
      <c r="C3722" s="16">
        <v>141846</v>
      </c>
      <c r="D3722" s="31">
        <v>44774</v>
      </c>
      <c r="E3722" s="16">
        <v>3</v>
      </c>
      <c r="F3722" s="15" t="str">
        <f t="shared" si="58"/>
        <v>1219-141846-44774</v>
      </c>
    </row>
    <row r="3723" spans="1:6" ht="14.25" customHeight="1" x14ac:dyDescent="0.25">
      <c r="A3723" s="15" t="s">
        <v>3863</v>
      </c>
      <c r="B3723" s="16">
        <v>1219</v>
      </c>
      <c r="C3723" s="16">
        <v>141846</v>
      </c>
      <c r="D3723" s="31">
        <v>44781</v>
      </c>
      <c r="E3723" s="16">
        <v>3</v>
      </c>
      <c r="F3723" s="15" t="str">
        <f t="shared" si="58"/>
        <v>1219-141846-44781</v>
      </c>
    </row>
    <row r="3724" spans="1:6" ht="14.25" customHeight="1" x14ac:dyDescent="0.25">
      <c r="A3724" s="15" t="s">
        <v>3864</v>
      </c>
      <c r="B3724" s="16">
        <v>1219</v>
      </c>
      <c r="C3724" s="16">
        <v>141846</v>
      </c>
      <c r="D3724" s="31">
        <v>44788</v>
      </c>
      <c r="E3724" s="16">
        <v>3</v>
      </c>
      <c r="F3724" s="15" t="str">
        <f t="shared" si="58"/>
        <v>1219-141846-44788</v>
      </c>
    </row>
    <row r="3725" spans="1:6" ht="14.25" customHeight="1" x14ac:dyDescent="0.25">
      <c r="A3725" s="15" t="s">
        <v>3865</v>
      </c>
      <c r="B3725" s="16">
        <v>1219</v>
      </c>
      <c r="C3725" s="16">
        <v>141967</v>
      </c>
      <c r="D3725" s="31">
        <v>44739</v>
      </c>
      <c r="E3725" s="16">
        <v>28</v>
      </c>
      <c r="F3725" s="15" t="str">
        <f t="shared" si="58"/>
        <v>1219-141967-44739</v>
      </c>
    </row>
    <row r="3726" spans="1:6" ht="14.25" customHeight="1" x14ac:dyDescent="0.25">
      <c r="A3726" s="15" t="s">
        <v>3866</v>
      </c>
      <c r="B3726" s="16">
        <v>1219</v>
      </c>
      <c r="C3726" s="16">
        <v>141967</v>
      </c>
      <c r="D3726" s="31">
        <v>44746</v>
      </c>
      <c r="E3726" s="16">
        <v>6</v>
      </c>
      <c r="F3726" s="15" t="str">
        <f t="shared" si="58"/>
        <v>1219-141967-44746</v>
      </c>
    </row>
    <row r="3727" spans="1:6" ht="14.25" customHeight="1" x14ac:dyDescent="0.25">
      <c r="A3727" s="15" t="s">
        <v>3867</v>
      </c>
      <c r="B3727" s="16">
        <v>1219</v>
      </c>
      <c r="C3727" s="16">
        <v>141967</v>
      </c>
      <c r="D3727" s="31">
        <v>44753</v>
      </c>
      <c r="E3727" s="16">
        <v>25</v>
      </c>
      <c r="F3727" s="15" t="str">
        <f t="shared" si="58"/>
        <v>1219-141967-44753</v>
      </c>
    </row>
    <row r="3728" spans="1:6" ht="14.25" customHeight="1" x14ac:dyDescent="0.25">
      <c r="A3728" s="15" t="s">
        <v>3868</v>
      </c>
      <c r="B3728" s="16">
        <v>1219</v>
      </c>
      <c r="C3728" s="16">
        <v>141967</v>
      </c>
      <c r="D3728" s="31">
        <v>44760</v>
      </c>
      <c r="E3728" s="16">
        <v>27</v>
      </c>
      <c r="F3728" s="15" t="str">
        <f t="shared" si="58"/>
        <v>1219-141967-44760</v>
      </c>
    </row>
    <row r="3729" spans="1:6" ht="14.25" customHeight="1" x14ac:dyDescent="0.25">
      <c r="A3729" s="15" t="s">
        <v>3869</v>
      </c>
      <c r="B3729" s="16">
        <v>1219</v>
      </c>
      <c r="C3729" s="16">
        <v>141967</v>
      </c>
      <c r="D3729" s="31">
        <v>44767</v>
      </c>
      <c r="E3729" s="16">
        <v>23</v>
      </c>
      <c r="F3729" s="15" t="str">
        <f t="shared" si="58"/>
        <v>1219-141967-44767</v>
      </c>
    </row>
    <row r="3730" spans="1:6" ht="14.25" customHeight="1" x14ac:dyDescent="0.25">
      <c r="A3730" s="15" t="s">
        <v>3870</v>
      </c>
      <c r="B3730" s="16">
        <v>1219</v>
      </c>
      <c r="C3730" s="16">
        <v>141967</v>
      </c>
      <c r="D3730" s="31">
        <v>44774</v>
      </c>
      <c r="E3730" s="16">
        <v>5</v>
      </c>
      <c r="F3730" s="15" t="str">
        <f t="shared" si="58"/>
        <v>1219-141967-44774</v>
      </c>
    </row>
    <row r="3731" spans="1:6" ht="14.25" customHeight="1" x14ac:dyDescent="0.25">
      <c r="A3731" s="15" t="s">
        <v>3871</v>
      </c>
      <c r="B3731" s="16">
        <v>1219</v>
      </c>
      <c r="C3731" s="16">
        <v>141967</v>
      </c>
      <c r="D3731" s="31">
        <v>44781</v>
      </c>
      <c r="E3731" s="16">
        <v>21</v>
      </c>
      <c r="F3731" s="15" t="str">
        <f t="shared" si="58"/>
        <v>1219-141967-44781</v>
      </c>
    </row>
    <row r="3732" spans="1:6" ht="14.25" customHeight="1" x14ac:dyDescent="0.25">
      <c r="A3732" s="15" t="s">
        <v>3872</v>
      </c>
      <c r="B3732" s="16">
        <v>1219</v>
      </c>
      <c r="C3732" s="16">
        <v>141967</v>
      </c>
      <c r="D3732" s="31">
        <v>44788</v>
      </c>
      <c r="E3732" s="16">
        <v>1</v>
      </c>
      <c r="F3732" s="15" t="str">
        <f t="shared" si="58"/>
        <v>1219-141967-44788</v>
      </c>
    </row>
    <row r="3733" spans="1:6" ht="14.25" customHeight="1" x14ac:dyDescent="0.25">
      <c r="A3733" s="15" t="s">
        <v>3873</v>
      </c>
      <c r="B3733" s="16">
        <v>1219</v>
      </c>
      <c r="C3733" s="16">
        <v>149729</v>
      </c>
      <c r="D3733" s="31">
        <v>44739</v>
      </c>
      <c r="E3733" s="16">
        <v>30</v>
      </c>
      <c r="F3733" s="15" t="str">
        <f t="shared" si="58"/>
        <v>1219-149729-44739</v>
      </c>
    </row>
    <row r="3734" spans="1:6" ht="14.25" customHeight="1" x14ac:dyDescent="0.25">
      <c r="A3734" s="15" t="s">
        <v>3874</v>
      </c>
      <c r="B3734" s="16">
        <v>1219</v>
      </c>
      <c r="C3734" s="16">
        <v>149729</v>
      </c>
      <c r="D3734" s="31">
        <v>44746</v>
      </c>
      <c r="E3734" s="16">
        <v>20</v>
      </c>
      <c r="F3734" s="15" t="str">
        <f t="shared" si="58"/>
        <v>1219-149729-44746</v>
      </c>
    </row>
    <row r="3735" spans="1:6" ht="14.25" customHeight="1" x14ac:dyDescent="0.25">
      <c r="A3735" s="15" t="s">
        <v>3875</v>
      </c>
      <c r="B3735" s="16">
        <v>1219</v>
      </c>
      <c r="C3735" s="16">
        <v>149729</v>
      </c>
      <c r="D3735" s="31">
        <v>44753</v>
      </c>
      <c r="E3735" s="16">
        <v>24</v>
      </c>
      <c r="F3735" s="15" t="str">
        <f t="shared" si="58"/>
        <v>1219-149729-44753</v>
      </c>
    </row>
    <row r="3736" spans="1:6" ht="14.25" customHeight="1" x14ac:dyDescent="0.25">
      <c r="A3736" s="15" t="s">
        <v>3876</v>
      </c>
      <c r="B3736" s="16">
        <v>1219</v>
      </c>
      <c r="C3736" s="16">
        <v>149729</v>
      </c>
      <c r="D3736" s="31">
        <v>44760</v>
      </c>
      <c r="E3736" s="16">
        <v>7</v>
      </c>
      <c r="F3736" s="15" t="str">
        <f t="shared" si="58"/>
        <v>1219-149729-44760</v>
      </c>
    </row>
    <row r="3737" spans="1:6" ht="14.25" customHeight="1" x14ac:dyDescent="0.25">
      <c r="A3737" s="15" t="s">
        <v>3877</v>
      </c>
      <c r="B3737" s="16">
        <v>1219</v>
      </c>
      <c r="C3737" s="16">
        <v>149729</v>
      </c>
      <c r="D3737" s="31">
        <v>44767</v>
      </c>
      <c r="E3737" s="16">
        <v>28</v>
      </c>
      <c r="F3737" s="15" t="str">
        <f t="shared" si="58"/>
        <v>1219-149729-44767</v>
      </c>
    </row>
    <row r="3738" spans="1:6" ht="14.25" customHeight="1" x14ac:dyDescent="0.25">
      <c r="A3738" s="15" t="s">
        <v>3878</v>
      </c>
      <c r="B3738" s="16">
        <v>1219</v>
      </c>
      <c r="C3738" s="16">
        <v>149729</v>
      </c>
      <c r="D3738" s="31">
        <v>44774</v>
      </c>
      <c r="E3738" s="16">
        <v>26</v>
      </c>
      <c r="F3738" s="15" t="str">
        <f t="shared" si="58"/>
        <v>1219-149729-44774</v>
      </c>
    </row>
    <row r="3739" spans="1:6" ht="14.25" customHeight="1" x14ac:dyDescent="0.25">
      <c r="A3739" s="15" t="s">
        <v>3879</v>
      </c>
      <c r="B3739" s="16">
        <v>1219</v>
      </c>
      <c r="C3739" s="16">
        <v>149729</v>
      </c>
      <c r="D3739" s="31">
        <v>44781</v>
      </c>
      <c r="E3739" s="16">
        <v>26</v>
      </c>
      <c r="F3739" s="15" t="str">
        <f t="shared" si="58"/>
        <v>1219-149729-44781</v>
      </c>
    </row>
    <row r="3740" spans="1:6" ht="14.25" customHeight="1" x14ac:dyDescent="0.25">
      <c r="A3740" s="15" t="s">
        <v>3880</v>
      </c>
      <c r="B3740" s="16">
        <v>1219</v>
      </c>
      <c r="C3740" s="16">
        <v>149729</v>
      </c>
      <c r="D3740" s="31">
        <v>44788</v>
      </c>
      <c r="E3740" s="16">
        <v>32</v>
      </c>
      <c r="F3740" s="15" t="str">
        <f t="shared" si="58"/>
        <v>1219-149729-44788</v>
      </c>
    </row>
    <row r="3741" spans="1:6" ht="14.25" customHeight="1" x14ac:dyDescent="0.25">
      <c r="A3741" s="15" t="s">
        <v>3881</v>
      </c>
      <c r="B3741" s="16">
        <v>1219</v>
      </c>
      <c r="C3741" s="16">
        <v>149779</v>
      </c>
      <c r="D3741" s="31">
        <v>44739</v>
      </c>
      <c r="E3741" s="16">
        <v>3</v>
      </c>
      <c r="F3741" s="15" t="str">
        <f t="shared" si="58"/>
        <v>1219-149779-44739</v>
      </c>
    </row>
    <row r="3742" spans="1:6" ht="14.25" customHeight="1" x14ac:dyDescent="0.25">
      <c r="A3742" s="15" t="s">
        <v>3882</v>
      </c>
      <c r="B3742" s="16">
        <v>1219</v>
      </c>
      <c r="C3742" s="16">
        <v>149779</v>
      </c>
      <c r="D3742" s="31">
        <v>44746</v>
      </c>
      <c r="E3742" s="16">
        <v>3</v>
      </c>
      <c r="F3742" s="15" t="str">
        <f t="shared" si="58"/>
        <v>1219-149779-44746</v>
      </c>
    </row>
    <row r="3743" spans="1:6" ht="14.25" customHeight="1" x14ac:dyDescent="0.25">
      <c r="A3743" s="15" t="s">
        <v>3883</v>
      </c>
      <c r="B3743" s="16">
        <v>1219</v>
      </c>
      <c r="C3743" s="16">
        <v>149779</v>
      </c>
      <c r="D3743" s="31">
        <v>44753</v>
      </c>
      <c r="E3743" s="16">
        <v>3</v>
      </c>
      <c r="F3743" s="15" t="str">
        <f t="shared" si="58"/>
        <v>1219-149779-44753</v>
      </c>
    </row>
    <row r="3744" spans="1:6" ht="14.25" customHeight="1" x14ac:dyDescent="0.25">
      <c r="A3744" s="15" t="s">
        <v>3884</v>
      </c>
      <c r="B3744" s="16">
        <v>1219</v>
      </c>
      <c r="C3744" s="16">
        <v>149779</v>
      </c>
      <c r="D3744" s="31">
        <v>44760</v>
      </c>
      <c r="E3744" s="16">
        <v>3</v>
      </c>
      <c r="F3744" s="15" t="str">
        <f t="shared" si="58"/>
        <v>1219-149779-44760</v>
      </c>
    </row>
    <row r="3745" spans="1:6" ht="14.25" customHeight="1" x14ac:dyDescent="0.25">
      <c r="A3745" s="15" t="s">
        <v>3885</v>
      </c>
      <c r="B3745" s="16">
        <v>1219</v>
      </c>
      <c r="C3745" s="16">
        <v>149779</v>
      </c>
      <c r="D3745" s="31">
        <v>44767</v>
      </c>
      <c r="E3745" s="16">
        <v>3</v>
      </c>
      <c r="F3745" s="15" t="str">
        <f t="shared" si="58"/>
        <v>1219-149779-44767</v>
      </c>
    </row>
    <row r="3746" spans="1:6" ht="14.25" customHeight="1" x14ac:dyDescent="0.25">
      <c r="A3746" s="15" t="s">
        <v>3886</v>
      </c>
      <c r="B3746" s="16">
        <v>1219</v>
      </c>
      <c r="C3746" s="16">
        <v>149779</v>
      </c>
      <c r="D3746" s="31">
        <v>44774</v>
      </c>
      <c r="E3746" s="16">
        <v>3</v>
      </c>
      <c r="F3746" s="15" t="str">
        <f t="shared" si="58"/>
        <v>1219-149779-44774</v>
      </c>
    </row>
    <row r="3747" spans="1:6" ht="14.25" customHeight="1" x14ac:dyDescent="0.25">
      <c r="A3747" s="15" t="s">
        <v>3887</v>
      </c>
      <c r="B3747" s="16">
        <v>1219</v>
      </c>
      <c r="C3747" s="16">
        <v>149779</v>
      </c>
      <c r="D3747" s="31">
        <v>44781</v>
      </c>
      <c r="E3747" s="16">
        <v>3</v>
      </c>
      <c r="F3747" s="15" t="str">
        <f t="shared" si="58"/>
        <v>1219-149779-44781</v>
      </c>
    </row>
    <row r="3748" spans="1:6" ht="14.25" customHeight="1" x14ac:dyDescent="0.25">
      <c r="A3748" s="15" t="s">
        <v>3888</v>
      </c>
      <c r="B3748" s="16">
        <v>1219</v>
      </c>
      <c r="C3748" s="16">
        <v>149779</v>
      </c>
      <c r="D3748" s="31">
        <v>44788</v>
      </c>
      <c r="E3748" s="16">
        <v>3</v>
      </c>
      <c r="F3748" s="15" t="str">
        <f t="shared" si="58"/>
        <v>1219-149779-44788</v>
      </c>
    </row>
    <row r="3749" spans="1:6" ht="14.25" customHeight="1" x14ac:dyDescent="0.25">
      <c r="A3749" s="15" t="s">
        <v>3889</v>
      </c>
      <c r="B3749" s="16">
        <v>1219</v>
      </c>
      <c r="C3749" s="16">
        <v>189933</v>
      </c>
      <c r="D3749" s="31">
        <v>44739</v>
      </c>
      <c r="E3749" s="16">
        <v>31</v>
      </c>
      <c r="F3749" s="15" t="str">
        <f t="shared" si="58"/>
        <v>1219-189933-44739</v>
      </c>
    </row>
    <row r="3750" spans="1:6" ht="14.25" customHeight="1" x14ac:dyDescent="0.25">
      <c r="A3750" s="15" t="s">
        <v>3890</v>
      </c>
      <c r="B3750" s="16">
        <v>1219</v>
      </c>
      <c r="C3750" s="16">
        <v>189933</v>
      </c>
      <c r="D3750" s="31">
        <v>44746</v>
      </c>
      <c r="E3750" s="16">
        <v>32</v>
      </c>
      <c r="F3750" s="15" t="str">
        <f t="shared" si="58"/>
        <v>1219-189933-44746</v>
      </c>
    </row>
    <row r="3751" spans="1:6" ht="14.25" customHeight="1" x14ac:dyDescent="0.25">
      <c r="A3751" s="15" t="s">
        <v>3891</v>
      </c>
      <c r="B3751" s="16">
        <v>1219</v>
      </c>
      <c r="C3751" s="16">
        <v>189933</v>
      </c>
      <c r="D3751" s="31">
        <v>44753</v>
      </c>
      <c r="E3751" s="16">
        <v>25</v>
      </c>
      <c r="F3751" s="15" t="str">
        <f t="shared" si="58"/>
        <v>1219-189933-44753</v>
      </c>
    </row>
    <row r="3752" spans="1:6" ht="14.25" customHeight="1" x14ac:dyDescent="0.25">
      <c r="A3752" s="15" t="s">
        <v>3892</v>
      </c>
      <c r="B3752" s="16">
        <v>1219</v>
      </c>
      <c r="C3752" s="16">
        <v>189933</v>
      </c>
      <c r="D3752" s="31">
        <v>44760</v>
      </c>
      <c r="E3752" s="16">
        <v>25</v>
      </c>
      <c r="F3752" s="15" t="str">
        <f t="shared" si="58"/>
        <v>1219-189933-44760</v>
      </c>
    </row>
    <row r="3753" spans="1:6" ht="14.25" customHeight="1" x14ac:dyDescent="0.25">
      <c r="A3753" s="15" t="s">
        <v>3893</v>
      </c>
      <c r="B3753" s="16">
        <v>1219</v>
      </c>
      <c r="C3753" s="16">
        <v>189933</v>
      </c>
      <c r="D3753" s="31">
        <v>44767</v>
      </c>
      <c r="E3753" s="16">
        <v>25</v>
      </c>
      <c r="F3753" s="15" t="str">
        <f t="shared" si="58"/>
        <v>1219-189933-44767</v>
      </c>
    </row>
    <row r="3754" spans="1:6" ht="14.25" customHeight="1" x14ac:dyDescent="0.25">
      <c r="A3754" s="15" t="s">
        <v>3894</v>
      </c>
      <c r="B3754" s="16">
        <v>1219</v>
      </c>
      <c r="C3754" s="16">
        <v>189933</v>
      </c>
      <c r="D3754" s="31">
        <v>44774</v>
      </c>
      <c r="E3754" s="16">
        <v>33</v>
      </c>
      <c r="F3754" s="15" t="str">
        <f t="shared" si="58"/>
        <v>1219-189933-44774</v>
      </c>
    </row>
    <row r="3755" spans="1:6" ht="14.25" customHeight="1" x14ac:dyDescent="0.25">
      <c r="A3755" s="15" t="s">
        <v>3895</v>
      </c>
      <c r="B3755" s="16">
        <v>1219</v>
      </c>
      <c r="C3755" s="16">
        <v>189933</v>
      </c>
      <c r="D3755" s="31">
        <v>44781</v>
      </c>
      <c r="E3755" s="16">
        <v>26</v>
      </c>
      <c r="F3755" s="15" t="str">
        <f t="shared" si="58"/>
        <v>1219-189933-44781</v>
      </c>
    </row>
    <row r="3756" spans="1:6" ht="14.25" customHeight="1" x14ac:dyDescent="0.25">
      <c r="A3756" s="15" t="s">
        <v>3896</v>
      </c>
      <c r="B3756" s="16">
        <v>1219</v>
      </c>
      <c r="C3756" s="16">
        <v>189933</v>
      </c>
      <c r="D3756" s="31">
        <v>44788</v>
      </c>
      <c r="E3756" s="16">
        <v>17</v>
      </c>
      <c r="F3756" s="15" t="str">
        <f t="shared" si="58"/>
        <v>1219-189933-44788</v>
      </c>
    </row>
    <row r="3757" spans="1:6" ht="14.25" customHeight="1" x14ac:dyDescent="0.25">
      <c r="A3757" s="15" t="s">
        <v>3897</v>
      </c>
      <c r="B3757" s="16">
        <v>1219</v>
      </c>
      <c r="C3757" s="16">
        <v>202577</v>
      </c>
      <c r="D3757" s="31">
        <v>44739</v>
      </c>
      <c r="E3757" s="16">
        <v>45</v>
      </c>
      <c r="F3757" s="15" t="str">
        <f t="shared" si="58"/>
        <v>1219-202577-44739</v>
      </c>
    </row>
    <row r="3758" spans="1:6" ht="14.25" customHeight="1" x14ac:dyDescent="0.25">
      <c r="A3758" s="15" t="s">
        <v>3898</v>
      </c>
      <c r="B3758" s="16">
        <v>1219</v>
      </c>
      <c r="C3758" s="16">
        <v>202577</v>
      </c>
      <c r="D3758" s="31">
        <v>44746</v>
      </c>
      <c r="E3758" s="16">
        <v>45</v>
      </c>
      <c r="F3758" s="15" t="str">
        <f t="shared" si="58"/>
        <v>1219-202577-44746</v>
      </c>
    </row>
    <row r="3759" spans="1:6" ht="14.25" customHeight="1" x14ac:dyDescent="0.25">
      <c r="A3759" s="15" t="s">
        <v>3899</v>
      </c>
      <c r="B3759" s="16">
        <v>1219</v>
      </c>
      <c r="C3759" s="16">
        <v>202577</v>
      </c>
      <c r="D3759" s="31">
        <v>44753</v>
      </c>
      <c r="E3759" s="16">
        <v>16</v>
      </c>
      <c r="F3759" s="15" t="str">
        <f t="shared" si="58"/>
        <v>1219-202577-44753</v>
      </c>
    </row>
    <row r="3760" spans="1:6" ht="14.25" customHeight="1" x14ac:dyDescent="0.25">
      <c r="A3760" s="15" t="s">
        <v>3900</v>
      </c>
      <c r="B3760" s="16">
        <v>1219</v>
      </c>
      <c r="C3760" s="16">
        <v>202577</v>
      </c>
      <c r="D3760" s="31">
        <v>44760</v>
      </c>
      <c r="E3760" s="16">
        <v>38</v>
      </c>
      <c r="F3760" s="15" t="str">
        <f t="shared" si="58"/>
        <v>1219-202577-44760</v>
      </c>
    </row>
    <row r="3761" spans="1:6" ht="14.25" customHeight="1" x14ac:dyDescent="0.25">
      <c r="A3761" s="15" t="s">
        <v>3901</v>
      </c>
      <c r="B3761" s="16">
        <v>1219</v>
      </c>
      <c r="C3761" s="16">
        <v>202577</v>
      </c>
      <c r="D3761" s="31">
        <v>44767</v>
      </c>
      <c r="E3761" s="16">
        <v>49</v>
      </c>
      <c r="F3761" s="15" t="str">
        <f t="shared" si="58"/>
        <v>1219-202577-44767</v>
      </c>
    </row>
    <row r="3762" spans="1:6" ht="14.25" customHeight="1" x14ac:dyDescent="0.25">
      <c r="A3762" s="15" t="s">
        <v>3902</v>
      </c>
      <c r="B3762" s="16">
        <v>1219</v>
      </c>
      <c r="C3762" s="16">
        <v>202577</v>
      </c>
      <c r="D3762" s="31">
        <v>44774</v>
      </c>
      <c r="E3762" s="16">
        <v>13</v>
      </c>
      <c r="F3762" s="15" t="str">
        <f t="shared" si="58"/>
        <v>1219-202577-44774</v>
      </c>
    </row>
    <row r="3763" spans="1:6" ht="14.25" customHeight="1" x14ac:dyDescent="0.25">
      <c r="A3763" s="15" t="s">
        <v>3903</v>
      </c>
      <c r="B3763" s="16">
        <v>1219</v>
      </c>
      <c r="C3763" s="16">
        <v>202577</v>
      </c>
      <c r="D3763" s="31">
        <v>44781</v>
      </c>
      <c r="E3763" s="16">
        <v>56</v>
      </c>
      <c r="F3763" s="15" t="str">
        <f t="shared" si="58"/>
        <v>1219-202577-44781</v>
      </c>
    </row>
    <row r="3764" spans="1:6" ht="14.25" customHeight="1" x14ac:dyDescent="0.25">
      <c r="A3764" s="15" t="s">
        <v>3904</v>
      </c>
      <c r="B3764" s="16">
        <v>1219</v>
      </c>
      <c r="C3764" s="16">
        <v>202577</v>
      </c>
      <c r="D3764" s="31">
        <v>44788</v>
      </c>
      <c r="E3764" s="16">
        <v>21</v>
      </c>
      <c r="F3764" s="15" t="str">
        <f t="shared" si="58"/>
        <v>1219-202577-44788</v>
      </c>
    </row>
    <row r="3765" spans="1:6" ht="14.25" customHeight="1" x14ac:dyDescent="0.25">
      <c r="A3765" s="15" t="s">
        <v>3905</v>
      </c>
      <c r="B3765" s="16">
        <v>1219</v>
      </c>
      <c r="C3765" s="16">
        <v>234334</v>
      </c>
      <c r="D3765" s="31">
        <v>44739</v>
      </c>
      <c r="E3765" s="16">
        <v>14</v>
      </c>
      <c r="F3765" s="15" t="str">
        <f t="shared" si="58"/>
        <v>1219-234334-44739</v>
      </c>
    </row>
    <row r="3766" spans="1:6" ht="14.25" customHeight="1" x14ac:dyDescent="0.25">
      <c r="A3766" s="15" t="s">
        <v>3906</v>
      </c>
      <c r="B3766" s="16">
        <v>1219</v>
      </c>
      <c r="C3766" s="16">
        <v>234334</v>
      </c>
      <c r="D3766" s="31">
        <v>44746</v>
      </c>
      <c r="E3766" s="16">
        <v>31</v>
      </c>
      <c r="F3766" s="15" t="str">
        <f t="shared" si="58"/>
        <v>1219-234334-44746</v>
      </c>
    </row>
    <row r="3767" spans="1:6" ht="14.25" customHeight="1" x14ac:dyDescent="0.25">
      <c r="A3767" s="15" t="s">
        <v>3907</v>
      </c>
      <c r="B3767" s="16">
        <v>1219</v>
      </c>
      <c r="C3767" s="16">
        <v>234334</v>
      </c>
      <c r="D3767" s="31">
        <v>44753</v>
      </c>
      <c r="E3767" s="16">
        <v>46</v>
      </c>
      <c r="F3767" s="15" t="str">
        <f t="shared" si="58"/>
        <v>1219-234334-44753</v>
      </c>
    </row>
    <row r="3768" spans="1:6" ht="14.25" customHeight="1" x14ac:dyDescent="0.25">
      <c r="A3768" s="15" t="s">
        <v>3908</v>
      </c>
      <c r="B3768" s="16">
        <v>1219</v>
      </c>
      <c r="C3768" s="16">
        <v>234334</v>
      </c>
      <c r="D3768" s="31">
        <v>44760</v>
      </c>
      <c r="E3768" s="16">
        <v>33</v>
      </c>
      <c r="F3768" s="15" t="str">
        <f t="shared" si="58"/>
        <v>1219-234334-44760</v>
      </c>
    </row>
    <row r="3769" spans="1:6" ht="14.25" customHeight="1" x14ac:dyDescent="0.25">
      <c r="A3769" s="15" t="s">
        <v>3909</v>
      </c>
      <c r="B3769" s="16">
        <v>1219</v>
      </c>
      <c r="C3769" s="16">
        <v>234334</v>
      </c>
      <c r="D3769" s="31">
        <v>44767</v>
      </c>
      <c r="E3769" s="16">
        <v>41</v>
      </c>
      <c r="F3769" s="15" t="str">
        <f t="shared" si="58"/>
        <v>1219-234334-44767</v>
      </c>
    </row>
    <row r="3770" spans="1:6" ht="14.25" customHeight="1" x14ac:dyDescent="0.25">
      <c r="A3770" s="15" t="s">
        <v>3910</v>
      </c>
      <c r="B3770" s="16">
        <v>1219</v>
      </c>
      <c r="C3770" s="16">
        <v>234334</v>
      </c>
      <c r="D3770" s="31">
        <v>44774</v>
      </c>
      <c r="E3770" s="16">
        <v>21</v>
      </c>
      <c r="F3770" s="15" t="str">
        <f t="shared" si="58"/>
        <v>1219-234334-44774</v>
      </c>
    </row>
    <row r="3771" spans="1:6" ht="14.25" customHeight="1" x14ac:dyDescent="0.25">
      <c r="A3771" s="15" t="s">
        <v>3911</v>
      </c>
      <c r="B3771" s="16">
        <v>1219</v>
      </c>
      <c r="C3771" s="16">
        <v>234334</v>
      </c>
      <c r="D3771" s="31">
        <v>44781</v>
      </c>
      <c r="E3771" s="16">
        <v>36</v>
      </c>
      <c r="F3771" s="15" t="str">
        <f t="shared" si="58"/>
        <v>1219-234334-44781</v>
      </c>
    </row>
    <row r="3772" spans="1:6" ht="14.25" customHeight="1" x14ac:dyDescent="0.25">
      <c r="A3772" s="15" t="s">
        <v>3912</v>
      </c>
      <c r="B3772" s="16">
        <v>1219</v>
      </c>
      <c r="C3772" s="16">
        <v>234334</v>
      </c>
      <c r="D3772" s="31">
        <v>44788</v>
      </c>
      <c r="E3772" s="16">
        <v>31</v>
      </c>
      <c r="F3772" s="15" t="str">
        <f t="shared" si="58"/>
        <v>1219-234334-44788</v>
      </c>
    </row>
    <row r="3773" spans="1:6" ht="14.25" customHeight="1" x14ac:dyDescent="0.25">
      <c r="A3773" s="15" t="s">
        <v>3913</v>
      </c>
      <c r="B3773" s="16">
        <v>1219</v>
      </c>
      <c r="C3773" s="16">
        <v>249444</v>
      </c>
      <c r="D3773" s="31">
        <v>44739</v>
      </c>
      <c r="E3773" s="16">
        <v>84</v>
      </c>
      <c r="F3773" s="15" t="str">
        <f t="shared" si="58"/>
        <v>1219-249444-44739</v>
      </c>
    </row>
    <row r="3774" spans="1:6" ht="14.25" customHeight="1" x14ac:dyDescent="0.25">
      <c r="A3774" s="15" t="s">
        <v>3914</v>
      </c>
      <c r="B3774" s="16">
        <v>1219</v>
      </c>
      <c r="C3774" s="16">
        <v>249444</v>
      </c>
      <c r="D3774" s="31">
        <v>44746</v>
      </c>
      <c r="E3774" s="16">
        <v>92</v>
      </c>
      <c r="F3774" s="15" t="str">
        <f t="shared" si="58"/>
        <v>1219-249444-44746</v>
      </c>
    </row>
    <row r="3775" spans="1:6" ht="14.25" customHeight="1" x14ac:dyDescent="0.25">
      <c r="A3775" s="15" t="s">
        <v>3915</v>
      </c>
      <c r="B3775" s="16">
        <v>1219</v>
      </c>
      <c r="C3775" s="16">
        <v>249444</v>
      </c>
      <c r="D3775" s="31">
        <v>44753</v>
      </c>
      <c r="E3775" s="16">
        <v>36</v>
      </c>
      <c r="F3775" s="15" t="str">
        <f t="shared" si="58"/>
        <v>1219-249444-44753</v>
      </c>
    </row>
    <row r="3776" spans="1:6" ht="14.25" customHeight="1" x14ac:dyDescent="0.25">
      <c r="A3776" s="15" t="s">
        <v>3916</v>
      </c>
      <c r="B3776" s="16">
        <v>1219</v>
      </c>
      <c r="C3776" s="16">
        <v>249444</v>
      </c>
      <c r="D3776" s="31">
        <v>44760</v>
      </c>
      <c r="E3776" s="16">
        <v>34</v>
      </c>
      <c r="F3776" s="15" t="str">
        <f t="shared" si="58"/>
        <v>1219-249444-44760</v>
      </c>
    </row>
    <row r="3777" spans="1:6" ht="14.25" customHeight="1" x14ac:dyDescent="0.25">
      <c r="A3777" s="15" t="s">
        <v>3917</v>
      </c>
      <c r="B3777" s="16">
        <v>1219</v>
      </c>
      <c r="C3777" s="16">
        <v>249444</v>
      </c>
      <c r="D3777" s="31">
        <v>44767</v>
      </c>
      <c r="E3777" s="16">
        <v>38</v>
      </c>
      <c r="F3777" s="15" t="str">
        <f t="shared" si="58"/>
        <v>1219-249444-44767</v>
      </c>
    </row>
    <row r="3778" spans="1:6" ht="14.25" customHeight="1" x14ac:dyDescent="0.25">
      <c r="A3778" s="15" t="s">
        <v>3918</v>
      </c>
      <c r="B3778" s="16">
        <v>1219</v>
      </c>
      <c r="C3778" s="16">
        <v>249444</v>
      </c>
      <c r="D3778" s="31">
        <v>44774</v>
      </c>
      <c r="E3778" s="16">
        <v>79</v>
      </c>
      <c r="F3778" s="15" t="str">
        <f t="shared" si="58"/>
        <v>1219-249444-44774</v>
      </c>
    </row>
    <row r="3779" spans="1:6" ht="14.25" customHeight="1" x14ac:dyDescent="0.25">
      <c r="A3779" s="15" t="s">
        <v>3919</v>
      </c>
      <c r="B3779" s="16">
        <v>1219</v>
      </c>
      <c r="C3779" s="16">
        <v>249444</v>
      </c>
      <c r="D3779" s="31">
        <v>44781</v>
      </c>
      <c r="E3779" s="16">
        <v>78</v>
      </c>
      <c r="F3779" s="15" t="str">
        <f t="shared" ref="F3779:F3842" si="59">B3779&amp;"-"&amp;C3779&amp;"-"&amp;INT(D3779)</f>
        <v>1219-249444-44781</v>
      </c>
    </row>
    <row r="3780" spans="1:6" ht="14.25" customHeight="1" x14ac:dyDescent="0.25">
      <c r="A3780" s="15" t="s">
        <v>3920</v>
      </c>
      <c r="B3780" s="16">
        <v>1219</v>
      </c>
      <c r="C3780" s="16">
        <v>249444</v>
      </c>
      <c r="D3780" s="31">
        <v>44788</v>
      </c>
      <c r="E3780" s="16">
        <v>36</v>
      </c>
      <c r="F3780" s="15" t="str">
        <f t="shared" si="59"/>
        <v>1219-249444-44788</v>
      </c>
    </row>
    <row r="3781" spans="1:6" ht="14.25" customHeight="1" x14ac:dyDescent="0.25">
      <c r="A3781" s="15" t="s">
        <v>3921</v>
      </c>
      <c r="B3781" s="16">
        <v>1219</v>
      </c>
      <c r="C3781" s="16">
        <v>249795</v>
      </c>
      <c r="D3781" s="31">
        <v>44739</v>
      </c>
      <c r="E3781" s="16">
        <v>19</v>
      </c>
      <c r="F3781" s="15" t="str">
        <f t="shared" si="59"/>
        <v>1219-249795-44739</v>
      </c>
    </row>
    <row r="3782" spans="1:6" ht="14.25" customHeight="1" x14ac:dyDescent="0.25">
      <c r="A3782" s="15" t="s">
        <v>3922</v>
      </c>
      <c r="B3782" s="16">
        <v>1219</v>
      </c>
      <c r="C3782" s="16">
        <v>249795</v>
      </c>
      <c r="D3782" s="31">
        <v>44746</v>
      </c>
      <c r="E3782" s="16">
        <v>24</v>
      </c>
      <c r="F3782" s="15" t="str">
        <f t="shared" si="59"/>
        <v>1219-249795-44746</v>
      </c>
    </row>
    <row r="3783" spans="1:6" ht="14.25" customHeight="1" x14ac:dyDescent="0.25">
      <c r="A3783" s="15" t="s">
        <v>3923</v>
      </c>
      <c r="B3783" s="16">
        <v>1219</v>
      </c>
      <c r="C3783" s="16">
        <v>249795</v>
      </c>
      <c r="D3783" s="31">
        <v>44753</v>
      </c>
      <c r="E3783" s="16">
        <v>24</v>
      </c>
      <c r="F3783" s="15" t="str">
        <f t="shared" si="59"/>
        <v>1219-249795-44753</v>
      </c>
    </row>
    <row r="3784" spans="1:6" ht="14.25" customHeight="1" x14ac:dyDescent="0.25">
      <c r="A3784" s="15" t="s">
        <v>3924</v>
      </c>
      <c r="B3784" s="16">
        <v>1219</v>
      </c>
      <c r="C3784" s="16">
        <v>249795</v>
      </c>
      <c r="D3784" s="31">
        <v>44760</v>
      </c>
      <c r="E3784" s="16">
        <v>24</v>
      </c>
      <c r="F3784" s="15" t="str">
        <f t="shared" si="59"/>
        <v>1219-249795-44760</v>
      </c>
    </row>
    <row r="3785" spans="1:6" ht="14.25" customHeight="1" x14ac:dyDescent="0.25">
      <c r="A3785" s="15" t="s">
        <v>3925</v>
      </c>
      <c r="B3785" s="16">
        <v>1219</v>
      </c>
      <c r="C3785" s="16">
        <v>249795</v>
      </c>
      <c r="D3785" s="31">
        <v>44767</v>
      </c>
      <c r="E3785" s="16">
        <v>18</v>
      </c>
      <c r="F3785" s="15" t="str">
        <f t="shared" si="59"/>
        <v>1219-249795-44767</v>
      </c>
    </row>
    <row r="3786" spans="1:6" ht="14.25" customHeight="1" x14ac:dyDescent="0.25">
      <c r="A3786" s="15" t="s">
        <v>3926</v>
      </c>
      <c r="B3786" s="16">
        <v>1219</v>
      </c>
      <c r="C3786" s="16">
        <v>249795</v>
      </c>
      <c r="D3786" s="31">
        <v>44774</v>
      </c>
      <c r="E3786" s="16">
        <v>10</v>
      </c>
      <c r="F3786" s="15" t="str">
        <f t="shared" si="59"/>
        <v>1219-249795-44774</v>
      </c>
    </row>
    <row r="3787" spans="1:6" ht="14.25" customHeight="1" x14ac:dyDescent="0.25">
      <c r="A3787" s="15" t="s">
        <v>3927</v>
      </c>
      <c r="B3787" s="16">
        <v>1219</v>
      </c>
      <c r="C3787" s="16">
        <v>249795</v>
      </c>
      <c r="D3787" s="31">
        <v>44781</v>
      </c>
      <c r="E3787" s="16">
        <v>20</v>
      </c>
      <c r="F3787" s="15" t="str">
        <f t="shared" si="59"/>
        <v>1219-249795-44781</v>
      </c>
    </row>
    <row r="3788" spans="1:6" ht="14.25" customHeight="1" x14ac:dyDescent="0.25">
      <c r="A3788" s="15" t="s">
        <v>3928</v>
      </c>
      <c r="B3788" s="16">
        <v>1219</v>
      </c>
      <c r="C3788" s="16">
        <v>249795</v>
      </c>
      <c r="D3788" s="31">
        <v>44788</v>
      </c>
      <c r="E3788" s="16">
        <v>7</v>
      </c>
      <c r="F3788" s="15" t="str">
        <f t="shared" si="59"/>
        <v>1219-249795-44788</v>
      </c>
    </row>
    <row r="3789" spans="1:6" ht="14.25" customHeight="1" x14ac:dyDescent="0.25">
      <c r="A3789" s="15" t="s">
        <v>3929</v>
      </c>
      <c r="B3789" s="16">
        <v>1219</v>
      </c>
      <c r="C3789" s="16">
        <v>250979</v>
      </c>
      <c r="D3789" s="31">
        <v>44739</v>
      </c>
      <c r="E3789" s="16">
        <v>51</v>
      </c>
      <c r="F3789" s="15" t="str">
        <f t="shared" si="59"/>
        <v>1219-250979-44739</v>
      </c>
    </row>
    <row r="3790" spans="1:6" ht="14.25" customHeight="1" x14ac:dyDescent="0.25">
      <c r="A3790" s="15" t="s">
        <v>3930</v>
      </c>
      <c r="B3790" s="16">
        <v>1219</v>
      </c>
      <c r="C3790" s="16">
        <v>250979</v>
      </c>
      <c r="D3790" s="31">
        <v>44746</v>
      </c>
      <c r="E3790" s="16">
        <v>213</v>
      </c>
      <c r="F3790" s="15" t="str">
        <f t="shared" si="59"/>
        <v>1219-250979-44746</v>
      </c>
    </row>
    <row r="3791" spans="1:6" ht="14.25" customHeight="1" x14ac:dyDescent="0.25">
      <c r="A3791" s="15" t="s">
        <v>3931</v>
      </c>
      <c r="B3791" s="16">
        <v>1219</v>
      </c>
      <c r="C3791" s="16">
        <v>250979</v>
      </c>
      <c r="D3791" s="31">
        <v>44753</v>
      </c>
      <c r="E3791" s="16">
        <v>157</v>
      </c>
      <c r="F3791" s="15" t="str">
        <f t="shared" si="59"/>
        <v>1219-250979-44753</v>
      </c>
    </row>
    <row r="3792" spans="1:6" ht="14.25" customHeight="1" x14ac:dyDescent="0.25">
      <c r="A3792" s="15" t="s">
        <v>3932</v>
      </c>
      <c r="B3792" s="16">
        <v>1219</v>
      </c>
      <c r="C3792" s="16">
        <v>250979</v>
      </c>
      <c r="D3792" s="31">
        <v>44760</v>
      </c>
      <c r="E3792" s="16">
        <v>55</v>
      </c>
      <c r="F3792" s="15" t="str">
        <f t="shared" si="59"/>
        <v>1219-250979-44760</v>
      </c>
    </row>
    <row r="3793" spans="1:6" ht="14.25" customHeight="1" x14ac:dyDescent="0.25">
      <c r="A3793" s="15" t="s">
        <v>3933</v>
      </c>
      <c r="B3793" s="16">
        <v>1219</v>
      </c>
      <c r="C3793" s="16">
        <v>250979</v>
      </c>
      <c r="D3793" s="31">
        <v>44767</v>
      </c>
      <c r="E3793" s="16">
        <v>154</v>
      </c>
      <c r="F3793" s="15" t="str">
        <f t="shared" si="59"/>
        <v>1219-250979-44767</v>
      </c>
    </row>
    <row r="3794" spans="1:6" ht="14.25" customHeight="1" x14ac:dyDescent="0.25">
      <c r="A3794" s="15" t="s">
        <v>3934</v>
      </c>
      <c r="B3794" s="16">
        <v>1219</v>
      </c>
      <c r="C3794" s="16">
        <v>250979</v>
      </c>
      <c r="D3794" s="31">
        <v>44774</v>
      </c>
      <c r="E3794" s="16">
        <v>235</v>
      </c>
      <c r="F3794" s="15" t="str">
        <f t="shared" si="59"/>
        <v>1219-250979-44774</v>
      </c>
    </row>
    <row r="3795" spans="1:6" ht="14.25" customHeight="1" x14ac:dyDescent="0.25">
      <c r="A3795" s="15" t="s">
        <v>3935</v>
      </c>
      <c r="B3795" s="16">
        <v>1219</v>
      </c>
      <c r="C3795" s="16">
        <v>250979</v>
      </c>
      <c r="D3795" s="31">
        <v>44781</v>
      </c>
      <c r="E3795" s="16">
        <v>55</v>
      </c>
      <c r="F3795" s="15" t="str">
        <f t="shared" si="59"/>
        <v>1219-250979-44781</v>
      </c>
    </row>
    <row r="3796" spans="1:6" ht="14.25" customHeight="1" x14ac:dyDescent="0.25">
      <c r="A3796" s="15" t="s">
        <v>3936</v>
      </c>
      <c r="B3796" s="16">
        <v>1219</v>
      </c>
      <c r="C3796" s="16">
        <v>250979</v>
      </c>
      <c r="D3796" s="31">
        <v>44788</v>
      </c>
      <c r="E3796" s="16">
        <v>50</v>
      </c>
      <c r="F3796" s="15" t="str">
        <f t="shared" si="59"/>
        <v>1219-250979-44788</v>
      </c>
    </row>
    <row r="3797" spans="1:6" ht="14.25" customHeight="1" x14ac:dyDescent="0.25">
      <c r="A3797" s="15" t="s">
        <v>3937</v>
      </c>
      <c r="B3797" s="16">
        <v>1219</v>
      </c>
      <c r="C3797" s="16">
        <v>250981</v>
      </c>
      <c r="D3797" s="31">
        <v>44739</v>
      </c>
      <c r="E3797" s="16">
        <v>21</v>
      </c>
      <c r="F3797" s="15" t="str">
        <f t="shared" si="59"/>
        <v>1219-250981-44739</v>
      </c>
    </row>
    <row r="3798" spans="1:6" ht="14.25" customHeight="1" x14ac:dyDescent="0.25">
      <c r="A3798" s="15" t="s">
        <v>3938</v>
      </c>
      <c r="B3798" s="16">
        <v>1219</v>
      </c>
      <c r="C3798" s="16">
        <v>250981</v>
      </c>
      <c r="D3798" s="31">
        <v>44746</v>
      </c>
      <c r="E3798" s="16">
        <v>23</v>
      </c>
      <c r="F3798" s="15" t="str">
        <f t="shared" si="59"/>
        <v>1219-250981-44746</v>
      </c>
    </row>
    <row r="3799" spans="1:6" ht="14.25" customHeight="1" x14ac:dyDescent="0.25">
      <c r="A3799" s="15" t="s">
        <v>3939</v>
      </c>
      <c r="B3799" s="16">
        <v>1219</v>
      </c>
      <c r="C3799" s="16">
        <v>250981</v>
      </c>
      <c r="D3799" s="31">
        <v>44753</v>
      </c>
      <c r="E3799" s="16">
        <v>3</v>
      </c>
      <c r="F3799" s="15" t="str">
        <f t="shared" si="59"/>
        <v>1219-250981-44753</v>
      </c>
    </row>
    <row r="3800" spans="1:6" ht="14.25" customHeight="1" x14ac:dyDescent="0.25">
      <c r="A3800" s="15" t="s">
        <v>3940</v>
      </c>
      <c r="B3800" s="16">
        <v>1219</v>
      </c>
      <c r="C3800" s="16">
        <v>250981</v>
      </c>
      <c r="D3800" s="31">
        <v>44760</v>
      </c>
      <c r="E3800" s="16">
        <v>5</v>
      </c>
      <c r="F3800" s="15" t="str">
        <f t="shared" si="59"/>
        <v>1219-250981-44760</v>
      </c>
    </row>
    <row r="3801" spans="1:6" ht="14.25" customHeight="1" x14ac:dyDescent="0.25">
      <c r="A3801" s="15" t="s">
        <v>3941</v>
      </c>
      <c r="B3801" s="16">
        <v>1219</v>
      </c>
      <c r="C3801" s="16">
        <v>250981</v>
      </c>
      <c r="D3801" s="31">
        <v>44767</v>
      </c>
      <c r="E3801" s="16">
        <v>16</v>
      </c>
      <c r="F3801" s="15" t="str">
        <f t="shared" si="59"/>
        <v>1219-250981-44767</v>
      </c>
    </row>
    <row r="3802" spans="1:6" ht="14.25" customHeight="1" x14ac:dyDescent="0.25">
      <c r="A3802" s="15" t="s">
        <v>3942</v>
      </c>
      <c r="B3802" s="16">
        <v>1219</v>
      </c>
      <c r="C3802" s="16">
        <v>250981</v>
      </c>
      <c r="D3802" s="31">
        <v>44774</v>
      </c>
      <c r="E3802" s="16">
        <v>7</v>
      </c>
      <c r="F3802" s="15" t="str">
        <f t="shared" si="59"/>
        <v>1219-250981-44774</v>
      </c>
    </row>
    <row r="3803" spans="1:6" ht="14.25" customHeight="1" x14ac:dyDescent="0.25">
      <c r="A3803" s="15" t="s">
        <v>3943</v>
      </c>
      <c r="B3803" s="16">
        <v>1219</v>
      </c>
      <c r="C3803" s="16">
        <v>250981</v>
      </c>
      <c r="D3803" s="31">
        <v>44781</v>
      </c>
      <c r="E3803" s="16">
        <v>9</v>
      </c>
      <c r="F3803" s="15" t="str">
        <f t="shared" si="59"/>
        <v>1219-250981-44781</v>
      </c>
    </row>
    <row r="3804" spans="1:6" ht="14.25" customHeight="1" x14ac:dyDescent="0.25">
      <c r="A3804" s="15" t="s">
        <v>3944</v>
      </c>
      <c r="B3804" s="16">
        <v>1219</v>
      </c>
      <c r="C3804" s="16">
        <v>250981</v>
      </c>
      <c r="D3804" s="31">
        <v>44788</v>
      </c>
      <c r="E3804" s="16">
        <v>21</v>
      </c>
      <c r="F3804" s="15" t="str">
        <f t="shared" si="59"/>
        <v>1219-250981-44788</v>
      </c>
    </row>
    <row r="3805" spans="1:6" ht="14.25" customHeight="1" x14ac:dyDescent="0.25">
      <c r="A3805" s="15" t="s">
        <v>3945</v>
      </c>
      <c r="B3805" s="16">
        <v>1219</v>
      </c>
      <c r="C3805" s="16">
        <v>262294</v>
      </c>
      <c r="D3805" s="31">
        <v>44739</v>
      </c>
      <c r="E3805" s="16">
        <v>3</v>
      </c>
      <c r="F3805" s="15" t="str">
        <f t="shared" si="59"/>
        <v>1219-262294-44739</v>
      </c>
    </row>
    <row r="3806" spans="1:6" ht="14.25" customHeight="1" x14ac:dyDescent="0.25">
      <c r="A3806" s="15" t="s">
        <v>3946</v>
      </c>
      <c r="B3806" s="16">
        <v>1219</v>
      </c>
      <c r="C3806" s="16">
        <v>262294</v>
      </c>
      <c r="D3806" s="31">
        <v>44746</v>
      </c>
      <c r="E3806" s="16">
        <v>3</v>
      </c>
      <c r="F3806" s="15" t="str">
        <f t="shared" si="59"/>
        <v>1219-262294-44746</v>
      </c>
    </row>
    <row r="3807" spans="1:6" ht="14.25" customHeight="1" x14ac:dyDescent="0.25">
      <c r="A3807" s="15" t="s">
        <v>3947</v>
      </c>
      <c r="B3807" s="16">
        <v>1219</v>
      </c>
      <c r="C3807" s="16">
        <v>262294</v>
      </c>
      <c r="D3807" s="31">
        <v>44753</v>
      </c>
      <c r="E3807" s="16">
        <v>3</v>
      </c>
      <c r="F3807" s="15" t="str">
        <f t="shared" si="59"/>
        <v>1219-262294-44753</v>
      </c>
    </row>
    <row r="3808" spans="1:6" ht="14.25" customHeight="1" x14ac:dyDescent="0.25">
      <c r="A3808" s="15" t="s">
        <v>3948</v>
      </c>
      <c r="B3808" s="16">
        <v>1219</v>
      </c>
      <c r="C3808" s="16">
        <v>262294</v>
      </c>
      <c r="D3808" s="31">
        <v>44760</v>
      </c>
      <c r="E3808" s="16">
        <v>3</v>
      </c>
      <c r="F3808" s="15" t="str">
        <f t="shared" si="59"/>
        <v>1219-262294-44760</v>
      </c>
    </row>
    <row r="3809" spans="1:6" ht="14.25" customHeight="1" x14ac:dyDescent="0.25">
      <c r="A3809" s="15" t="s">
        <v>3949</v>
      </c>
      <c r="B3809" s="16">
        <v>1219</v>
      </c>
      <c r="C3809" s="16">
        <v>262294</v>
      </c>
      <c r="D3809" s="31">
        <v>44767</v>
      </c>
      <c r="E3809" s="16">
        <v>3</v>
      </c>
      <c r="F3809" s="15" t="str">
        <f t="shared" si="59"/>
        <v>1219-262294-44767</v>
      </c>
    </row>
    <row r="3810" spans="1:6" ht="14.25" customHeight="1" x14ac:dyDescent="0.25">
      <c r="A3810" s="15" t="s">
        <v>3950</v>
      </c>
      <c r="B3810" s="16">
        <v>1219</v>
      </c>
      <c r="C3810" s="16">
        <v>262294</v>
      </c>
      <c r="D3810" s="31">
        <v>44774</v>
      </c>
      <c r="E3810" s="16">
        <v>3</v>
      </c>
      <c r="F3810" s="15" t="str">
        <f t="shared" si="59"/>
        <v>1219-262294-44774</v>
      </c>
    </row>
    <row r="3811" spans="1:6" ht="14.25" customHeight="1" x14ac:dyDescent="0.25">
      <c r="A3811" s="15" t="s">
        <v>3951</v>
      </c>
      <c r="B3811" s="16">
        <v>1219</v>
      </c>
      <c r="C3811" s="16">
        <v>262294</v>
      </c>
      <c r="D3811" s="31">
        <v>44781</v>
      </c>
      <c r="E3811" s="16">
        <v>3</v>
      </c>
      <c r="F3811" s="15" t="str">
        <f t="shared" si="59"/>
        <v>1219-262294-44781</v>
      </c>
    </row>
    <row r="3812" spans="1:6" ht="14.25" customHeight="1" x14ac:dyDescent="0.25">
      <c r="A3812" s="15" t="s">
        <v>3952</v>
      </c>
      <c r="B3812" s="16">
        <v>1219</v>
      </c>
      <c r="C3812" s="16">
        <v>262294</v>
      </c>
      <c r="D3812" s="31">
        <v>44788</v>
      </c>
      <c r="E3812" s="16">
        <v>3</v>
      </c>
      <c r="F3812" s="15" t="str">
        <f t="shared" si="59"/>
        <v>1219-262294-44788</v>
      </c>
    </row>
    <row r="3813" spans="1:6" ht="14.25" customHeight="1" x14ac:dyDescent="0.25">
      <c r="A3813" s="15" t="s">
        <v>3953</v>
      </c>
      <c r="B3813" s="16">
        <v>1219</v>
      </c>
      <c r="C3813" s="16">
        <v>268831</v>
      </c>
      <c r="D3813" s="31">
        <v>44739</v>
      </c>
      <c r="E3813" s="16">
        <v>26</v>
      </c>
      <c r="F3813" s="15" t="str">
        <f t="shared" si="59"/>
        <v>1219-268831-44739</v>
      </c>
    </row>
    <row r="3814" spans="1:6" ht="14.25" customHeight="1" x14ac:dyDescent="0.25">
      <c r="A3814" s="15" t="s">
        <v>3954</v>
      </c>
      <c r="B3814" s="16">
        <v>1219</v>
      </c>
      <c r="C3814" s="16">
        <v>268831</v>
      </c>
      <c r="D3814" s="31">
        <v>44746</v>
      </c>
      <c r="E3814" s="16">
        <v>25</v>
      </c>
      <c r="F3814" s="15" t="str">
        <f t="shared" si="59"/>
        <v>1219-268831-44746</v>
      </c>
    </row>
    <row r="3815" spans="1:6" ht="14.25" customHeight="1" x14ac:dyDescent="0.25">
      <c r="A3815" s="15" t="s">
        <v>3955</v>
      </c>
      <c r="B3815" s="16">
        <v>1219</v>
      </c>
      <c r="C3815" s="16">
        <v>268831</v>
      </c>
      <c r="D3815" s="31">
        <v>44753</v>
      </c>
      <c r="E3815" s="16">
        <v>23</v>
      </c>
      <c r="F3815" s="15" t="str">
        <f t="shared" si="59"/>
        <v>1219-268831-44753</v>
      </c>
    </row>
    <row r="3816" spans="1:6" ht="14.25" customHeight="1" x14ac:dyDescent="0.25">
      <c r="A3816" s="15" t="s">
        <v>3956</v>
      </c>
      <c r="B3816" s="16">
        <v>1219</v>
      </c>
      <c r="C3816" s="16">
        <v>268831</v>
      </c>
      <c r="D3816" s="31">
        <v>44760</v>
      </c>
      <c r="E3816" s="16">
        <v>24</v>
      </c>
      <c r="F3816" s="15" t="str">
        <f t="shared" si="59"/>
        <v>1219-268831-44760</v>
      </c>
    </row>
    <row r="3817" spans="1:6" ht="14.25" customHeight="1" x14ac:dyDescent="0.25">
      <c r="A3817" s="15" t="s">
        <v>3957</v>
      </c>
      <c r="B3817" s="16">
        <v>1219</v>
      </c>
      <c r="C3817" s="16">
        <v>268831</v>
      </c>
      <c r="D3817" s="31">
        <v>44767</v>
      </c>
      <c r="E3817" s="16">
        <v>10</v>
      </c>
      <c r="F3817" s="15" t="str">
        <f t="shared" si="59"/>
        <v>1219-268831-44767</v>
      </c>
    </row>
    <row r="3818" spans="1:6" ht="14.25" customHeight="1" x14ac:dyDescent="0.25">
      <c r="A3818" s="15" t="s">
        <v>3958</v>
      </c>
      <c r="B3818" s="16">
        <v>1219</v>
      </c>
      <c r="C3818" s="16">
        <v>268831</v>
      </c>
      <c r="D3818" s="31">
        <v>44774</v>
      </c>
      <c r="E3818" s="16">
        <v>22</v>
      </c>
      <c r="F3818" s="15" t="str">
        <f t="shared" si="59"/>
        <v>1219-268831-44774</v>
      </c>
    </row>
    <row r="3819" spans="1:6" ht="14.25" customHeight="1" x14ac:dyDescent="0.25">
      <c r="A3819" s="15" t="s">
        <v>3959</v>
      </c>
      <c r="B3819" s="16">
        <v>1219</v>
      </c>
      <c r="C3819" s="16">
        <v>268831</v>
      </c>
      <c r="D3819" s="31">
        <v>44781</v>
      </c>
      <c r="E3819" s="16">
        <v>18</v>
      </c>
      <c r="F3819" s="15" t="str">
        <f t="shared" si="59"/>
        <v>1219-268831-44781</v>
      </c>
    </row>
    <row r="3820" spans="1:6" ht="14.25" customHeight="1" x14ac:dyDescent="0.25">
      <c r="A3820" s="15" t="s">
        <v>3960</v>
      </c>
      <c r="B3820" s="16">
        <v>1219</v>
      </c>
      <c r="C3820" s="16">
        <v>268831</v>
      </c>
      <c r="D3820" s="31">
        <v>44788</v>
      </c>
      <c r="E3820" s="16">
        <v>19</v>
      </c>
      <c r="F3820" s="15" t="str">
        <f t="shared" si="59"/>
        <v>1219-268831-44788</v>
      </c>
    </row>
    <row r="3821" spans="1:6" ht="14.25" customHeight="1" x14ac:dyDescent="0.25">
      <c r="A3821" s="15" t="s">
        <v>3961</v>
      </c>
      <c r="B3821" s="16">
        <v>1219</v>
      </c>
      <c r="C3821" s="16">
        <v>273701</v>
      </c>
      <c r="D3821" s="31">
        <v>44739</v>
      </c>
      <c r="E3821" s="16">
        <v>20</v>
      </c>
      <c r="F3821" s="15" t="str">
        <f t="shared" si="59"/>
        <v>1219-273701-44739</v>
      </c>
    </row>
    <row r="3822" spans="1:6" ht="14.25" customHeight="1" x14ac:dyDescent="0.25">
      <c r="A3822" s="15" t="s">
        <v>3962</v>
      </c>
      <c r="B3822" s="16">
        <v>1219</v>
      </c>
      <c r="C3822" s="16">
        <v>273701</v>
      </c>
      <c r="D3822" s="31">
        <v>44746</v>
      </c>
      <c r="E3822" s="16">
        <v>16</v>
      </c>
      <c r="F3822" s="15" t="str">
        <f t="shared" si="59"/>
        <v>1219-273701-44746</v>
      </c>
    </row>
    <row r="3823" spans="1:6" ht="14.25" customHeight="1" x14ac:dyDescent="0.25">
      <c r="A3823" s="15" t="s">
        <v>3963</v>
      </c>
      <c r="B3823" s="16">
        <v>1219</v>
      </c>
      <c r="C3823" s="16">
        <v>273701</v>
      </c>
      <c r="D3823" s="31">
        <v>44753</v>
      </c>
      <c r="E3823" s="16">
        <v>22</v>
      </c>
      <c r="F3823" s="15" t="str">
        <f t="shared" si="59"/>
        <v>1219-273701-44753</v>
      </c>
    </row>
    <row r="3824" spans="1:6" ht="14.25" customHeight="1" x14ac:dyDescent="0.25">
      <c r="A3824" s="15" t="s">
        <v>3964</v>
      </c>
      <c r="B3824" s="16">
        <v>1219</v>
      </c>
      <c r="C3824" s="16">
        <v>273701</v>
      </c>
      <c r="D3824" s="31">
        <v>44760</v>
      </c>
      <c r="E3824" s="16">
        <v>14</v>
      </c>
      <c r="F3824" s="15" t="str">
        <f t="shared" si="59"/>
        <v>1219-273701-44760</v>
      </c>
    </row>
    <row r="3825" spans="1:6" ht="14.25" customHeight="1" x14ac:dyDescent="0.25">
      <c r="A3825" s="15" t="s">
        <v>3965</v>
      </c>
      <c r="B3825" s="16">
        <v>1219</v>
      </c>
      <c r="C3825" s="16">
        <v>273701</v>
      </c>
      <c r="D3825" s="31">
        <v>44767</v>
      </c>
      <c r="E3825" s="16">
        <v>22</v>
      </c>
      <c r="F3825" s="15" t="str">
        <f t="shared" si="59"/>
        <v>1219-273701-44767</v>
      </c>
    </row>
    <row r="3826" spans="1:6" ht="14.25" customHeight="1" x14ac:dyDescent="0.25">
      <c r="A3826" s="15" t="s">
        <v>3966</v>
      </c>
      <c r="B3826" s="16">
        <v>1219</v>
      </c>
      <c r="C3826" s="16">
        <v>273701</v>
      </c>
      <c r="D3826" s="31">
        <v>44774</v>
      </c>
      <c r="E3826" s="16">
        <v>14</v>
      </c>
      <c r="F3826" s="15" t="str">
        <f t="shared" si="59"/>
        <v>1219-273701-44774</v>
      </c>
    </row>
    <row r="3827" spans="1:6" ht="14.25" customHeight="1" x14ac:dyDescent="0.25">
      <c r="A3827" s="15" t="s">
        <v>3967</v>
      </c>
      <c r="B3827" s="16">
        <v>1219</v>
      </c>
      <c r="C3827" s="16">
        <v>273701</v>
      </c>
      <c r="D3827" s="31">
        <v>44781</v>
      </c>
      <c r="E3827" s="16">
        <v>12</v>
      </c>
      <c r="F3827" s="15" t="str">
        <f t="shared" si="59"/>
        <v>1219-273701-44781</v>
      </c>
    </row>
    <row r="3828" spans="1:6" ht="14.25" customHeight="1" x14ac:dyDescent="0.25">
      <c r="A3828" s="15" t="s">
        <v>3968</v>
      </c>
      <c r="B3828" s="16">
        <v>1219</v>
      </c>
      <c r="C3828" s="16">
        <v>273701</v>
      </c>
      <c r="D3828" s="31">
        <v>44788</v>
      </c>
      <c r="E3828" s="16">
        <v>1</v>
      </c>
      <c r="F3828" s="15" t="str">
        <f t="shared" si="59"/>
        <v>1219-273701-44788</v>
      </c>
    </row>
    <row r="3829" spans="1:6" ht="14.25" customHeight="1" x14ac:dyDescent="0.25">
      <c r="A3829" s="15" t="s">
        <v>3969</v>
      </c>
      <c r="B3829" s="16">
        <v>1219</v>
      </c>
      <c r="C3829" s="16">
        <v>291726</v>
      </c>
      <c r="D3829" s="31">
        <v>44739</v>
      </c>
      <c r="E3829" s="16">
        <v>3</v>
      </c>
      <c r="F3829" s="15" t="str">
        <f t="shared" si="59"/>
        <v>1219-291726-44739</v>
      </c>
    </row>
    <row r="3830" spans="1:6" ht="14.25" customHeight="1" x14ac:dyDescent="0.25">
      <c r="A3830" s="15" t="s">
        <v>3970</v>
      </c>
      <c r="B3830" s="16">
        <v>1219</v>
      </c>
      <c r="C3830" s="16">
        <v>291726</v>
      </c>
      <c r="D3830" s="31">
        <v>44746</v>
      </c>
      <c r="E3830" s="16">
        <v>3</v>
      </c>
      <c r="F3830" s="15" t="str">
        <f t="shared" si="59"/>
        <v>1219-291726-44746</v>
      </c>
    </row>
    <row r="3831" spans="1:6" ht="14.25" customHeight="1" x14ac:dyDescent="0.25">
      <c r="A3831" s="15" t="s">
        <v>3971</v>
      </c>
      <c r="B3831" s="16">
        <v>1219</v>
      </c>
      <c r="C3831" s="16">
        <v>291726</v>
      </c>
      <c r="D3831" s="31">
        <v>44753</v>
      </c>
      <c r="E3831" s="16">
        <v>3</v>
      </c>
      <c r="F3831" s="15" t="str">
        <f t="shared" si="59"/>
        <v>1219-291726-44753</v>
      </c>
    </row>
    <row r="3832" spans="1:6" ht="14.25" customHeight="1" x14ac:dyDescent="0.25">
      <c r="A3832" s="15" t="s">
        <v>3972</v>
      </c>
      <c r="B3832" s="16">
        <v>1219</v>
      </c>
      <c r="C3832" s="16">
        <v>291726</v>
      </c>
      <c r="D3832" s="31">
        <v>44760</v>
      </c>
      <c r="E3832" s="16">
        <v>3</v>
      </c>
      <c r="F3832" s="15" t="str">
        <f t="shared" si="59"/>
        <v>1219-291726-44760</v>
      </c>
    </row>
    <row r="3833" spans="1:6" ht="14.25" customHeight="1" x14ac:dyDescent="0.25">
      <c r="A3833" s="15" t="s">
        <v>3973</v>
      </c>
      <c r="B3833" s="16">
        <v>1219</v>
      </c>
      <c r="C3833" s="16">
        <v>291726</v>
      </c>
      <c r="D3833" s="31">
        <v>44767</v>
      </c>
      <c r="E3833" s="16">
        <v>3</v>
      </c>
      <c r="F3833" s="15" t="str">
        <f t="shared" si="59"/>
        <v>1219-291726-44767</v>
      </c>
    </row>
    <row r="3834" spans="1:6" ht="14.25" customHeight="1" x14ac:dyDescent="0.25">
      <c r="A3834" s="15" t="s">
        <v>3974</v>
      </c>
      <c r="B3834" s="16">
        <v>1219</v>
      </c>
      <c r="C3834" s="16">
        <v>291726</v>
      </c>
      <c r="D3834" s="31">
        <v>44774</v>
      </c>
      <c r="E3834" s="16">
        <v>3</v>
      </c>
      <c r="F3834" s="15" t="str">
        <f t="shared" si="59"/>
        <v>1219-291726-44774</v>
      </c>
    </row>
    <row r="3835" spans="1:6" ht="14.25" customHeight="1" x14ac:dyDescent="0.25">
      <c r="A3835" s="15" t="s">
        <v>3975</v>
      </c>
      <c r="B3835" s="16">
        <v>1219</v>
      </c>
      <c r="C3835" s="16">
        <v>291726</v>
      </c>
      <c r="D3835" s="31">
        <v>44781</v>
      </c>
      <c r="E3835" s="16">
        <v>3</v>
      </c>
      <c r="F3835" s="15" t="str">
        <f t="shared" si="59"/>
        <v>1219-291726-44781</v>
      </c>
    </row>
    <row r="3836" spans="1:6" ht="14.25" customHeight="1" x14ac:dyDescent="0.25">
      <c r="A3836" s="15" t="s">
        <v>3976</v>
      </c>
      <c r="B3836" s="16">
        <v>1219</v>
      </c>
      <c r="C3836" s="16">
        <v>291726</v>
      </c>
      <c r="D3836" s="31">
        <v>44788</v>
      </c>
      <c r="E3836" s="16">
        <v>3</v>
      </c>
      <c r="F3836" s="15" t="str">
        <f t="shared" si="59"/>
        <v>1219-291726-44788</v>
      </c>
    </row>
    <row r="3837" spans="1:6" ht="14.25" customHeight="1" x14ac:dyDescent="0.25">
      <c r="A3837" s="15" t="s">
        <v>3977</v>
      </c>
      <c r="B3837" s="16">
        <v>1219</v>
      </c>
      <c r="C3837" s="16">
        <v>291728</v>
      </c>
      <c r="D3837" s="31">
        <v>44739</v>
      </c>
      <c r="E3837" s="16">
        <v>3</v>
      </c>
      <c r="F3837" s="15" t="str">
        <f t="shared" si="59"/>
        <v>1219-291728-44739</v>
      </c>
    </row>
    <row r="3838" spans="1:6" ht="14.25" customHeight="1" x14ac:dyDescent="0.25">
      <c r="A3838" s="15" t="s">
        <v>3978</v>
      </c>
      <c r="B3838" s="16">
        <v>1219</v>
      </c>
      <c r="C3838" s="16">
        <v>291728</v>
      </c>
      <c r="D3838" s="31">
        <v>44746</v>
      </c>
      <c r="E3838" s="16">
        <v>3</v>
      </c>
      <c r="F3838" s="15" t="str">
        <f t="shared" si="59"/>
        <v>1219-291728-44746</v>
      </c>
    </row>
    <row r="3839" spans="1:6" ht="14.25" customHeight="1" x14ac:dyDescent="0.25">
      <c r="A3839" s="15" t="s">
        <v>3979</v>
      </c>
      <c r="B3839" s="16">
        <v>1219</v>
      </c>
      <c r="C3839" s="16">
        <v>291728</v>
      </c>
      <c r="D3839" s="31">
        <v>44753</v>
      </c>
      <c r="E3839" s="16">
        <v>3</v>
      </c>
      <c r="F3839" s="15" t="str">
        <f t="shared" si="59"/>
        <v>1219-291728-44753</v>
      </c>
    </row>
    <row r="3840" spans="1:6" ht="14.25" customHeight="1" x14ac:dyDescent="0.25">
      <c r="A3840" s="15" t="s">
        <v>3980</v>
      </c>
      <c r="B3840" s="16">
        <v>1219</v>
      </c>
      <c r="C3840" s="16">
        <v>291728</v>
      </c>
      <c r="D3840" s="31">
        <v>44760</v>
      </c>
      <c r="E3840" s="16">
        <v>3</v>
      </c>
      <c r="F3840" s="15" t="str">
        <f t="shared" si="59"/>
        <v>1219-291728-44760</v>
      </c>
    </row>
    <row r="3841" spans="1:6" ht="14.25" customHeight="1" x14ac:dyDescent="0.25">
      <c r="A3841" s="15" t="s">
        <v>3981</v>
      </c>
      <c r="B3841" s="16">
        <v>1219</v>
      </c>
      <c r="C3841" s="16">
        <v>291728</v>
      </c>
      <c r="D3841" s="31">
        <v>44767</v>
      </c>
      <c r="E3841" s="16">
        <v>3</v>
      </c>
      <c r="F3841" s="15" t="str">
        <f t="shared" si="59"/>
        <v>1219-291728-44767</v>
      </c>
    </row>
    <row r="3842" spans="1:6" ht="14.25" customHeight="1" x14ac:dyDescent="0.25">
      <c r="A3842" s="15" t="s">
        <v>3982</v>
      </c>
      <c r="B3842" s="16">
        <v>1219</v>
      </c>
      <c r="C3842" s="16">
        <v>291728</v>
      </c>
      <c r="D3842" s="31">
        <v>44774</v>
      </c>
      <c r="E3842" s="16">
        <v>3</v>
      </c>
      <c r="F3842" s="15" t="str">
        <f t="shared" si="59"/>
        <v>1219-291728-44774</v>
      </c>
    </row>
    <row r="3843" spans="1:6" ht="14.25" customHeight="1" x14ac:dyDescent="0.25">
      <c r="A3843" s="15" t="s">
        <v>3983</v>
      </c>
      <c r="B3843" s="16">
        <v>1219</v>
      </c>
      <c r="C3843" s="16">
        <v>291728</v>
      </c>
      <c r="D3843" s="31">
        <v>44781</v>
      </c>
      <c r="E3843" s="16">
        <v>3</v>
      </c>
      <c r="F3843" s="15" t="str">
        <f t="shared" ref="F3843:F3906" si="60">B3843&amp;"-"&amp;C3843&amp;"-"&amp;INT(D3843)</f>
        <v>1219-291728-44781</v>
      </c>
    </row>
    <row r="3844" spans="1:6" ht="14.25" customHeight="1" x14ac:dyDescent="0.25">
      <c r="A3844" s="15" t="s">
        <v>3984</v>
      </c>
      <c r="B3844" s="16">
        <v>1219</v>
      </c>
      <c r="C3844" s="16">
        <v>291728</v>
      </c>
      <c r="D3844" s="31">
        <v>44788</v>
      </c>
      <c r="E3844" s="16">
        <v>3</v>
      </c>
      <c r="F3844" s="15" t="str">
        <f t="shared" si="60"/>
        <v>1219-291728-44788</v>
      </c>
    </row>
    <row r="3845" spans="1:6" ht="14.25" customHeight="1" x14ac:dyDescent="0.25">
      <c r="A3845" s="15" t="s">
        <v>3985</v>
      </c>
      <c r="B3845" s="16">
        <v>1219</v>
      </c>
      <c r="C3845" s="16">
        <v>300380</v>
      </c>
      <c r="D3845" s="31">
        <v>32874</v>
      </c>
      <c r="E3845" s="16">
        <v>12</v>
      </c>
      <c r="F3845" s="15" t="str">
        <f t="shared" si="60"/>
        <v>1219-300380-32874</v>
      </c>
    </row>
    <row r="3846" spans="1:6" ht="14.25" customHeight="1" x14ac:dyDescent="0.25">
      <c r="A3846" s="15" t="s">
        <v>3986</v>
      </c>
      <c r="B3846" s="16">
        <v>1219</v>
      </c>
      <c r="C3846" s="16">
        <v>300380</v>
      </c>
      <c r="D3846" s="31">
        <v>44739</v>
      </c>
      <c r="E3846" s="16">
        <v>56</v>
      </c>
      <c r="F3846" s="15" t="str">
        <f t="shared" si="60"/>
        <v>1219-300380-44739</v>
      </c>
    </row>
    <row r="3847" spans="1:6" ht="14.25" customHeight="1" x14ac:dyDescent="0.25">
      <c r="A3847" s="15" t="s">
        <v>3987</v>
      </c>
      <c r="B3847" s="16">
        <v>1219</v>
      </c>
      <c r="C3847" s="16">
        <v>300380</v>
      </c>
      <c r="D3847" s="31">
        <v>44746</v>
      </c>
      <c r="E3847" s="16">
        <v>61</v>
      </c>
      <c r="F3847" s="15" t="str">
        <f t="shared" si="60"/>
        <v>1219-300380-44746</v>
      </c>
    </row>
    <row r="3848" spans="1:6" ht="14.25" customHeight="1" x14ac:dyDescent="0.25">
      <c r="A3848" s="15" t="s">
        <v>3988</v>
      </c>
      <c r="B3848" s="16">
        <v>1219</v>
      </c>
      <c r="C3848" s="16">
        <v>300380</v>
      </c>
      <c r="D3848" s="31">
        <v>44753</v>
      </c>
      <c r="E3848" s="16">
        <v>46</v>
      </c>
      <c r="F3848" s="15" t="str">
        <f t="shared" si="60"/>
        <v>1219-300380-44753</v>
      </c>
    </row>
    <row r="3849" spans="1:6" ht="14.25" customHeight="1" x14ac:dyDescent="0.25">
      <c r="A3849" s="15" t="s">
        <v>3989</v>
      </c>
      <c r="B3849" s="16">
        <v>1219</v>
      </c>
      <c r="C3849" s="16">
        <v>300380</v>
      </c>
      <c r="D3849" s="31">
        <v>44760</v>
      </c>
      <c r="E3849" s="16">
        <v>64</v>
      </c>
      <c r="F3849" s="15" t="str">
        <f t="shared" si="60"/>
        <v>1219-300380-44760</v>
      </c>
    </row>
    <row r="3850" spans="1:6" ht="14.25" customHeight="1" x14ac:dyDescent="0.25">
      <c r="A3850" s="15" t="s">
        <v>3990</v>
      </c>
      <c r="B3850" s="16">
        <v>1219</v>
      </c>
      <c r="C3850" s="16">
        <v>300380</v>
      </c>
      <c r="D3850" s="31">
        <v>44767</v>
      </c>
      <c r="E3850" s="16">
        <v>68</v>
      </c>
      <c r="F3850" s="15" t="str">
        <f t="shared" si="60"/>
        <v>1219-300380-44767</v>
      </c>
    </row>
    <row r="3851" spans="1:6" ht="14.25" customHeight="1" x14ac:dyDescent="0.25">
      <c r="A3851" s="15" t="s">
        <v>3991</v>
      </c>
      <c r="B3851" s="16">
        <v>1219</v>
      </c>
      <c r="C3851" s="16">
        <v>300380</v>
      </c>
      <c r="D3851" s="31">
        <v>44774</v>
      </c>
      <c r="E3851" s="16">
        <v>42</v>
      </c>
      <c r="F3851" s="15" t="str">
        <f t="shared" si="60"/>
        <v>1219-300380-44774</v>
      </c>
    </row>
    <row r="3852" spans="1:6" ht="14.25" customHeight="1" x14ac:dyDescent="0.25">
      <c r="A3852" s="15" t="s">
        <v>3992</v>
      </c>
      <c r="B3852" s="16">
        <v>1219</v>
      </c>
      <c r="C3852" s="16">
        <v>300380</v>
      </c>
      <c r="D3852" s="31">
        <v>44781</v>
      </c>
      <c r="E3852" s="16">
        <v>56</v>
      </c>
      <c r="F3852" s="15" t="str">
        <f t="shared" si="60"/>
        <v>1219-300380-44781</v>
      </c>
    </row>
    <row r="3853" spans="1:6" ht="14.25" customHeight="1" x14ac:dyDescent="0.25">
      <c r="A3853" s="15" t="s">
        <v>3993</v>
      </c>
      <c r="B3853" s="16">
        <v>1219</v>
      </c>
      <c r="C3853" s="16">
        <v>300380</v>
      </c>
      <c r="D3853" s="31">
        <v>44788</v>
      </c>
      <c r="E3853" s="16">
        <v>10</v>
      </c>
      <c r="F3853" s="15" t="str">
        <f t="shared" si="60"/>
        <v>1219-300380-44788</v>
      </c>
    </row>
    <row r="3854" spans="1:6" ht="14.25" customHeight="1" x14ac:dyDescent="0.25">
      <c r="A3854" s="15" t="s">
        <v>3994</v>
      </c>
      <c r="B3854" s="16">
        <v>1219</v>
      </c>
      <c r="C3854" s="16">
        <v>571521</v>
      </c>
      <c r="D3854" s="31">
        <v>44739</v>
      </c>
      <c r="E3854" s="16">
        <v>27</v>
      </c>
      <c r="F3854" s="15" t="str">
        <f t="shared" si="60"/>
        <v>1219-571521-44739</v>
      </c>
    </row>
    <row r="3855" spans="1:6" ht="14.25" customHeight="1" x14ac:dyDescent="0.25">
      <c r="A3855" s="15" t="s">
        <v>3995</v>
      </c>
      <c r="B3855" s="16">
        <v>1219</v>
      </c>
      <c r="C3855" s="16">
        <v>571521</v>
      </c>
      <c r="D3855" s="31">
        <v>44746</v>
      </c>
      <c r="E3855" s="16">
        <v>24</v>
      </c>
      <c r="F3855" s="15" t="str">
        <f t="shared" si="60"/>
        <v>1219-571521-44746</v>
      </c>
    </row>
    <row r="3856" spans="1:6" ht="14.25" customHeight="1" x14ac:dyDescent="0.25">
      <c r="A3856" s="15" t="s">
        <v>3996</v>
      </c>
      <c r="B3856" s="16">
        <v>1219</v>
      </c>
      <c r="C3856" s="16">
        <v>571521</v>
      </c>
      <c r="D3856" s="31">
        <v>44753</v>
      </c>
      <c r="E3856" s="16">
        <v>8</v>
      </c>
      <c r="F3856" s="15" t="str">
        <f t="shared" si="60"/>
        <v>1219-571521-44753</v>
      </c>
    </row>
    <row r="3857" spans="1:6" ht="14.25" customHeight="1" x14ac:dyDescent="0.25">
      <c r="A3857" s="15" t="s">
        <v>3997</v>
      </c>
      <c r="B3857" s="16">
        <v>1219</v>
      </c>
      <c r="C3857" s="16">
        <v>571521</v>
      </c>
      <c r="D3857" s="31">
        <v>44760</v>
      </c>
      <c r="E3857" s="16">
        <v>29</v>
      </c>
      <c r="F3857" s="15" t="str">
        <f t="shared" si="60"/>
        <v>1219-571521-44760</v>
      </c>
    </row>
    <row r="3858" spans="1:6" ht="14.25" customHeight="1" x14ac:dyDescent="0.25">
      <c r="A3858" s="15" t="s">
        <v>3998</v>
      </c>
      <c r="B3858" s="16">
        <v>1219</v>
      </c>
      <c r="C3858" s="16">
        <v>571521</v>
      </c>
      <c r="D3858" s="31">
        <v>44767</v>
      </c>
      <c r="E3858" s="16">
        <v>9</v>
      </c>
      <c r="F3858" s="15" t="str">
        <f t="shared" si="60"/>
        <v>1219-571521-44767</v>
      </c>
    </row>
    <row r="3859" spans="1:6" ht="14.25" customHeight="1" x14ac:dyDescent="0.25">
      <c r="A3859" s="15" t="s">
        <v>3999</v>
      </c>
      <c r="B3859" s="16">
        <v>1219</v>
      </c>
      <c r="C3859" s="16">
        <v>571521</v>
      </c>
      <c r="D3859" s="31">
        <v>44774</v>
      </c>
      <c r="E3859" s="16">
        <v>22</v>
      </c>
      <c r="F3859" s="15" t="str">
        <f t="shared" si="60"/>
        <v>1219-571521-44774</v>
      </c>
    </row>
    <row r="3860" spans="1:6" ht="14.25" customHeight="1" x14ac:dyDescent="0.25">
      <c r="A3860" s="15" t="s">
        <v>4000</v>
      </c>
      <c r="B3860" s="16">
        <v>1219</v>
      </c>
      <c r="C3860" s="16">
        <v>571521</v>
      </c>
      <c r="D3860" s="31">
        <v>44781</v>
      </c>
      <c r="E3860" s="16">
        <v>18</v>
      </c>
      <c r="F3860" s="15" t="str">
        <f t="shared" si="60"/>
        <v>1219-571521-44781</v>
      </c>
    </row>
    <row r="3861" spans="1:6" ht="14.25" customHeight="1" x14ac:dyDescent="0.25">
      <c r="A3861" s="15" t="s">
        <v>4001</v>
      </c>
      <c r="B3861" s="16">
        <v>1219</v>
      </c>
      <c r="C3861" s="16">
        <v>571521</v>
      </c>
      <c r="D3861" s="31">
        <v>44788</v>
      </c>
      <c r="E3861" s="16">
        <v>23</v>
      </c>
      <c r="F3861" s="15" t="str">
        <f t="shared" si="60"/>
        <v>1219-571521-44788</v>
      </c>
    </row>
    <row r="3862" spans="1:6" ht="14.25" customHeight="1" x14ac:dyDescent="0.25">
      <c r="A3862" s="15" t="s">
        <v>4002</v>
      </c>
      <c r="B3862" s="16">
        <v>1219</v>
      </c>
      <c r="C3862" s="16">
        <v>614993</v>
      </c>
      <c r="D3862" s="31">
        <v>44739</v>
      </c>
      <c r="E3862" s="16">
        <v>16</v>
      </c>
      <c r="F3862" s="15" t="str">
        <f t="shared" si="60"/>
        <v>1219-614993-44739</v>
      </c>
    </row>
    <row r="3863" spans="1:6" ht="14.25" customHeight="1" x14ac:dyDescent="0.25">
      <c r="A3863" s="15" t="s">
        <v>4003</v>
      </c>
      <c r="B3863" s="16">
        <v>1219</v>
      </c>
      <c r="C3863" s="16">
        <v>614993</v>
      </c>
      <c r="D3863" s="31">
        <v>44746</v>
      </c>
      <c r="E3863" s="16">
        <v>18</v>
      </c>
      <c r="F3863" s="15" t="str">
        <f t="shared" si="60"/>
        <v>1219-614993-44746</v>
      </c>
    </row>
    <row r="3864" spans="1:6" ht="14.25" customHeight="1" x14ac:dyDescent="0.25">
      <c r="A3864" s="15" t="s">
        <v>4004</v>
      </c>
      <c r="B3864" s="16">
        <v>1219</v>
      </c>
      <c r="C3864" s="16">
        <v>614993</v>
      </c>
      <c r="D3864" s="31">
        <v>44753</v>
      </c>
      <c r="E3864" s="16">
        <v>10</v>
      </c>
      <c r="F3864" s="15" t="str">
        <f t="shared" si="60"/>
        <v>1219-614993-44753</v>
      </c>
    </row>
    <row r="3865" spans="1:6" ht="14.25" customHeight="1" x14ac:dyDescent="0.25">
      <c r="A3865" s="15" t="s">
        <v>4005</v>
      </c>
      <c r="B3865" s="16">
        <v>1219</v>
      </c>
      <c r="C3865" s="16">
        <v>614993</v>
      </c>
      <c r="D3865" s="31">
        <v>44760</v>
      </c>
      <c r="E3865" s="16">
        <v>16</v>
      </c>
      <c r="F3865" s="15" t="str">
        <f t="shared" si="60"/>
        <v>1219-614993-44760</v>
      </c>
    </row>
    <row r="3866" spans="1:6" ht="14.25" customHeight="1" x14ac:dyDescent="0.25">
      <c r="A3866" s="15" t="s">
        <v>4006</v>
      </c>
      <c r="B3866" s="16">
        <v>1219</v>
      </c>
      <c r="C3866" s="16">
        <v>614993</v>
      </c>
      <c r="D3866" s="31">
        <v>44767</v>
      </c>
      <c r="E3866" s="16">
        <v>18</v>
      </c>
      <c r="F3866" s="15" t="str">
        <f t="shared" si="60"/>
        <v>1219-614993-44767</v>
      </c>
    </row>
    <row r="3867" spans="1:6" ht="14.25" customHeight="1" x14ac:dyDescent="0.25">
      <c r="A3867" s="15" t="s">
        <v>4007</v>
      </c>
      <c r="B3867" s="16">
        <v>1219</v>
      </c>
      <c r="C3867" s="16">
        <v>614993</v>
      </c>
      <c r="D3867" s="31">
        <v>44774</v>
      </c>
      <c r="E3867" s="16">
        <v>18</v>
      </c>
      <c r="F3867" s="15" t="str">
        <f t="shared" si="60"/>
        <v>1219-614993-44774</v>
      </c>
    </row>
    <row r="3868" spans="1:6" ht="14.25" customHeight="1" x14ac:dyDescent="0.25">
      <c r="A3868" s="15" t="s">
        <v>4008</v>
      </c>
      <c r="B3868" s="16">
        <v>1219</v>
      </c>
      <c r="C3868" s="16">
        <v>614993</v>
      </c>
      <c r="D3868" s="31">
        <v>44781</v>
      </c>
      <c r="E3868" s="16">
        <v>16</v>
      </c>
      <c r="F3868" s="15" t="str">
        <f t="shared" si="60"/>
        <v>1219-614993-44781</v>
      </c>
    </row>
    <row r="3869" spans="1:6" ht="14.25" customHeight="1" x14ac:dyDescent="0.25">
      <c r="A3869" s="15" t="s">
        <v>4009</v>
      </c>
      <c r="B3869" s="16">
        <v>1219</v>
      </c>
      <c r="C3869" s="16">
        <v>614993</v>
      </c>
      <c r="D3869" s="31">
        <v>44788</v>
      </c>
      <c r="E3869" s="16">
        <v>15</v>
      </c>
      <c r="F3869" s="15" t="str">
        <f t="shared" si="60"/>
        <v>1219-614993-44788</v>
      </c>
    </row>
    <row r="3870" spans="1:6" ht="14.25" customHeight="1" x14ac:dyDescent="0.25">
      <c r="A3870" s="15" t="s">
        <v>4010</v>
      </c>
      <c r="B3870" s="16">
        <v>1220</v>
      </c>
      <c r="C3870" s="16">
        <v>23393</v>
      </c>
      <c r="D3870" s="31">
        <v>44739</v>
      </c>
      <c r="E3870" s="16">
        <v>160</v>
      </c>
      <c r="F3870" s="15" t="str">
        <f t="shared" si="60"/>
        <v>1220-23393-44739</v>
      </c>
    </row>
    <row r="3871" spans="1:6" ht="14.25" customHeight="1" x14ac:dyDescent="0.25">
      <c r="A3871" s="15" t="s">
        <v>4011</v>
      </c>
      <c r="B3871" s="16">
        <v>1220</v>
      </c>
      <c r="C3871" s="16">
        <v>23393</v>
      </c>
      <c r="D3871" s="31">
        <v>44746</v>
      </c>
      <c r="E3871" s="16">
        <v>324</v>
      </c>
      <c r="F3871" s="15" t="str">
        <f t="shared" si="60"/>
        <v>1220-23393-44746</v>
      </c>
    </row>
    <row r="3872" spans="1:6" ht="14.25" customHeight="1" x14ac:dyDescent="0.25">
      <c r="A3872" s="15" t="s">
        <v>4012</v>
      </c>
      <c r="B3872" s="16">
        <v>1220</v>
      </c>
      <c r="C3872" s="16">
        <v>23393</v>
      </c>
      <c r="D3872" s="31">
        <v>44753</v>
      </c>
      <c r="E3872" s="16">
        <v>372</v>
      </c>
      <c r="F3872" s="15" t="str">
        <f t="shared" si="60"/>
        <v>1220-23393-44753</v>
      </c>
    </row>
    <row r="3873" spans="1:6" ht="14.25" customHeight="1" x14ac:dyDescent="0.25">
      <c r="A3873" s="15" t="s">
        <v>4013</v>
      </c>
      <c r="B3873" s="16">
        <v>1220</v>
      </c>
      <c r="C3873" s="16">
        <v>23393</v>
      </c>
      <c r="D3873" s="31">
        <v>44760</v>
      </c>
      <c r="E3873" s="16">
        <v>305</v>
      </c>
      <c r="F3873" s="15" t="str">
        <f t="shared" si="60"/>
        <v>1220-23393-44760</v>
      </c>
    </row>
    <row r="3874" spans="1:6" ht="14.25" customHeight="1" x14ac:dyDescent="0.25">
      <c r="A3874" s="15" t="s">
        <v>4014</v>
      </c>
      <c r="B3874" s="16">
        <v>1220</v>
      </c>
      <c r="C3874" s="16">
        <v>23393</v>
      </c>
      <c r="D3874" s="31">
        <v>44767</v>
      </c>
      <c r="E3874" s="16">
        <v>300</v>
      </c>
      <c r="F3874" s="15" t="str">
        <f t="shared" si="60"/>
        <v>1220-23393-44767</v>
      </c>
    </row>
    <row r="3875" spans="1:6" ht="14.25" customHeight="1" x14ac:dyDescent="0.25">
      <c r="A3875" s="15" t="s">
        <v>4015</v>
      </c>
      <c r="B3875" s="16">
        <v>1220</v>
      </c>
      <c r="C3875" s="16">
        <v>23393</v>
      </c>
      <c r="D3875" s="31">
        <v>44774</v>
      </c>
      <c r="E3875" s="16">
        <v>161</v>
      </c>
      <c r="F3875" s="15" t="str">
        <f t="shared" si="60"/>
        <v>1220-23393-44774</v>
      </c>
    </row>
    <row r="3876" spans="1:6" ht="14.25" customHeight="1" x14ac:dyDescent="0.25">
      <c r="A3876" s="15" t="s">
        <v>4016</v>
      </c>
      <c r="B3876" s="16">
        <v>1220</v>
      </c>
      <c r="C3876" s="16">
        <v>23393</v>
      </c>
      <c r="D3876" s="31">
        <v>44781</v>
      </c>
      <c r="E3876" s="16">
        <v>260</v>
      </c>
      <c r="F3876" s="15" t="str">
        <f t="shared" si="60"/>
        <v>1220-23393-44781</v>
      </c>
    </row>
    <row r="3877" spans="1:6" ht="14.25" customHeight="1" x14ac:dyDescent="0.25">
      <c r="A3877" s="15" t="s">
        <v>4017</v>
      </c>
      <c r="B3877" s="16">
        <v>1220</v>
      </c>
      <c r="C3877" s="16">
        <v>23393</v>
      </c>
      <c r="D3877" s="31">
        <v>44788</v>
      </c>
      <c r="E3877" s="16">
        <v>341</v>
      </c>
      <c r="F3877" s="15" t="str">
        <f t="shared" si="60"/>
        <v>1220-23393-44788</v>
      </c>
    </row>
    <row r="3878" spans="1:6" ht="14.25" customHeight="1" x14ac:dyDescent="0.25">
      <c r="A3878" s="15" t="s">
        <v>4018</v>
      </c>
      <c r="B3878" s="16">
        <v>1220</v>
      </c>
      <c r="C3878" s="16">
        <v>26764</v>
      </c>
      <c r="D3878" s="31">
        <v>44739</v>
      </c>
      <c r="E3878" s="16">
        <v>52</v>
      </c>
      <c r="F3878" s="15" t="str">
        <f t="shared" si="60"/>
        <v>1220-26764-44739</v>
      </c>
    </row>
    <row r="3879" spans="1:6" ht="14.25" customHeight="1" x14ac:dyDescent="0.25">
      <c r="A3879" s="15" t="s">
        <v>4019</v>
      </c>
      <c r="B3879" s="16">
        <v>1220</v>
      </c>
      <c r="C3879" s="16">
        <v>26764</v>
      </c>
      <c r="D3879" s="31">
        <v>44746</v>
      </c>
      <c r="E3879" s="16">
        <v>42</v>
      </c>
      <c r="F3879" s="15" t="str">
        <f t="shared" si="60"/>
        <v>1220-26764-44746</v>
      </c>
    </row>
    <row r="3880" spans="1:6" ht="14.25" customHeight="1" x14ac:dyDescent="0.25">
      <c r="A3880" s="15" t="s">
        <v>4020</v>
      </c>
      <c r="B3880" s="16">
        <v>1220</v>
      </c>
      <c r="C3880" s="16">
        <v>26764</v>
      </c>
      <c r="D3880" s="31">
        <v>44753</v>
      </c>
      <c r="E3880" s="16">
        <v>53</v>
      </c>
      <c r="F3880" s="15" t="str">
        <f t="shared" si="60"/>
        <v>1220-26764-44753</v>
      </c>
    </row>
    <row r="3881" spans="1:6" ht="14.25" customHeight="1" x14ac:dyDescent="0.25">
      <c r="A3881" s="15" t="s">
        <v>4021</v>
      </c>
      <c r="B3881" s="16">
        <v>1220</v>
      </c>
      <c r="C3881" s="16">
        <v>26764</v>
      </c>
      <c r="D3881" s="31">
        <v>44760</v>
      </c>
      <c r="E3881" s="16">
        <v>48</v>
      </c>
      <c r="F3881" s="15" t="str">
        <f t="shared" si="60"/>
        <v>1220-26764-44760</v>
      </c>
    </row>
    <row r="3882" spans="1:6" ht="14.25" customHeight="1" x14ac:dyDescent="0.25">
      <c r="A3882" s="15" t="s">
        <v>4022</v>
      </c>
      <c r="B3882" s="16">
        <v>1220</v>
      </c>
      <c r="C3882" s="16">
        <v>26764</v>
      </c>
      <c r="D3882" s="31">
        <v>44767</v>
      </c>
      <c r="E3882" s="16">
        <v>36</v>
      </c>
      <c r="F3882" s="15" t="str">
        <f t="shared" si="60"/>
        <v>1220-26764-44767</v>
      </c>
    </row>
    <row r="3883" spans="1:6" ht="14.25" customHeight="1" x14ac:dyDescent="0.25">
      <c r="A3883" s="15" t="s">
        <v>4023</v>
      </c>
      <c r="B3883" s="16">
        <v>1220</v>
      </c>
      <c r="C3883" s="16">
        <v>26764</v>
      </c>
      <c r="D3883" s="31">
        <v>44774</v>
      </c>
      <c r="E3883" s="16">
        <v>54</v>
      </c>
      <c r="F3883" s="15" t="str">
        <f t="shared" si="60"/>
        <v>1220-26764-44774</v>
      </c>
    </row>
    <row r="3884" spans="1:6" ht="14.25" customHeight="1" x14ac:dyDescent="0.25">
      <c r="A3884" s="15" t="s">
        <v>4024</v>
      </c>
      <c r="B3884" s="16">
        <v>1220</v>
      </c>
      <c r="C3884" s="16">
        <v>26764</v>
      </c>
      <c r="D3884" s="31">
        <v>44781</v>
      </c>
      <c r="E3884" s="16">
        <v>42</v>
      </c>
      <c r="F3884" s="15" t="str">
        <f t="shared" si="60"/>
        <v>1220-26764-44781</v>
      </c>
    </row>
    <row r="3885" spans="1:6" ht="14.25" customHeight="1" x14ac:dyDescent="0.25">
      <c r="A3885" s="15" t="s">
        <v>4025</v>
      </c>
      <c r="B3885" s="16">
        <v>1220</v>
      </c>
      <c r="C3885" s="16">
        <v>26764</v>
      </c>
      <c r="D3885" s="31">
        <v>44788</v>
      </c>
      <c r="E3885" s="16">
        <v>49</v>
      </c>
      <c r="F3885" s="15" t="str">
        <f t="shared" si="60"/>
        <v>1220-26764-44788</v>
      </c>
    </row>
    <row r="3886" spans="1:6" ht="14.25" customHeight="1" x14ac:dyDescent="0.25">
      <c r="A3886" s="15" t="s">
        <v>4026</v>
      </c>
      <c r="B3886" s="16">
        <v>1220</v>
      </c>
      <c r="C3886" s="16">
        <v>78699</v>
      </c>
      <c r="D3886" s="31">
        <v>44739</v>
      </c>
      <c r="E3886" s="16">
        <v>-4</v>
      </c>
      <c r="F3886" s="15" t="str">
        <f t="shared" si="60"/>
        <v>1220-78699-44739</v>
      </c>
    </row>
    <row r="3887" spans="1:6" ht="14.25" customHeight="1" x14ac:dyDescent="0.25">
      <c r="A3887" s="15" t="s">
        <v>4027</v>
      </c>
      <c r="B3887" s="16">
        <v>1220</v>
      </c>
      <c r="C3887" s="16">
        <v>78699</v>
      </c>
      <c r="D3887" s="31">
        <v>44746</v>
      </c>
      <c r="E3887" s="16">
        <v>14</v>
      </c>
      <c r="F3887" s="15" t="str">
        <f t="shared" si="60"/>
        <v>1220-78699-44746</v>
      </c>
    </row>
    <row r="3888" spans="1:6" ht="14.25" customHeight="1" x14ac:dyDescent="0.25">
      <c r="A3888" s="15" t="s">
        <v>4028</v>
      </c>
      <c r="B3888" s="16">
        <v>1220</v>
      </c>
      <c r="C3888" s="16">
        <v>78699</v>
      </c>
      <c r="D3888" s="31">
        <v>44753</v>
      </c>
      <c r="E3888" s="16">
        <v>13</v>
      </c>
      <c r="F3888" s="15" t="str">
        <f t="shared" si="60"/>
        <v>1220-78699-44753</v>
      </c>
    </row>
    <row r="3889" spans="1:6" ht="14.25" customHeight="1" x14ac:dyDescent="0.25">
      <c r="A3889" s="15" t="s">
        <v>4029</v>
      </c>
      <c r="B3889" s="16">
        <v>1220</v>
      </c>
      <c r="C3889" s="16">
        <v>78699</v>
      </c>
      <c r="D3889" s="31">
        <v>44760</v>
      </c>
      <c r="E3889" s="16">
        <v>6</v>
      </c>
      <c r="F3889" s="15" t="str">
        <f t="shared" si="60"/>
        <v>1220-78699-44760</v>
      </c>
    </row>
    <row r="3890" spans="1:6" ht="14.25" customHeight="1" x14ac:dyDescent="0.25">
      <c r="A3890" s="15" t="s">
        <v>4030</v>
      </c>
      <c r="B3890" s="16">
        <v>1220</v>
      </c>
      <c r="C3890" s="16">
        <v>78699</v>
      </c>
      <c r="D3890" s="31">
        <v>44767</v>
      </c>
      <c r="E3890" s="16">
        <v>13</v>
      </c>
      <c r="F3890" s="15" t="str">
        <f t="shared" si="60"/>
        <v>1220-78699-44767</v>
      </c>
    </row>
    <row r="3891" spans="1:6" ht="14.25" customHeight="1" x14ac:dyDescent="0.25">
      <c r="A3891" s="15" t="s">
        <v>4031</v>
      </c>
      <c r="B3891" s="16">
        <v>1220</v>
      </c>
      <c r="C3891" s="16">
        <v>78699</v>
      </c>
      <c r="D3891" s="31">
        <v>44774</v>
      </c>
      <c r="E3891" s="16">
        <v>11</v>
      </c>
      <c r="F3891" s="15" t="str">
        <f t="shared" si="60"/>
        <v>1220-78699-44774</v>
      </c>
    </row>
    <row r="3892" spans="1:6" ht="14.25" customHeight="1" x14ac:dyDescent="0.25">
      <c r="A3892" s="15" t="s">
        <v>4032</v>
      </c>
      <c r="B3892" s="16">
        <v>1220</v>
      </c>
      <c r="C3892" s="16">
        <v>78699</v>
      </c>
      <c r="D3892" s="31">
        <v>44781</v>
      </c>
      <c r="E3892" s="16">
        <v>16</v>
      </c>
      <c r="F3892" s="15" t="str">
        <f t="shared" si="60"/>
        <v>1220-78699-44781</v>
      </c>
    </row>
    <row r="3893" spans="1:6" ht="14.25" customHeight="1" x14ac:dyDescent="0.25">
      <c r="A3893" s="15" t="s">
        <v>4033</v>
      </c>
      <c r="B3893" s="16">
        <v>1220</v>
      </c>
      <c r="C3893" s="16">
        <v>78699</v>
      </c>
      <c r="D3893" s="31">
        <v>44788</v>
      </c>
      <c r="E3893" s="16">
        <v>9</v>
      </c>
      <c r="F3893" s="15" t="str">
        <f t="shared" si="60"/>
        <v>1220-78699-44788</v>
      </c>
    </row>
    <row r="3894" spans="1:6" ht="14.25" customHeight="1" x14ac:dyDescent="0.25">
      <c r="A3894" s="15" t="s">
        <v>4034</v>
      </c>
      <c r="B3894" s="16">
        <v>1220</v>
      </c>
      <c r="C3894" s="16">
        <v>78869</v>
      </c>
      <c r="D3894" s="31">
        <v>44739</v>
      </c>
      <c r="E3894" s="16">
        <v>8</v>
      </c>
      <c r="F3894" s="15" t="str">
        <f t="shared" si="60"/>
        <v>1220-78869-44739</v>
      </c>
    </row>
    <row r="3895" spans="1:6" ht="14.25" customHeight="1" x14ac:dyDescent="0.25">
      <c r="A3895" s="15" t="s">
        <v>4035</v>
      </c>
      <c r="B3895" s="16">
        <v>1220</v>
      </c>
      <c r="C3895" s="16">
        <v>78869</v>
      </c>
      <c r="D3895" s="31">
        <v>44746</v>
      </c>
      <c r="E3895" s="16">
        <v>8</v>
      </c>
      <c r="F3895" s="15" t="str">
        <f t="shared" si="60"/>
        <v>1220-78869-44746</v>
      </c>
    </row>
    <row r="3896" spans="1:6" ht="14.25" customHeight="1" x14ac:dyDescent="0.25">
      <c r="A3896" s="15" t="s">
        <v>4036</v>
      </c>
      <c r="B3896" s="16">
        <v>1220</v>
      </c>
      <c r="C3896" s="16">
        <v>78869</v>
      </c>
      <c r="D3896" s="31">
        <v>44753</v>
      </c>
      <c r="E3896" s="16">
        <v>8</v>
      </c>
      <c r="F3896" s="15" t="str">
        <f t="shared" si="60"/>
        <v>1220-78869-44753</v>
      </c>
    </row>
    <row r="3897" spans="1:6" ht="14.25" customHeight="1" x14ac:dyDescent="0.25">
      <c r="A3897" s="15" t="s">
        <v>4037</v>
      </c>
      <c r="B3897" s="16">
        <v>1220</v>
      </c>
      <c r="C3897" s="16">
        <v>78869</v>
      </c>
      <c r="D3897" s="31">
        <v>44760</v>
      </c>
      <c r="E3897" s="16">
        <v>6</v>
      </c>
      <c r="F3897" s="15" t="str">
        <f t="shared" si="60"/>
        <v>1220-78869-44760</v>
      </c>
    </row>
    <row r="3898" spans="1:6" ht="14.25" customHeight="1" x14ac:dyDescent="0.25">
      <c r="A3898" s="15" t="s">
        <v>4038</v>
      </c>
      <c r="B3898" s="16">
        <v>1220</v>
      </c>
      <c r="C3898" s="16">
        <v>78869</v>
      </c>
      <c r="D3898" s="31">
        <v>44767</v>
      </c>
      <c r="E3898" s="16">
        <v>10</v>
      </c>
      <c r="F3898" s="15" t="str">
        <f t="shared" si="60"/>
        <v>1220-78869-44767</v>
      </c>
    </row>
    <row r="3899" spans="1:6" ht="14.25" customHeight="1" x14ac:dyDescent="0.25">
      <c r="A3899" s="15" t="s">
        <v>4039</v>
      </c>
      <c r="B3899" s="16">
        <v>1220</v>
      </c>
      <c r="C3899" s="16">
        <v>78869</v>
      </c>
      <c r="D3899" s="31">
        <v>44774</v>
      </c>
      <c r="E3899" s="16">
        <v>8</v>
      </c>
      <c r="F3899" s="15" t="str">
        <f t="shared" si="60"/>
        <v>1220-78869-44774</v>
      </c>
    </row>
    <row r="3900" spans="1:6" ht="14.25" customHeight="1" x14ac:dyDescent="0.25">
      <c r="A3900" s="15" t="s">
        <v>4040</v>
      </c>
      <c r="B3900" s="16">
        <v>1220</v>
      </c>
      <c r="C3900" s="16">
        <v>78869</v>
      </c>
      <c r="D3900" s="31">
        <v>44781</v>
      </c>
      <c r="E3900" s="16">
        <v>12</v>
      </c>
      <c r="F3900" s="15" t="str">
        <f t="shared" si="60"/>
        <v>1220-78869-44781</v>
      </c>
    </row>
    <row r="3901" spans="1:6" ht="14.25" customHeight="1" x14ac:dyDescent="0.25">
      <c r="A3901" s="15" t="s">
        <v>4041</v>
      </c>
      <c r="B3901" s="16">
        <v>1220</v>
      </c>
      <c r="C3901" s="16">
        <v>78869</v>
      </c>
      <c r="D3901" s="31">
        <v>44788</v>
      </c>
      <c r="E3901" s="16">
        <v>-3</v>
      </c>
      <c r="F3901" s="15" t="str">
        <f t="shared" si="60"/>
        <v>1220-78869-44788</v>
      </c>
    </row>
    <row r="3902" spans="1:6" ht="14.25" customHeight="1" x14ac:dyDescent="0.25">
      <c r="A3902" s="15" t="s">
        <v>4042</v>
      </c>
      <c r="B3902" s="16">
        <v>1220</v>
      </c>
      <c r="C3902" s="16">
        <v>115600</v>
      </c>
      <c r="D3902" s="31">
        <v>44739</v>
      </c>
      <c r="E3902" s="16">
        <v>33</v>
      </c>
      <c r="F3902" s="15" t="str">
        <f t="shared" si="60"/>
        <v>1220-115600-44739</v>
      </c>
    </row>
    <row r="3903" spans="1:6" ht="14.25" customHeight="1" x14ac:dyDescent="0.25">
      <c r="A3903" s="15" t="s">
        <v>4043</v>
      </c>
      <c r="B3903" s="16">
        <v>1220</v>
      </c>
      <c r="C3903" s="16">
        <v>115600</v>
      </c>
      <c r="D3903" s="31">
        <v>44746</v>
      </c>
      <c r="E3903" s="16">
        <v>42</v>
      </c>
      <c r="F3903" s="15" t="str">
        <f t="shared" si="60"/>
        <v>1220-115600-44746</v>
      </c>
    </row>
    <row r="3904" spans="1:6" ht="14.25" customHeight="1" x14ac:dyDescent="0.25">
      <c r="A3904" s="15" t="s">
        <v>4044</v>
      </c>
      <c r="B3904" s="16">
        <v>1220</v>
      </c>
      <c r="C3904" s="16">
        <v>115600</v>
      </c>
      <c r="D3904" s="31">
        <v>44753</v>
      </c>
      <c r="E3904" s="16">
        <v>20</v>
      </c>
      <c r="F3904" s="15" t="str">
        <f t="shared" si="60"/>
        <v>1220-115600-44753</v>
      </c>
    </row>
    <row r="3905" spans="1:6" ht="14.25" customHeight="1" x14ac:dyDescent="0.25">
      <c r="A3905" s="15" t="s">
        <v>4045</v>
      </c>
      <c r="B3905" s="16">
        <v>1220</v>
      </c>
      <c r="C3905" s="16">
        <v>115600</v>
      </c>
      <c r="D3905" s="31">
        <v>44760</v>
      </c>
      <c r="E3905" s="16">
        <v>52</v>
      </c>
      <c r="F3905" s="15" t="str">
        <f t="shared" si="60"/>
        <v>1220-115600-44760</v>
      </c>
    </row>
    <row r="3906" spans="1:6" ht="14.25" customHeight="1" x14ac:dyDescent="0.25">
      <c r="A3906" s="15" t="s">
        <v>4046</v>
      </c>
      <c r="B3906" s="16">
        <v>1220</v>
      </c>
      <c r="C3906" s="16">
        <v>115600</v>
      </c>
      <c r="D3906" s="31">
        <v>44767</v>
      </c>
      <c r="E3906" s="16">
        <v>19</v>
      </c>
      <c r="F3906" s="15" t="str">
        <f t="shared" si="60"/>
        <v>1220-115600-44767</v>
      </c>
    </row>
    <row r="3907" spans="1:6" ht="14.25" customHeight="1" x14ac:dyDescent="0.25">
      <c r="A3907" s="15" t="s">
        <v>4047</v>
      </c>
      <c r="B3907" s="16">
        <v>1220</v>
      </c>
      <c r="C3907" s="16">
        <v>115600</v>
      </c>
      <c r="D3907" s="31">
        <v>44774</v>
      </c>
      <c r="E3907" s="16">
        <v>43</v>
      </c>
      <c r="F3907" s="15" t="str">
        <f t="shared" ref="F3907:F3970" si="61">B3907&amp;"-"&amp;C3907&amp;"-"&amp;INT(D3907)</f>
        <v>1220-115600-44774</v>
      </c>
    </row>
    <row r="3908" spans="1:6" ht="14.25" customHeight="1" x14ac:dyDescent="0.25">
      <c r="A3908" s="15" t="s">
        <v>4048</v>
      </c>
      <c r="B3908" s="16">
        <v>1220</v>
      </c>
      <c r="C3908" s="16">
        <v>115600</v>
      </c>
      <c r="D3908" s="31">
        <v>44781</v>
      </c>
      <c r="E3908" s="16">
        <v>53</v>
      </c>
      <c r="F3908" s="15" t="str">
        <f t="shared" si="61"/>
        <v>1220-115600-44781</v>
      </c>
    </row>
    <row r="3909" spans="1:6" ht="14.25" customHeight="1" x14ac:dyDescent="0.25">
      <c r="A3909" s="15" t="s">
        <v>4049</v>
      </c>
      <c r="B3909" s="16">
        <v>1220</v>
      </c>
      <c r="C3909" s="16">
        <v>115600</v>
      </c>
      <c r="D3909" s="31">
        <v>44788</v>
      </c>
      <c r="E3909" s="16">
        <v>17</v>
      </c>
      <c r="F3909" s="15" t="str">
        <f t="shared" si="61"/>
        <v>1220-115600-44788</v>
      </c>
    </row>
    <row r="3910" spans="1:6" ht="14.25" customHeight="1" x14ac:dyDescent="0.25">
      <c r="A3910" s="15" t="s">
        <v>4050</v>
      </c>
      <c r="B3910" s="16">
        <v>1220</v>
      </c>
      <c r="C3910" s="16">
        <v>129208</v>
      </c>
      <c r="D3910" s="31">
        <v>32874</v>
      </c>
      <c r="E3910" s="16">
        <v>32</v>
      </c>
      <c r="F3910" s="15" t="str">
        <f t="shared" si="61"/>
        <v>1220-129208-32874</v>
      </c>
    </row>
    <row r="3911" spans="1:6" ht="14.25" customHeight="1" x14ac:dyDescent="0.25">
      <c r="A3911" s="15" t="s">
        <v>4051</v>
      </c>
      <c r="B3911" s="16">
        <v>1220</v>
      </c>
      <c r="C3911" s="16">
        <v>129208</v>
      </c>
      <c r="D3911" s="31">
        <v>44739</v>
      </c>
      <c r="E3911" s="16">
        <v>45</v>
      </c>
      <c r="F3911" s="15" t="str">
        <f t="shared" si="61"/>
        <v>1220-129208-44739</v>
      </c>
    </row>
    <row r="3912" spans="1:6" ht="14.25" customHeight="1" x14ac:dyDescent="0.25">
      <c r="A3912" s="15" t="s">
        <v>4052</v>
      </c>
      <c r="B3912" s="16">
        <v>1220</v>
      </c>
      <c r="C3912" s="16">
        <v>129208</v>
      </c>
      <c r="D3912" s="31">
        <v>44746</v>
      </c>
      <c r="E3912" s="16">
        <v>45</v>
      </c>
      <c r="F3912" s="15" t="str">
        <f t="shared" si="61"/>
        <v>1220-129208-44746</v>
      </c>
    </row>
    <row r="3913" spans="1:6" ht="14.25" customHeight="1" x14ac:dyDescent="0.25">
      <c r="A3913" s="15" t="s">
        <v>4053</v>
      </c>
      <c r="B3913" s="16">
        <v>1220</v>
      </c>
      <c r="C3913" s="16">
        <v>129208</v>
      </c>
      <c r="D3913" s="31">
        <v>44753</v>
      </c>
      <c r="E3913" s="16">
        <v>52</v>
      </c>
      <c r="F3913" s="15" t="str">
        <f t="shared" si="61"/>
        <v>1220-129208-44753</v>
      </c>
    </row>
    <row r="3914" spans="1:6" ht="14.25" customHeight="1" x14ac:dyDescent="0.25">
      <c r="A3914" s="15" t="s">
        <v>4054</v>
      </c>
      <c r="B3914" s="16">
        <v>1220</v>
      </c>
      <c r="C3914" s="16">
        <v>129208</v>
      </c>
      <c r="D3914" s="31">
        <v>44760</v>
      </c>
      <c r="E3914" s="16">
        <v>24</v>
      </c>
      <c r="F3914" s="15" t="str">
        <f t="shared" si="61"/>
        <v>1220-129208-44760</v>
      </c>
    </row>
    <row r="3915" spans="1:6" ht="14.25" customHeight="1" x14ac:dyDescent="0.25">
      <c r="A3915" s="15" t="s">
        <v>4055</v>
      </c>
      <c r="B3915" s="16">
        <v>1220</v>
      </c>
      <c r="C3915" s="16">
        <v>129208</v>
      </c>
      <c r="D3915" s="31">
        <v>44767</v>
      </c>
      <c r="E3915" s="16">
        <v>59</v>
      </c>
      <c r="F3915" s="15" t="str">
        <f t="shared" si="61"/>
        <v>1220-129208-44767</v>
      </c>
    </row>
    <row r="3916" spans="1:6" ht="14.25" customHeight="1" x14ac:dyDescent="0.25">
      <c r="A3916" s="15" t="s">
        <v>4056</v>
      </c>
      <c r="B3916" s="16">
        <v>1220</v>
      </c>
      <c r="C3916" s="16">
        <v>129208</v>
      </c>
      <c r="D3916" s="31">
        <v>44774</v>
      </c>
      <c r="E3916" s="16">
        <v>55</v>
      </c>
      <c r="F3916" s="15" t="str">
        <f t="shared" si="61"/>
        <v>1220-129208-44774</v>
      </c>
    </row>
    <row r="3917" spans="1:6" ht="14.25" customHeight="1" x14ac:dyDescent="0.25">
      <c r="A3917" s="15" t="s">
        <v>4057</v>
      </c>
      <c r="B3917" s="16">
        <v>1220</v>
      </c>
      <c r="C3917" s="16">
        <v>129208</v>
      </c>
      <c r="D3917" s="31">
        <v>44781</v>
      </c>
      <c r="E3917" s="16">
        <v>25</v>
      </c>
      <c r="F3917" s="15" t="str">
        <f t="shared" si="61"/>
        <v>1220-129208-44781</v>
      </c>
    </row>
    <row r="3918" spans="1:6" ht="14.25" customHeight="1" x14ac:dyDescent="0.25">
      <c r="A3918" s="15" t="s">
        <v>4058</v>
      </c>
      <c r="B3918" s="16">
        <v>1220</v>
      </c>
      <c r="C3918" s="16">
        <v>129208</v>
      </c>
      <c r="D3918" s="31">
        <v>44788</v>
      </c>
      <c r="E3918" s="16">
        <v>49</v>
      </c>
      <c r="F3918" s="15" t="str">
        <f t="shared" si="61"/>
        <v>1220-129208-44788</v>
      </c>
    </row>
    <row r="3919" spans="1:6" ht="14.25" customHeight="1" x14ac:dyDescent="0.25">
      <c r="A3919" s="15" t="s">
        <v>4059</v>
      </c>
      <c r="B3919" s="16">
        <v>1220</v>
      </c>
      <c r="C3919" s="16">
        <v>141622</v>
      </c>
      <c r="D3919" s="31">
        <v>44739</v>
      </c>
      <c r="E3919" s="16">
        <v>74</v>
      </c>
      <c r="F3919" s="15" t="str">
        <f t="shared" si="61"/>
        <v>1220-141622-44739</v>
      </c>
    </row>
    <row r="3920" spans="1:6" ht="14.25" customHeight="1" x14ac:dyDescent="0.25">
      <c r="A3920" s="15" t="s">
        <v>4060</v>
      </c>
      <c r="B3920" s="16">
        <v>1220</v>
      </c>
      <c r="C3920" s="16">
        <v>141622</v>
      </c>
      <c r="D3920" s="31">
        <v>44746</v>
      </c>
      <c r="E3920" s="16">
        <v>74</v>
      </c>
      <c r="F3920" s="15" t="str">
        <f t="shared" si="61"/>
        <v>1220-141622-44746</v>
      </c>
    </row>
    <row r="3921" spans="1:6" ht="14.25" customHeight="1" x14ac:dyDescent="0.25">
      <c r="A3921" s="15" t="s">
        <v>4061</v>
      </c>
      <c r="B3921" s="16">
        <v>1220</v>
      </c>
      <c r="C3921" s="16">
        <v>141622</v>
      </c>
      <c r="D3921" s="31">
        <v>44753</v>
      </c>
      <c r="E3921" s="16">
        <v>74</v>
      </c>
      <c r="F3921" s="15" t="str">
        <f t="shared" si="61"/>
        <v>1220-141622-44753</v>
      </c>
    </row>
    <row r="3922" spans="1:6" ht="14.25" customHeight="1" x14ac:dyDescent="0.25">
      <c r="A3922" s="15" t="s">
        <v>4062</v>
      </c>
      <c r="B3922" s="16">
        <v>1220</v>
      </c>
      <c r="C3922" s="16">
        <v>141622</v>
      </c>
      <c r="D3922" s="31">
        <v>44760</v>
      </c>
      <c r="E3922" s="16">
        <v>74</v>
      </c>
      <c r="F3922" s="15" t="str">
        <f t="shared" si="61"/>
        <v>1220-141622-44760</v>
      </c>
    </row>
    <row r="3923" spans="1:6" ht="14.25" customHeight="1" x14ac:dyDescent="0.25">
      <c r="A3923" s="15" t="s">
        <v>4063</v>
      </c>
      <c r="B3923" s="16">
        <v>1220</v>
      </c>
      <c r="C3923" s="16">
        <v>141622</v>
      </c>
      <c r="D3923" s="31">
        <v>44767</v>
      </c>
      <c r="E3923" s="16">
        <v>74</v>
      </c>
      <c r="F3923" s="15" t="str">
        <f t="shared" si="61"/>
        <v>1220-141622-44767</v>
      </c>
    </row>
    <row r="3924" spans="1:6" ht="14.25" customHeight="1" x14ac:dyDescent="0.25">
      <c r="A3924" s="15" t="s">
        <v>4064</v>
      </c>
      <c r="B3924" s="16">
        <v>1220</v>
      </c>
      <c r="C3924" s="16">
        <v>141622</v>
      </c>
      <c r="D3924" s="31">
        <v>44774</v>
      </c>
      <c r="E3924" s="16">
        <v>74</v>
      </c>
      <c r="F3924" s="15" t="str">
        <f t="shared" si="61"/>
        <v>1220-141622-44774</v>
      </c>
    </row>
    <row r="3925" spans="1:6" ht="14.25" customHeight="1" x14ac:dyDescent="0.25">
      <c r="A3925" s="15" t="s">
        <v>4065</v>
      </c>
      <c r="B3925" s="16">
        <v>1220</v>
      </c>
      <c r="C3925" s="16">
        <v>141622</v>
      </c>
      <c r="D3925" s="31">
        <v>44781</v>
      </c>
      <c r="E3925" s="16">
        <v>74</v>
      </c>
      <c r="F3925" s="15" t="str">
        <f t="shared" si="61"/>
        <v>1220-141622-44781</v>
      </c>
    </row>
    <row r="3926" spans="1:6" ht="14.25" customHeight="1" x14ac:dyDescent="0.25">
      <c r="A3926" s="15" t="s">
        <v>4066</v>
      </c>
      <c r="B3926" s="16">
        <v>1220</v>
      </c>
      <c r="C3926" s="16">
        <v>141622</v>
      </c>
      <c r="D3926" s="31">
        <v>44788</v>
      </c>
      <c r="E3926" s="16">
        <v>74</v>
      </c>
      <c r="F3926" s="15" t="str">
        <f t="shared" si="61"/>
        <v>1220-141622-44788</v>
      </c>
    </row>
    <row r="3927" spans="1:6" ht="14.25" customHeight="1" x14ac:dyDescent="0.25">
      <c r="A3927" s="15" t="s">
        <v>4067</v>
      </c>
      <c r="B3927" s="16">
        <v>1220</v>
      </c>
      <c r="C3927" s="16">
        <v>141626</v>
      </c>
      <c r="D3927" s="31">
        <v>44739</v>
      </c>
      <c r="E3927" s="16">
        <v>1153</v>
      </c>
      <c r="F3927" s="15" t="str">
        <f t="shared" si="61"/>
        <v>1220-141626-44739</v>
      </c>
    </row>
    <row r="3928" spans="1:6" ht="14.25" customHeight="1" x14ac:dyDescent="0.25">
      <c r="A3928" s="15" t="s">
        <v>4068</v>
      </c>
      <c r="B3928" s="16">
        <v>1220</v>
      </c>
      <c r="C3928" s="16">
        <v>141626</v>
      </c>
      <c r="D3928" s="31">
        <v>44746</v>
      </c>
      <c r="E3928" s="16">
        <v>1043</v>
      </c>
      <c r="F3928" s="15" t="str">
        <f t="shared" si="61"/>
        <v>1220-141626-44746</v>
      </c>
    </row>
    <row r="3929" spans="1:6" ht="14.25" customHeight="1" x14ac:dyDescent="0.25">
      <c r="A3929" s="15" t="s">
        <v>4069</v>
      </c>
      <c r="B3929" s="16">
        <v>1220</v>
      </c>
      <c r="C3929" s="16">
        <v>141626</v>
      </c>
      <c r="D3929" s="31">
        <v>44753</v>
      </c>
      <c r="E3929" s="16">
        <v>215</v>
      </c>
      <c r="F3929" s="15" t="str">
        <f t="shared" si="61"/>
        <v>1220-141626-44753</v>
      </c>
    </row>
    <row r="3930" spans="1:6" ht="14.25" customHeight="1" x14ac:dyDescent="0.25">
      <c r="A3930" s="15" t="s">
        <v>4070</v>
      </c>
      <c r="B3930" s="16">
        <v>1220</v>
      </c>
      <c r="C3930" s="16">
        <v>141626</v>
      </c>
      <c r="D3930" s="31">
        <v>44760</v>
      </c>
      <c r="E3930" s="16">
        <v>295</v>
      </c>
      <c r="F3930" s="15" t="str">
        <f t="shared" si="61"/>
        <v>1220-141626-44760</v>
      </c>
    </row>
    <row r="3931" spans="1:6" ht="14.25" customHeight="1" x14ac:dyDescent="0.25">
      <c r="A3931" s="15" t="s">
        <v>4071</v>
      </c>
      <c r="B3931" s="16">
        <v>1220</v>
      </c>
      <c r="C3931" s="16">
        <v>141626</v>
      </c>
      <c r="D3931" s="31">
        <v>44767</v>
      </c>
      <c r="E3931" s="16">
        <v>215</v>
      </c>
      <c r="F3931" s="15" t="str">
        <f t="shared" si="61"/>
        <v>1220-141626-44767</v>
      </c>
    </row>
    <row r="3932" spans="1:6" ht="14.25" customHeight="1" x14ac:dyDescent="0.25">
      <c r="A3932" s="15" t="s">
        <v>4072</v>
      </c>
      <c r="B3932" s="16">
        <v>1220</v>
      </c>
      <c r="C3932" s="16">
        <v>141626</v>
      </c>
      <c r="D3932" s="31">
        <v>44774</v>
      </c>
      <c r="E3932" s="16">
        <v>966</v>
      </c>
      <c r="F3932" s="15" t="str">
        <f t="shared" si="61"/>
        <v>1220-141626-44774</v>
      </c>
    </row>
    <row r="3933" spans="1:6" ht="14.25" customHeight="1" x14ac:dyDescent="0.25">
      <c r="A3933" s="15" t="s">
        <v>4073</v>
      </c>
      <c r="B3933" s="16">
        <v>1220</v>
      </c>
      <c r="C3933" s="16">
        <v>141626</v>
      </c>
      <c r="D3933" s="31">
        <v>44781</v>
      </c>
      <c r="E3933" s="16">
        <v>269</v>
      </c>
      <c r="F3933" s="15" t="str">
        <f t="shared" si="61"/>
        <v>1220-141626-44781</v>
      </c>
    </row>
    <row r="3934" spans="1:6" ht="14.25" customHeight="1" x14ac:dyDescent="0.25">
      <c r="A3934" s="15" t="s">
        <v>4074</v>
      </c>
      <c r="B3934" s="16">
        <v>1220</v>
      </c>
      <c r="C3934" s="16">
        <v>141626</v>
      </c>
      <c r="D3934" s="31">
        <v>44788</v>
      </c>
      <c r="E3934" s="16">
        <v>1154</v>
      </c>
      <c r="F3934" s="15" t="str">
        <f t="shared" si="61"/>
        <v>1220-141626-44788</v>
      </c>
    </row>
    <row r="3935" spans="1:6" ht="14.25" customHeight="1" x14ac:dyDescent="0.25">
      <c r="A3935" s="15" t="s">
        <v>4075</v>
      </c>
      <c r="B3935" s="16">
        <v>1220</v>
      </c>
      <c r="C3935" s="16">
        <v>141791</v>
      </c>
      <c r="D3935" s="31">
        <v>44739</v>
      </c>
      <c r="E3935" s="16">
        <v>27</v>
      </c>
      <c r="F3935" s="15" t="str">
        <f t="shared" si="61"/>
        <v>1220-141791-44739</v>
      </c>
    </row>
    <row r="3936" spans="1:6" ht="14.25" customHeight="1" x14ac:dyDescent="0.25">
      <c r="A3936" s="15" t="s">
        <v>4076</v>
      </c>
      <c r="B3936" s="16">
        <v>1220</v>
      </c>
      <c r="C3936" s="16">
        <v>141791</v>
      </c>
      <c r="D3936" s="31">
        <v>44746</v>
      </c>
      <c r="E3936" s="16">
        <v>36</v>
      </c>
      <c r="F3936" s="15" t="str">
        <f t="shared" si="61"/>
        <v>1220-141791-44746</v>
      </c>
    </row>
    <row r="3937" spans="1:6" ht="14.25" customHeight="1" x14ac:dyDescent="0.25">
      <c r="A3937" s="15" t="s">
        <v>4077</v>
      </c>
      <c r="B3937" s="16">
        <v>1220</v>
      </c>
      <c r="C3937" s="16">
        <v>141791</v>
      </c>
      <c r="D3937" s="31">
        <v>44753</v>
      </c>
      <c r="E3937" s="16">
        <v>30</v>
      </c>
      <c r="F3937" s="15" t="str">
        <f t="shared" si="61"/>
        <v>1220-141791-44753</v>
      </c>
    </row>
    <row r="3938" spans="1:6" ht="14.25" customHeight="1" x14ac:dyDescent="0.25">
      <c r="A3938" s="15" t="s">
        <v>4078</v>
      </c>
      <c r="B3938" s="16">
        <v>1220</v>
      </c>
      <c r="C3938" s="16">
        <v>141791</v>
      </c>
      <c r="D3938" s="31">
        <v>44760</v>
      </c>
      <c r="E3938" s="16">
        <v>9</v>
      </c>
      <c r="F3938" s="15" t="str">
        <f t="shared" si="61"/>
        <v>1220-141791-44760</v>
      </c>
    </row>
    <row r="3939" spans="1:6" ht="14.25" customHeight="1" x14ac:dyDescent="0.25">
      <c r="A3939" s="15" t="s">
        <v>4079</v>
      </c>
      <c r="B3939" s="16">
        <v>1220</v>
      </c>
      <c r="C3939" s="16">
        <v>141791</v>
      </c>
      <c r="D3939" s="31">
        <v>44767</v>
      </c>
      <c r="E3939" s="16">
        <v>10</v>
      </c>
      <c r="F3939" s="15" t="str">
        <f t="shared" si="61"/>
        <v>1220-141791-44767</v>
      </c>
    </row>
    <row r="3940" spans="1:6" ht="14.25" customHeight="1" x14ac:dyDescent="0.25">
      <c r="A3940" s="15" t="s">
        <v>4080</v>
      </c>
      <c r="B3940" s="16">
        <v>1220</v>
      </c>
      <c r="C3940" s="16">
        <v>141791</v>
      </c>
      <c r="D3940" s="31">
        <v>44774</v>
      </c>
      <c r="E3940" s="16">
        <v>34</v>
      </c>
      <c r="F3940" s="15" t="str">
        <f t="shared" si="61"/>
        <v>1220-141791-44774</v>
      </c>
    </row>
    <row r="3941" spans="1:6" ht="14.25" customHeight="1" x14ac:dyDescent="0.25">
      <c r="A3941" s="15" t="s">
        <v>4081</v>
      </c>
      <c r="B3941" s="16">
        <v>1220</v>
      </c>
      <c r="C3941" s="16">
        <v>141791</v>
      </c>
      <c r="D3941" s="31">
        <v>44781</v>
      </c>
      <c r="E3941" s="16">
        <v>27</v>
      </c>
      <c r="F3941" s="15" t="str">
        <f t="shared" si="61"/>
        <v>1220-141791-44781</v>
      </c>
    </row>
    <row r="3942" spans="1:6" ht="14.25" customHeight="1" x14ac:dyDescent="0.25">
      <c r="A3942" s="15" t="s">
        <v>4082</v>
      </c>
      <c r="B3942" s="16">
        <v>1220</v>
      </c>
      <c r="C3942" s="16">
        <v>141791</v>
      </c>
      <c r="D3942" s="31">
        <v>44788</v>
      </c>
      <c r="E3942" s="16">
        <v>18</v>
      </c>
      <c r="F3942" s="15" t="str">
        <f t="shared" si="61"/>
        <v>1220-141791-44788</v>
      </c>
    </row>
    <row r="3943" spans="1:6" ht="14.25" customHeight="1" x14ac:dyDescent="0.25">
      <c r="A3943" s="15" t="s">
        <v>4083</v>
      </c>
      <c r="B3943" s="16">
        <v>1220</v>
      </c>
      <c r="C3943" s="16">
        <v>141846</v>
      </c>
      <c r="D3943" s="31">
        <v>44739</v>
      </c>
      <c r="E3943" s="16">
        <v>6</v>
      </c>
      <c r="F3943" s="15" t="str">
        <f t="shared" si="61"/>
        <v>1220-141846-44739</v>
      </c>
    </row>
    <row r="3944" spans="1:6" ht="14.25" customHeight="1" x14ac:dyDescent="0.25">
      <c r="A3944" s="15" t="s">
        <v>4084</v>
      </c>
      <c r="B3944" s="16">
        <v>1220</v>
      </c>
      <c r="C3944" s="16">
        <v>141846</v>
      </c>
      <c r="D3944" s="31">
        <v>44746</v>
      </c>
      <c r="E3944" s="16">
        <v>6</v>
      </c>
      <c r="F3944" s="15" t="str">
        <f t="shared" si="61"/>
        <v>1220-141846-44746</v>
      </c>
    </row>
    <row r="3945" spans="1:6" ht="14.25" customHeight="1" x14ac:dyDescent="0.25">
      <c r="A3945" s="15" t="s">
        <v>4085</v>
      </c>
      <c r="B3945" s="16">
        <v>1220</v>
      </c>
      <c r="C3945" s="16">
        <v>141846</v>
      </c>
      <c r="D3945" s="31">
        <v>44753</v>
      </c>
      <c r="E3945" s="16">
        <v>6</v>
      </c>
      <c r="F3945" s="15" t="str">
        <f t="shared" si="61"/>
        <v>1220-141846-44753</v>
      </c>
    </row>
    <row r="3946" spans="1:6" ht="14.25" customHeight="1" x14ac:dyDescent="0.25">
      <c r="A3946" s="15" t="s">
        <v>4086</v>
      </c>
      <c r="B3946" s="16">
        <v>1220</v>
      </c>
      <c r="C3946" s="16">
        <v>141846</v>
      </c>
      <c r="D3946" s="31">
        <v>44760</v>
      </c>
      <c r="E3946" s="16">
        <v>6</v>
      </c>
      <c r="F3946" s="15" t="str">
        <f t="shared" si="61"/>
        <v>1220-141846-44760</v>
      </c>
    </row>
    <row r="3947" spans="1:6" ht="14.25" customHeight="1" x14ac:dyDescent="0.25">
      <c r="A3947" s="15" t="s">
        <v>4087</v>
      </c>
      <c r="B3947" s="16">
        <v>1220</v>
      </c>
      <c r="C3947" s="16">
        <v>141846</v>
      </c>
      <c r="D3947" s="31">
        <v>44767</v>
      </c>
      <c r="E3947" s="16">
        <v>6</v>
      </c>
      <c r="F3947" s="15" t="str">
        <f t="shared" si="61"/>
        <v>1220-141846-44767</v>
      </c>
    </row>
    <row r="3948" spans="1:6" ht="14.25" customHeight="1" x14ac:dyDescent="0.25">
      <c r="A3948" s="15" t="s">
        <v>4088</v>
      </c>
      <c r="B3948" s="16">
        <v>1220</v>
      </c>
      <c r="C3948" s="16">
        <v>141846</v>
      </c>
      <c r="D3948" s="31">
        <v>44774</v>
      </c>
      <c r="E3948" s="16">
        <v>6</v>
      </c>
      <c r="F3948" s="15" t="str">
        <f t="shared" si="61"/>
        <v>1220-141846-44774</v>
      </c>
    </row>
    <row r="3949" spans="1:6" ht="14.25" customHeight="1" x14ac:dyDescent="0.25">
      <c r="A3949" s="15" t="s">
        <v>4089</v>
      </c>
      <c r="B3949" s="16">
        <v>1220</v>
      </c>
      <c r="C3949" s="16">
        <v>141846</v>
      </c>
      <c r="D3949" s="31">
        <v>44781</v>
      </c>
      <c r="E3949" s="16">
        <v>6</v>
      </c>
      <c r="F3949" s="15" t="str">
        <f t="shared" si="61"/>
        <v>1220-141846-44781</v>
      </c>
    </row>
    <row r="3950" spans="1:6" ht="14.25" customHeight="1" x14ac:dyDescent="0.25">
      <c r="A3950" s="15" t="s">
        <v>4090</v>
      </c>
      <c r="B3950" s="16">
        <v>1220</v>
      </c>
      <c r="C3950" s="16">
        <v>141846</v>
      </c>
      <c r="D3950" s="31">
        <v>44788</v>
      </c>
      <c r="E3950" s="16">
        <v>6</v>
      </c>
      <c r="F3950" s="15" t="str">
        <f t="shared" si="61"/>
        <v>1220-141846-44788</v>
      </c>
    </row>
    <row r="3951" spans="1:6" ht="14.25" customHeight="1" x14ac:dyDescent="0.25">
      <c r="A3951" s="15" t="s">
        <v>4091</v>
      </c>
      <c r="B3951" s="16">
        <v>1220</v>
      </c>
      <c r="C3951" s="16">
        <v>141967</v>
      </c>
      <c r="D3951" s="31">
        <v>44739</v>
      </c>
      <c r="E3951" s="16">
        <v>6</v>
      </c>
      <c r="F3951" s="15" t="str">
        <f t="shared" si="61"/>
        <v>1220-141967-44739</v>
      </c>
    </row>
    <row r="3952" spans="1:6" ht="14.25" customHeight="1" x14ac:dyDescent="0.25">
      <c r="A3952" s="15" t="s">
        <v>4092</v>
      </c>
      <c r="B3952" s="16">
        <v>1220</v>
      </c>
      <c r="C3952" s="16">
        <v>141967</v>
      </c>
      <c r="D3952" s="31">
        <v>44746</v>
      </c>
      <c r="E3952" s="16">
        <v>7</v>
      </c>
      <c r="F3952" s="15" t="str">
        <f t="shared" si="61"/>
        <v>1220-141967-44746</v>
      </c>
    </row>
    <row r="3953" spans="1:6" ht="14.25" customHeight="1" x14ac:dyDescent="0.25">
      <c r="A3953" s="15" t="s">
        <v>4093</v>
      </c>
      <c r="B3953" s="16">
        <v>1220</v>
      </c>
      <c r="C3953" s="16">
        <v>141967</v>
      </c>
      <c r="D3953" s="31">
        <v>44753</v>
      </c>
      <c r="E3953" s="16">
        <v>4</v>
      </c>
      <c r="F3953" s="15" t="str">
        <f t="shared" si="61"/>
        <v>1220-141967-44753</v>
      </c>
    </row>
    <row r="3954" spans="1:6" ht="14.25" customHeight="1" x14ac:dyDescent="0.25">
      <c r="A3954" s="15" t="s">
        <v>4094</v>
      </c>
      <c r="B3954" s="16">
        <v>1220</v>
      </c>
      <c r="C3954" s="16">
        <v>141967</v>
      </c>
      <c r="D3954" s="31">
        <v>44760</v>
      </c>
      <c r="E3954" s="16">
        <v>6</v>
      </c>
      <c r="F3954" s="15" t="str">
        <f t="shared" si="61"/>
        <v>1220-141967-44760</v>
      </c>
    </row>
    <row r="3955" spans="1:6" ht="14.25" customHeight="1" x14ac:dyDescent="0.25">
      <c r="A3955" s="15" t="s">
        <v>4095</v>
      </c>
      <c r="B3955" s="16">
        <v>1220</v>
      </c>
      <c r="C3955" s="16">
        <v>141967</v>
      </c>
      <c r="D3955" s="31">
        <v>44767</v>
      </c>
      <c r="E3955" s="16">
        <v>6</v>
      </c>
      <c r="F3955" s="15" t="str">
        <f t="shared" si="61"/>
        <v>1220-141967-44767</v>
      </c>
    </row>
    <row r="3956" spans="1:6" ht="14.25" customHeight="1" x14ac:dyDescent="0.25">
      <c r="A3956" s="15" t="s">
        <v>4096</v>
      </c>
      <c r="B3956" s="16">
        <v>1220</v>
      </c>
      <c r="C3956" s="16">
        <v>141967</v>
      </c>
      <c r="D3956" s="31">
        <v>44774</v>
      </c>
      <c r="E3956" s="16">
        <v>7</v>
      </c>
      <c r="F3956" s="15" t="str">
        <f t="shared" si="61"/>
        <v>1220-141967-44774</v>
      </c>
    </row>
    <row r="3957" spans="1:6" ht="14.25" customHeight="1" x14ac:dyDescent="0.25">
      <c r="A3957" s="15" t="s">
        <v>4097</v>
      </c>
      <c r="B3957" s="16">
        <v>1220</v>
      </c>
      <c r="C3957" s="16">
        <v>141967</v>
      </c>
      <c r="D3957" s="31">
        <v>44781</v>
      </c>
      <c r="E3957" s="16">
        <v>6</v>
      </c>
      <c r="F3957" s="15" t="str">
        <f t="shared" si="61"/>
        <v>1220-141967-44781</v>
      </c>
    </row>
    <row r="3958" spans="1:6" ht="14.25" customHeight="1" x14ac:dyDescent="0.25">
      <c r="A3958" s="15" t="s">
        <v>4098</v>
      </c>
      <c r="B3958" s="16">
        <v>1220</v>
      </c>
      <c r="C3958" s="16">
        <v>141967</v>
      </c>
      <c r="D3958" s="31">
        <v>44788</v>
      </c>
      <c r="E3958" s="16">
        <v>6</v>
      </c>
      <c r="F3958" s="15" t="str">
        <f t="shared" si="61"/>
        <v>1220-141967-44788</v>
      </c>
    </row>
    <row r="3959" spans="1:6" ht="14.25" customHeight="1" x14ac:dyDescent="0.25">
      <c r="A3959" s="15" t="s">
        <v>4099</v>
      </c>
      <c r="B3959" s="16">
        <v>1220</v>
      </c>
      <c r="C3959" s="16">
        <v>142194</v>
      </c>
      <c r="D3959" s="31">
        <v>44739</v>
      </c>
      <c r="E3959" s="16">
        <v>34</v>
      </c>
      <c r="F3959" s="15" t="str">
        <f t="shared" si="61"/>
        <v>1220-142194-44739</v>
      </c>
    </row>
    <row r="3960" spans="1:6" ht="14.25" customHeight="1" x14ac:dyDescent="0.25">
      <c r="A3960" s="15" t="s">
        <v>4100</v>
      </c>
      <c r="B3960" s="16">
        <v>1220</v>
      </c>
      <c r="C3960" s="16">
        <v>142194</v>
      </c>
      <c r="D3960" s="31">
        <v>44746</v>
      </c>
      <c r="E3960" s="16">
        <v>29</v>
      </c>
      <c r="F3960" s="15" t="str">
        <f t="shared" si="61"/>
        <v>1220-142194-44746</v>
      </c>
    </row>
    <row r="3961" spans="1:6" ht="14.25" customHeight="1" x14ac:dyDescent="0.25">
      <c r="A3961" s="15" t="s">
        <v>4101</v>
      </c>
      <c r="B3961" s="16">
        <v>1220</v>
      </c>
      <c r="C3961" s="16">
        <v>142194</v>
      </c>
      <c r="D3961" s="31">
        <v>44753</v>
      </c>
      <c r="E3961" s="16">
        <v>24</v>
      </c>
      <c r="F3961" s="15" t="str">
        <f t="shared" si="61"/>
        <v>1220-142194-44753</v>
      </c>
    </row>
    <row r="3962" spans="1:6" ht="14.25" customHeight="1" x14ac:dyDescent="0.25">
      <c r="A3962" s="15" t="s">
        <v>4102</v>
      </c>
      <c r="B3962" s="16">
        <v>1220</v>
      </c>
      <c r="C3962" s="16">
        <v>142194</v>
      </c>
      <c r="D3962" s="31">
        <v>44760</v>
      </c>
      <c r="E3962" s="16">
        <v>26</v>
      </c>
      <c r="F3962" s="15" t="str">
        <f t="shared" si="61"/>
        <v>1220-142194-44760</v>
      </c>
    </row>
    <row r="3963" spans="1:6" ht="14.25" customHeight="1" x14ac:dyDescent="0.25">
      <c r="A3963" s="15" t="s">
        <v>4103</v>
      </c>
      <c r="B3963" s="16">
        <v>1220</v>
      </c>
      <c r="C3963" s="16">
        <v>142194</v>
      </c>
      <c r="D3963" s="31">
        <v>44767</v>
      </c>
      <c r="E3963" s="16">
        <v>29</v>
      </c>
      <c r="F3963" s="15" t="str">
        <f t="shared" si="61"/>
        <v>1220-142194-44767</v>
      </c>
    </row>
    <row r="3964" spans="1:6" ht="14.25" customHeight="1" x14ac:dyDescent="0.25">
      <c r="A3964" s="15" t="s">
        <v>4104</v>
      </c>
      <c r="B3964" s="16">
        <v>1220</v>
      </c>
      <c r="C3964" s="16">
        <v>142194</v>
      </c>
      <c r="D3964" s="31">
        <v>44774</v>
      </c>
      <c r="E3964" s="16">
        <v>34</v>
      </c>
      <c r="F3964" s="15" t="str">
        <f t="shared" si="61"/>
        <v>1220-142194-44774</v>
      </c>
    </row>
    <row r="3965" spans="1:6" ht="14.25" customHeight="1" x14ac:dyDescent="0.25">
      <c r="A3965" s="15" t="s">
        <v>4105</v>
      </c>
      <c r="B3965" s="16">
        <v>1220</v>
      </c>
      <c r="C3965" s="16">
        <v>142194</v>
      </c>
      <c r="D3965" s="31">
        <v>44781</v>
      </c>
      <c r="E3965" s="16">
        <v>9</v>
      </c>
      <c r="F3965" s="15" t="str">
        <f t="shared" si="61"/>
        <v>1220-142194-44781</v>
      </c>
    </row>
    <row r="3966" spans="1:6" ht="14.25" customHeight="1" x14ac:dyDescent="0.25">
      <c r="A3966" s="15" t="s">
        <v>4106</v>
      </c>
      <c r="B3966" s="16">
        <v>1220</v>
      </c>
      <c r="C3966" s="16">
        <v>142194</v>
      </c>
      <c r="D3966" s="31">
        <v>44788</v>
      </c>
      <c r="E3966" s="16">
        <v>12</v>
      </c>
      <c r="F3966" s="15" t="str">
        <f t="shared" si="61"/>
        <v>1220-142194-44788</v>
      </c>
    </row>
    <row r="3967" spans="1:6" ht="14.25" customHeight="1" x14ac:dyDescent="0.25">
      <c r="A3967" s="15" t="s">
        <v>4107</v>
      </c>
      <c r="B3967" s="16">
        <v>1220</v>
      </c>
      <c r="C3967" s="16">
        <v>149729</v>
      </c>
      <c r="D3967" s="31">
        <v>44739</v>
      </c>
      <c r="E3967" s="16">
        <v>23</v>
      </c>
      <c r="F3967" s="15" t="str">
        <f t="shared" si="61"/>
        <v>1220-149729-44739</v>
      </c>
    </row>
    <row r="3968" spans="1:6" ht="14.25" customHeight="1" x14ac:dyDescent="0.25">
      <c r="A3968" s="15" t="s">
        <v>4108</v>
      </c>
      <c r="B3968" s="16">
        <v>1220</v>
      </c>
      <c r="C3968" s="16">
        <v>149729</v>
      </c>
      <c r="D3968" s="31">
        <v>44746</v>
      </c>
      <c r="E3968" s="16">
        <v>39</v>
      </c>
      <c r="F3968" s="15" t="str">
        <f t="shared" si="61"/>
        <v>1220-149729-44746</v>
      </c>
    </row>
    <row r="3969" spans="1:6" ht="14.25" customHeight="1" x14ac:dyDescent="0.25">
      <c r="A3969" s="15" t="s">
        <v>4109</v>
      </c>
      <c r="B3969" s="16">
        <v>1220</v>
      </c>
      <c r="C3969" s="16">
        <v>149729</v>
      </c>
      <c r="D3969" s="31">
        <v>44753</v>
      </c>
      <c r="E3969" s="16">
        <v>36</v>
      </c>
      <c r="F3969" s="15" t="str">
        <f t="shared" si="61"/>
        <v>1220-149729-44753</v>
      </c>
    </row>
    <row r="3970" spans="1:6" ht="14.25" customHeight="1" x14ac:dyDescent="0.25">
      <c r="A3970" s="15" t="s">
        <v>4110</v>
      </c>
      <c r="B3970" s="16">
        <v>1220</v>
      </c>
      <c r="C3970" s="16">
        <v>149729</v>
      </c>
      <c r="D3970" s="31">
        <v>44760</v>
      </c>
      <c r="E3970" s="16">
        <v>34</v>
      </c>
      <c r="F3970" s="15" t="str">
        <f t="shared" si="61"/>
        <v>1220-149729-44760</v>
      </c>
    </row>
    <row r="3971" spans="1:6" ht="14.25" customHeight="1" x14ac:dyDescent="0.25">
      <c r="A3971" s="15" t="s">
        <v>4111</v>
      </c>
      <c r="B3971" s="16">
        <v>1220</v>
      </c>
      <c r="C3971" s="16">
        <v>149729</v>
      </c>
      <c r="D3971" s="31">
        <v>44767</v>
      </c>
      <c r="E3971" s="16">
        <v>34</v>
      </c>
      <c r="F3971" s="15" t="str">
        <f t="shared" ref="F3971:F4034" si="62">B3971&amp;"-"&amp;C3971&amp;"-"&amp;INT(D3971)</f>
        <v>1220-149729-44767</v>
      </c>
    </row>
    <row r="3972" spans="1:6" ht="14.25" customHeight="1" x14ac:dyDescent="0.25">
      <c r="A3972" s="15" t="s">
        <v>4112</v>
      </c>
      <c r="B3972" s="16">
        <v>1220</v>
      </c>
      <c r="C3972" s="16">
        <v>149729</v>
      </c>
      <c r="D3972" s="31">
        <v>44774</v>
      </c>
      <c r="E3972" s="16">
        <v>33</v>
      </c>
      <c r="F3972" s="15" t="str">
        <f t="shared" si="62"/>
        <v>1220-149729-44774</v>
      </c>
    </row>
    <row r="3973" spans="1:6" ht="14.25" customHeight="1" x14ac:dyDescent="0.25">
      <c r="A3973" s="15" t="s">
        <v>4113</v>
      </c>
      <c r="B3973" s="16">
        <v>1220</v>
      </c>
      <c r="C3973" s="16">
        <v>149729</v>
      </c>
      <c r="D3973" s="31">
        <v>44781</v>
      </c>
      <c r="E3973" s="16">
        <v>39</v>
      </c>
      <c r="F3973" s="15" t="str">
        <f t="shared" si="62"/>
        <v>1220-149729-44781</v>
      </c>
    </row>
    <row r="3974" spans="1:6" ht="14.25" customHeight="1" x14ac:dyDescent="0.25">
      <c r="A3974" s="15" t="s">
        <v>4114</v>
      </c>
      <c r="B3974" s="16">
        <v>1220</v>
      </c>
      <c r="C3974" s="16">
        <v>149729</v>
      </c>
      <c r="D3974" s="31">
        <v>44788</v>
      </c>
      <c r="E3974" s="16">
        <v>36</v>
      </c>
      <c r="F3974" s="15" t="str">
        <f t="shared" si="62"/>
        <v>1220-149729-44788</v>
      </c>
    </row>
    <row r="3975" spans="1:6" ht="14.25" customHeight="1" x14ac:dyDescent="0.25">
      <c r="A3975" s="15" t="s">
        <v>4115</v>
      </c>
      <c r="B3975" s="16">
        <v>1220</v>
      </c>
      <c r="C3975" s="16">
        <v>149779</v>
      </c>
      <c r="D3975" s="31">
        <v>44739</v>
      </c>
      <c r="E3975" s="16">
        <v>54</v>
      </c>
      <c r="F3975" s="15" t="str">
        <f t="shared" si="62"/>
        <v>1220-149779-44739</v>
      </c>
    </row>
    <row r="3976" spans="1:6" ht="14.25" customHeight="1" x14ac:dyDescent="0.25">
      <c r="A3976" s="15" t="s">
        <v>4116</v>
      </c>
      <c r="B3976" s="16">
        <v>1220</v>
      </c>
      <c r="C3976" s="16">
        <v>149779</v>
      </c>
      <c r="D3976" s="31">
        <v>44746</v>
      </c>
      <c r="E3976" s="16">
        <v>62</v>
      </c>
      <c r="F3976" s="15" t="str">
        <f t="shared" si="62"/>
        <v>1220-149779-44746</v>
      </c>
    </row>
    <row r="3977" spans="1:6" ht="14.25" customHeight="1" x14ac:dyDescent="0.25">
      <c r="A3977" s="15" t="s">
        <v>4117</v>
      </c>
      <c r="B3977" s="16">
        <v>1220</v>
      </c>
      <c r="C3977" s="16">
        <v>149779</v>
      </c>
      <c r="D3977" s="31">
        <v>44753</v>
      </c>
      <c r="E3977" s="16">
        <v>55</v>
      </c>
      <c r="F3977" s="15" t="str">
        <f t="shared" si="62"/>
        <v>1220-149779-44753</v>
      </c>
    </row>
    <row r="3978" spans="1:6" ht="14.25" customHeight="1" x14ac:dyDescent="0.25">
      <c r="A3978" s="15" t="s">
        <v>4118</v>
      </c>
      <c r="B3978" s="16">
        <v>1220</v>
      </c>
      <c r="C3978" s="16">
        <v>149779</v>
      </c>
      <c r="D3978" s="31">
        <v>44760</v>
      </c>
      <c r="E3978" s="16">
        <v>55</v>
      </c>
      <c r="F3978" s="15" t="str">
        <f t="shared" si="62"/>
        <v>1220-149779-44760</v>
      </c>
    </row>
    <row r="3979" spans="1:6" ht="14.25" customHeight="1" x14ac:dyDescent="0.25">
      <c r="A3979" s="15" t="s">
        <v>4119</v>
      </c>
      <c r="B3979" s="16">
        <v>1220</v>
      </c>
      <c r="C3979" s="16">
        <v>149779</v>
      </c>
      <c r="D3979" s="31">
        <v>44767</v>
      </c>
      <c r="E3979" s="16">
        <v>64</v>
      </c>
      <c r="F3979" s="15" t="str">
        <f t="shared" si="62"/>
        <v>1220-149779-44767</v>
      </c>
    </row>
    <row r="3980" spans="1:6" ht="14.25" customHeight="1" x14ac:dyDescent="0.25">
      <c r="A3980" s="15" t="s">
        <v>4120</v>
      </c>
      <c r="B3980" s="16">
        <v>1220</v>
      </c>
      <c r="C3980" s="16">
        <v>149779</v>
      </c>
      <c r="D3980" s="31">
        <v>44774</v>
      </c>
      <c r="E3980" s="16">
        <v>58</v>
      </c>
      <c r="F3980" s="15" t="str">
        <f t="shared" si="62"/>
        <v>1220-149779-44774</v>
      </c>
    </row>
    <row r="3981" spans="1:6" ht="14.25" customHeight="1" x14ac:dyDescent="0.25">
      <c r="A3981" s="15" t="s">
        <v>4121</v>
      </c>
      <c r="B3981" s="16">
        <v>1220</v>
      </c>
      <c r="C3981" s="16">
        <v>149779</v>
      </c>
      <c r="D3981" s="31">
        <v>44781</v>
      </c>
      <c r="E3981" s="16">
        <v>44</v>
      </c>
      <c r="F3981" s="15" t="str">
        <f t="shared" si="62"/>
        <v>1220-149779-44781</v>
      </c>
    </row>
    <row r="3982" spans="1:6" ht="14.25" customHeight="1" x14ac:dyDescent="0.25">
      <c r="A3982" s="15" t="s">
        <v>4122</v>
      </c>
      <c r="B3982" s="16">
        <v>1220</v>
      </c>
      <c r="C3982" s="16">
        <v>149779</v>
      </c>
      <c r="D3982" s="31">
        <v>44788</v>
      </c>
      <c r="E3982" s="16">
        <v>63</v>
      </c>
      <c r="F3982" s="15" t="str">
        <f t="shared" si="62"/>
        <v>1220-149779-44788</v>
      </c>
    </row>
    <row r="3983" spans="1:6" ht="14.25" customHeight="1" x14ac:dyDescent="0.25">
      <c r="A3983" s="15" t="s">
        <v>4123</v>
      </c>
      <c r="B3983" s="16">
        <v>1220</v>
      </c>
      <c r="C3983" s="16">
        <v>189933</v>
      </c>
      <c r="D3983" s="31">
        <v>44739</v>
      </c>
      <c r="E3983" s="16">
        <v>44</v>
      </c>
      <c r="F3983" s="15" t="str">
        <f t="shared" si="62"/>
        <v>1220-189933-44739</v>
      </c>
    </row>
    <row r="3984" spans="1:6" ht="14.25" customHeight="1" x14ac:dyDescent="0.25">
      <c r="A3984" s="15" t="s">
        <v>4124</v>
      </c>
      <c r="B3984" s="16">
        <v>1220</v>
      </c>
      <c r="C3984" s="16">
        <v>189933</v>
      </c>
      <c r="D3984" s="31">
        <v>44746</v>
      </c>
      <c r="E3984" s="16">
        <v>33</v>
      </c>
      <c r="F3984" s="15" t="str">
        <f t="shared" si="62"/>
        <v>1220-189933-44746</v>
      </c>
    </row>
    <row r="3985" spans="1:6" ht="14.25" customHeight="1" x14ac:dyDescent="0.25">
      <c r="A3985" s="15" t="s">
        <v>4125</v>
      </c>
      <c r="B3985" s="16">
        <v>1220</v>
      </c>
      <c r="C3985" s="16">
        <v>189933</v>
      </c>
      <c r="D3985" s="31">
        <v>44753</v>
      </c>
      <c r="E3985" s="16">
        <v>43</v>
      </c>
      <c r="F3985" s="15" t="str">
        <f t="shared" si="62"/>
        <v>1220-189933-44753</v>
      </c>
    </row>
    <row r="3986" spans="1:6" ht="14.25" customHeight="1" x14ac:dyDescent="0.25">
      <c r="A3986" s="15" t="s">
        <v>4126</v>
      </c>
      <c r="B3986" s="16">
        <v>1220</v>
      </c>
      <c r="C3986" s="16">
        <v>189933</v>
      </c>
      <c r="D3986" s="31">
        <v>44760</v>
      </c>
      <c r="E3986" s="16">
        <v>41</v>
      </c>
      <c r="F3986" s="15" t="str">
        <f t="shared" si="62"/>
        <v>1220-189933-44760</v>
      </c>
    </row>
    <row r="3987" spans="1:6" ht="14.25" customHeight="1" x14ac:dyDescent="0.25">
      <c r="A3987" s="15" t="s">
        <v>4127</v>
      </c>
      <c r="B3987" s="16">
        <v>1220</v>
      </c>
      <c r="C3987" s="16">
        <v>189933</v>
      </c>
      <c r="D3987" s="31">
        <v>44767</v>
      </c>
      <c r="E3987" s="16">
        <v>17</v>
      </c>
      <c r="F3987" s="15" t="str">
        <f t="shared" si="62"/>
        <v>1220-189933-44767</v>
      </c>
    </row>
    <row r="3988" spans="1:6" ht="14.25" customHeight="1" x14ac:dyDescent="0.25">
      <c r="A3988" s="15" t="s">
        <v>4128</v>
      </c>
      <c r="B3988" s="16">
        <v>1220</v>
      </c>
      <c r="C3988" s="16">
        <v>189933</v>
      </c>
      <c r="D3988" s="31">
        <v>44774</v>
      </c>
      <c r="E3988" s="16">
        <v>33</v>
      </c>
      <c r="F3988" s="15" t="str">
        <f t="shared" si="62"/>
        <v>1220-189933-44774</v>
      </c>
    </row>
    <row r="3989" spans="1:6" ht="14.25" customHeight="1" x14ac:dyDescent="0.25">
      <c r="A3989" s="15" t="s">
        <v>4129</v>
      </c>
      <c r="B3989" s="16">
        <v>1220</v>
      </c>
      <c r="C3989" s="16">
        <v>189933</v>
      </c>
      <c r="D3989" s="31">
        <v>44781</v>
      </c>
      <c r="E3989" s="16">
        <v>35</v>
      </c>
      <c r="F3989" s="15" t="str">
        <f t="shared" si="62"/>
        <v>1220-189933-44781</v>
      </c>
    </row>
    <row r="3990" spans="1:6" ht="14.25" customHeight="1" x14ac:dyDescent="0.25">
      <c r="A3990" s="15" t="s">
        <v>4130</v>
      </c>
      <c r="B3990" s="16">
        <v>1220</v>
      </c>
      <c r="C3990" s="16">
        <v>189933</v>
      </c>
      <c r="D3990" s="31">
        <v>44788</v>
      </c>
      <c r="E3990" s="16">
        <v>38</v>
      </c>
      <c r="F3990" s="15" t="str">
        <f t="shared" si="62"/>
        <v>1220-189933-44788</v>
      </c>
    </row>
    <row r="3991" spans="1:6" ht="14.25" customHeight="1" x14ac:dyDescent="0.25">
      <c r="A3991" s="15" t="s">
        <v>4131</v>
      </c>
      <c r="B3991" s="16">
        <v>1220</v>
      </c>
      <c r="C3991" s="16">
        <v>202577</v>
      </c>
      <c r="D3991" s="31">
        <v>44739</v>
      </c>
      <c r="E3991" s="16">
        <v>109</v>
      </c>
      <c r="F3991" s="15" t="str">
        <f t="shared" si="62"/>
        <v>1220-202577-44739</v>
      </c>
    </row>
    <row r="3992" spans="1:6" ht="14.25" customHeight="1" x14ac:dyDescent="0.25">
      <c r="A3992" s="15" t="s">
        <v>4132</v>
      </c>
      <c r="B3992" s="16">
        <v>1220</v>
      </c>
      <c r="C3992" s="16">
        <v>202577</v>
      </c>
      <c r="D3992" s="31">
        <v>44746</v>
      </c>
      <c r="E3992" s="16">
        <v>35</v>
      </c>
      <c r="F3992" s="15" t="str">
        <f t="shared" si="62"/>
        <v>1220-202577-44746</v>
      </c>
    </row>
    <row r="3993" spans="1:6" ht="14.25" customHeight="1" x14ac:dyDescent="0.25">
      <c r="A3993" s="15" t="s">
        <v>4133</v>
      </c>
      <c r="B3993" s="16">
        <v>1220</v>
      </c>
      <c r="C3993" s="16">
        <v>202577</v>
      </c>
      <c r="D3993" s="31">
        <v>44753</v>
      </c>
      <c r="E3993" s="16">
        <v>129</v>
      </c>
      <c r="F3993" s="15" t="str">
        <f t="shared" si="62"/>
        <v>1220-202577-44753</v>
      </c>
    </row>
    <row r="3994" spans="1:6" ht="14.25" customHeight="1" x14ac:dyDescent="0.25">
      <c r="A3994" s="15" t="s">
        <v>4134</v>
      </c>
      <c r="B3994" s="16">
        <v>1220</v>
      </c>
      <c r="C3994" s="16">
        <v>202577</v>
      </c>
      <c r="D3994" s="31">
        <v>44760</v>
      </c>
      <c r="E3994" s="16">
        <v>34</v>
      </c>
      <c r="F3994" s="15" t="str">
        <f t="shared" si="62"/>
        <v>1220-202577-44760</v>
      </c>
    </row>
    <row r="3995" spans="1:6" ht="14.25" customHeight="1" x14ac:dyDescent="0.25">
      <c r="A3995" s="15" t="s">
        <v>4135</v>
      </c>
      <c r="B3995" s="16">
        <v>1220</v>
      </c>
      <c r="C3995" s="16">
        <v>202577</v>
      </c>
      <c r="D3995" s="31">
        <v>44767</v>
      </c>
      <c r="E3995" s="16">
        <v>30</v>
      </c>
      <c r="F3995" s="15" t="str">
        <f t="shared" si="62"/>
        <v>1220-202577-44767</v>
      </c>
    </row>
    <row r="3996" spans="1:6" ht="14.25" customHeight="1" x14ac:dyDescent="0.25">
      <c r="A3996" s="15" t="s">
        <v>4136</v>
      </c>
      <c r="B3996" s="16">
        <v>1220</v>
      </c>
      <c r="C3996" s="16">
        <v>202577</v>
      </c>
      <c r="D3996" s="31">
        <v>44774</v>
      </c>
      <c r="E3996" s="16">
        <v>48</v>
      </c>
      <c r="F3996" s="15" t="str">
        <f t="shared" si="62"/>
        <v>1220-202577-44774</v>
      </c>
    </row>
    <row r="3997" spans="1:6" ht="14.25" customHeight="1" x14ac:dyDescent="0.25">
      <c r="A3997" s="15" t="s">
        <v>4137</v>
      </c>
      <c r="B3997" s="16">
        <v>1220</v>
      </c>
      <c r="C3997" s="16">
        <v>202577</v>
      </c>
      <c r="D3997" s="31">
        <v>44781</v>
      </c>
      <c r="E3997" s="16">
        <v>115</v>
      </c>
      <c r="F3997" s="15" t="str">
        <f t="shared" si="62"/>
        <v>1220-202577-44781</v>
      </c>
    </row>
    <row r="3998" spans="1:6" ht="14.25" customHeight="1" x14ac:dyDescent="0.25">
      <c r="A3998" s="15" t="s">
        <v>4138</v>
      </c>
      <c r="B3998" s="16">
        <v>1220</v>
      </c>
      <c r="C3998" s="16">
        <v>202577</v>
      </c>
      <c r="D3998" s="31">
        <v>44788</v>
      </c>
      <c r="E3998" s="16">
        <v>48</v>
      </c>
      <c r="F3998" s="15" t="str">
        <f t="shared" si="62"/>
        <v>1220-202577-44788</v>
      </c>
    </row>
    <row r="3999" spans="1:6" ht="14.25" customHeight="1" x14ac:dyDescent="0.25">
      <c r="A3999" s="15" t="s">
        <v>4139</v>
      </c>
      <c r="B3999" s="16">
        <v>1220</v>
      </c>
      <c r="C3999" s="16">
        <v>234334</v>
      </c>
      <c r="D3999" s="31">
        <v>44739</v>
      </c>
      <c r="E3999" s="16">
        <v>33</v>
      </c>
      <c r="F3999" s="15" t="str">
        <f t="shared" si="62"/>
        <v>1220-234334-44739</v>
      </c>
    </row>
    <row r="4000" spans="1:6" ht="14.25" customHeight="1" x14ac:dyDescent="0.25">
      <c r="A4000" s="15" t="s">
        <v>4140</v>
      </c>
      <c r="B4000" s="16">
        <v>1220</v>
      </c>
      <c r="C4000" s="16">
        <v>234334</v>
      </c>
      <c r="D4000" s="31">
        <v>44746</v>
      </c>
      <c r="E4000" s="16">
        <v>33</v>
      </c>
      <c r="F4000" s="15" t="str">
        <f t="shared" si="62"/>
        <v>1220-234334-44746</v>
      </c>
    </row>
    <row r="4001" spans="1:6" ht="14.25" customHeight="1" x14ac:dyDescent="0.25">
      <c r="A4001" s="15" t="s">
        <v>4141</v>
      </c>
      <c r="B4001" s="16">
        <v>1220</v>
      </c>
      <c r="C4001" s="16">
        <v>234334</v>
      </c>
      <c r="D4001" s="31">
        <v>44753</v>
      </c>
      <c r="E4001" s="16">
        <v>33</v>
      </c>
      <c r="F4001" s="15" t="str">
        <f t="shared" si="62"/>
        <v>1220-234334-44753</v>
      </c>
    </row>
    <row r="4002" spans="1:6" ht="14.25" customHeight="1" x14ac:dyDescent="0.25">
      <c r="A4002" s="15" t="s">
        <v>4142</v>
      </c>
      <c r="B4002" s="16">
        <v>1220</v>
      </c>
      <c r="C4002" s="16">
        <v>234334</v>
      </c>
      <c r="D4002" s="31">
        <v>44760</v>
      </c>
      <c r="E4002" s="16">
        <v>33</v>
      </c>
      <c r="F4002" s="15" t="str">
        <f t="shared" si="62"/>
        <v>1220-234334-44760</v>
      </c>
    </row>
    <row r="4003" spans="1:6" ht="14.25" customHeight="1" x14ac:dyDescent="0.25">
      <c r="A4003" s="15" t="s">
        <v>4143</v>
      </c>
      <c r="B4003" s="16">
        <v>1220</v>
      </c>
      <c r="C4003" s="16">
        <v>234334</v>
      </c>
      <c r="D4003" s="31">
        <v>44767</v>
      </c>
      <c r="E4003" s="16">
        <v>33</v>
      </c>
      <c r="F4003" s="15" t="str">
        <f t="shared" si="62"/>
        <v>1220-234334-44767</v>
      </c>
    </row>
    <row r="4004" spans="1:6" ht="14.25" customHeight="1" x14ac:dyDescent="0.25">
      <c r="A4004" s="15" t="s">
        <v>4144</v>
      </c>
      <c r="B4004" s="16">
        <v>1220</v>
      </c>
      <c r="C4004" s="16">
        <v>234334</v>
      </c>
      <c r="D4004" s="31">
        <v>44774</v>
      </c>
      <c r="E4004" s="16">
        <v>33</v>
      </c>
      <c r="F4004" s="15" t="str">
        <f t="shared" si="62"/>
        <v>1220-234334-44774</v>
      </c>
    </row>
    <row r="4005" spans="1:6" ht="14.25" customHeight="1" x14ac:dyDescent="0.25">
      <c r="A4005" s="15" t="s">
        <v>4145</v>
      </c>
      <c r="B4005" s="16">
        <v>1220</v>
      </c>
      <c r="C4005" s="16">
        <v>234334</v>
      </c>
      <c r="D4005" s="31">
        <v>44781</v>
      </c>
      <c r="E4005" s="16">
        <v>33</v>
      </c>
      <c r="F4005" s="15" t="str">
        <f t="shared" si="62"/>
        <v>1220-234334-44781</v>
      </c>
    </row>
    <row r="4006" spans="1:6" ht="14.25" customHeight="1" x14ac:dyDescent="0.25">
      <c r="A4006" s="15" t="s">
        <v>4146</v>
      </c>
      <c r="B4006" s="16">
        <v>1220</v>
      </c>
      <c r="C4006" s="16">
        <v>234334</v>
      </c>
      <c r="D4006" s="31">
        <v>44788</v>
      </c>
      <c r="E4006" s="16">
        <v>33</v>
      </c>
      <c r="F4006" s="15" t="str">
        <f t="shared" si="62"/>
        <v>1220-234334-44788</v>
      </c>
    </row>
    <row r="4007" spans="1:6" ht="14.25" customHeight="1" x14ac:dyDescent="0.25">
      <c r="A4007" s="15" t="s">
        <v>4147</v>
      </c>
      <c r="B4007" s="16">
        <v>1220</v>
      </c>
      <c r="C4007" s="16">
        <v>249444</v>
      </c>
      <c r="D4007" s="31">
        <v>44739</v>
      </c>
      <c r="E4007" s="16">
        <v>561</v>
      </c>
      <c r="F4007" s="15" t="str">
        <f t="shared" si="62"/>
        <v>1220-249444-44739</v>
      </c>
    </row>
    <row r="4008" spans="1:6" ht="14.25" customHeight="1" x14ac:dyDescent="0.25">
      <c r="A4008" s="15" t="s">
        <v>4148</v>
      </c>
      <c r="B4008" s="16">
        <v>1220</v>
      </c>
      <c r="C4008" s="16">
        <v>249444</v>
      </c>
      <c r="D4008" s="31">
        <v>44746</v>
      </c>
      <c r="E4008" s="16">
        <v>495</v>
      </c>
      <c r="F4008" s="15" t="str">
        <f t="shared" si="62"/>
        <v>1220-249444-44746</v>
      </c>
    </row>
    <row r="4009" spans="1:6" ht="14.25" customHeight="1" x14ac:dyDescent="0.25">
      <c r="A4009" s="15" t="s">
        <v>4149</v>
      </c>
      <c r="B4009" s="16">
        <v>1220</v>
      </c>
      <c r="C4009" s="16">
        <v>249444</v>
      </c>
      <c r="D4009" s="31">
        <v>44753</v>
      </c>
      <c r="E4009" s="16">
        <v>437</v>
      </c>
      <c r="F4009" s="15" t="str">
        <f t="shared" si="62"/>
        <v>1220-249444-44753</v>
      </c>
    </row>
    <row r="4010" spans="1:6" ht="14.25" customHeight="1" x14ac:dyDescent="0.25">
      <c r="A4010" s="15" t="s">
        <v>4150</v>
      </c>
      <c r="B4010" s="16">
        <v>1220</v>
      </c>
      <c r="C4010" s="16">
        <v>249444</v>
      </c>
      <c r="D4010" s="31">
        <v>44760</v>
      </c>
      <c r="E4010" s="16">
        <v>144</v>
      </c>
      <c r="F4010" s="15" t="str">
        <f t="shared" si="62"/>
        <v>1220-249444-44760</v>
      </c>
    </row>
    <row r="4011" spans="1:6" ht="14.25" customHeight="1" x14ac:dyDescent="0.25">
      <c r="A4011" s="15" t="s">
        <v>4151</v>
      </c>
      <c r="B4011" s="16">
        <v>1220</v>
      </c>
      <c r="C4011" s="16">
        <v>249444</v>
      </c>
      <c r="D4011" s="31">
        <v>44767</v>
      </c>
      <c r="E4011" s="16">
        <v>220</v>
      </c>
      <c r="F4011" s="15" t="str">
        <f t="shared" si="62"/>
        <v>1220-249444-44767</v>
      </c>
    </row>
    <row r="4012" spans="1:6" ht="14.25" customHeight="1" x14ac:dyDescent="0.25">
      <c r="A4012" s="15" t="s">
        <v>4152</v>
      </c>
      <c r="B4012" s="16">
        <v>1220</v>
      </c>
      <c r="C4012" s="16">
        <v>249444</v>
      </c>
      <c r="D4012" s="31">
        <v>44774</v>
      </c>
      <c r="E4012" s="16">
        <v>706</v>
      </c>
      <c r="F4012" s="15" t="str">
        <f t="shared" si="62"/>
        <v>1220-249444-44774</v>
      </c>
    </row>
    <row r="4013" spans="1:6" ht="14.25" customHeight="1" x14ac:dyDescent="0.25">
      <c r="A4013" s="15" t="s">
        <v>4153</v>
      </c>
      <c r="B4013" s="16">
        <v>1220</v>
      </c>
      <c r="C4013" s="16">
        <v>249444</v>
      </c>
      <c r="D4013" s="31">
        <v>44781</v>
      </c>
      <c r="E4013" s="16">
        <v>531</v>
      </c>
      <c r="F4013" s="15" t="str">
        <f t="shared" si="62"/>
        <v>1220-249444-44781</v>
      </c>
    </row>
    <row r="4014" spans="1:6" ht="14.25" customHeight="1" x14ac:dyDescent="0.25">
      <c r="A4014" s="15" t="s">
        <v>4154</v>
      </c>
      <c r="B4014" s="16">
        <v>1220</v>
      </c>
      <c r="C4014" s="16">
        <v>249444</v>
      </c>
      <c r="D4014" s="31">
        <v>44788</v>
      </c>
      <c r="E4014" s="16">
        <v>695</v>
      </c>
      <c r="F4014" s="15" t="str">
        <f t="shared" si="62"/>
        <v>1220-249444-44788</v>
      </c>
    </row>
    <row r="4015" spans="1:6" ht="14.25" customHeight="1" x14ac:dyDescent="0.25">
      <c r="A4015" s="15" t="s">
        <v>4155</v>
      </c>
      <c r="B4015" s="16">
        <v>1220</v>
      </c>
      <c r="C4015" s="16">
        <v>249795</v>
      </c>
      <c r="D4015" s="31">
        <v>44739</v>
      </c>
      <c r="E4015" s="16">
        <v>26</v>
      </c>
      <c r="F4015" s="15" t="str">
        <f t="shared" si="62"/>
        <v>1220-249795-44739</v>
      </c>
    </row>
    <row r="4016" spans="1:6" ht="14.25" customHeight="1" x14ac:dyDescent="0.25">
      <c r="A4016" s="15" t="s">
        <v>4156</v>
      </c>
      <c r="B4016" s="16">
        <v>1220</v>
      </c>
      <c r="C4016" s="16">
        <v>249795</v>
      </c>
      <c r="D4016" s="31">
        <v>44746</v>
      </c>
      <c r="E4016" s="16">
        <v>25</v>
      </c>
      <c r="F4016" s="15" t="str">
        <f t="shared" si="62"/>
        <v>1220-249795-44746</v>
      </c>
    </row>
    <row r="4017" spans="1:6" ht="14.25" customHeight="1" x14ac:dyDescent="0.25">
      <c r="A4017" s="15" t="s">
        <v>4157</v>
      </c>
      <c r="B4017" s="16">
        <v>1220</v>
      </c>
      <c r="C4017" s="16">
        <v>249795</v>
      </c>
      <c r="D4017" s="31">
        <v>44753</v>
      </c>
      <c r="E4017" s="16">
        <v>26</v>
      </c>
      <c r="F4017" s="15" t="str">
        <f t="shared" si="62"/>
        <v>1220-249795-44753</v>
      </c>
    </row>
    <row r="4018" spans="1:6" ht="14.25" customHeight="1" x14ac:dyDescent="0.25">
      <c r="A4018" s="15" t="s">
        <v>4158</v>
      </c>
      <c r="B4018" s="16">
        <v>1220</v>
      </c>
      <c r="C4018" s="16">
        <v>249795</v>
      </c>
      <c r="D4018" s="31">
        <v>44760</v>
      </c>
      <c r="E4018" s="16">
        <v>18</v>
      </c>
      <c r="F4018" s="15" t="str">
        <f t="shared" si="62"/>
        <v>1220-249795-44760</v>
      </c>
    </row>
    <row r="4019" spans="1:6" ht="14.25" customHeight="1" x14ac:dyDescent="0.25">
      <c r="A4019" s="15" t="s">
        <v>4159</v>
      </c>
      <c r="B4019" s="16">
        <v>1220</v>
      </c>
      <c r="C4019" s="16">
        <v>249795</v>
      </c>
      <c r="D4019" s="31">
        <v>44767</v>
      </c>
      <c r="E4019" s="16">
        <v>28</v>
      </c>
      <c r="F4019" s="15" t="str">
        <f t="shared" si="62"/>
        <v>1220-249795-44767</v>
      </c>
    </row>
    <row r="4020" spans="1:6" ht="14.25" customHeight="1" x14ac:dyDescent="0.25">
      <c r="A4020" s="15" t="s">
        <v>4160</v>
      </c>
      <c r="B4020" s="16">
        <v>1220</v>
      </c>
      <c r="C4020" s="16">
        <v>249795</v>
      </c>
      <c r="D4020" s="31">
        <v>44774</v>
      </c>
      <c r="E4020" s="16">
        <v>23</v>
      </c>
      <c r="F4020" s="15" t="str">
        <f t="shared" si="62"/>
        <v>1220-249795-44774</v>
      </c>
    </row>
    <row r="4021" spans="1:6" ht="14.25" customHeight="1" x14ac:dyDescent="0.25">
      <c r="A4021" s="15" t="s">
        <v>4161</v>
      </c>
      <c r="B4021" s="16">
        <v>1220</v>
      </c>
      <c r="C4021" s="16">
        <v>249795</v>
      </c>
      <c r="D4021" s="31">
        <v>44781</v>
      </c>
      <c r="E4021" s="16">
        <v>21</v>
      </c>
      <c r="F4021" s="15" t="str">
        <f t="shared" si="62"/>
        <v>1220-249795-44781</v>
      </c>
    </row>
    <row r="4022" spans="1:6" ht="14.25" customHeight="1" x14ac:dyDescent="0.25">
      <c r="A4022" s="15" t="s">
        <v>4162</v>
      </c>
      <c r="B4022" s="16">
        <v>1220</v>
      </c>
      <c r="C4022" s="16">
        <v>249795</v>
      </c>
      <c r="D4022" s="31">
        <v>44788</v>
      </c>
      <c r="E4022" s="16">
        <v>12</v>
      </c>
      <c r="F4022" s="15" t="str">
        <f t="shared" si="62"/>
        <v>1220-249795-44788</v>
      </c>
    </row>
    <row r="4023" spans="1:6" ht="14.25" customHeight="1" x14ac:dyDescent="0.25">
      <c r="A4023" s="15" t="s">
        <v>4163</v>
      </c>
      <c r="B4023" s="16">
        <v>1220</v>
      </c>
      <c r="C4023" s="16">
        <v>250979</v>
      </c>
      <c r="D4023" s="31">
        <v>44739</v>
      </c>
      <c r="E4023" s="16">
        <v>140</v>
      </c>
      <c r="F4023" s="15" t="str">
        <f t="shared" si="62"/>
        <v>1220-250979-44739</v>
      </c>
    </row>
    <row r="4024" spans="1:6" ht="14.25" customHeight="1" x14ac:dyDescent="0.25">
      <c r="A4024" s="15" t="s">
        <v>4164</v>
      </c>
      <c r="B4024" s="16">
        <v>1220</v>
      </c>
      <c r="C4024" s="16">
        <v>250979</v>
      </c>
      <c r="D4024" s="31">
        <v>44746</v>
      </c>
      <c r="E4024" s="16">
        <v>176</v>
      </c>
      <c r="F4024" s="15" t="str">
        <f t="shared" si="62"/>
        <v>1220-250979-44746</v>
      </c>
    </row>
    <row r="4025" spans="1:6" ht="14.25" customHeight="1" x14ac:dyDescent="0.25">
      <c r="A4025" s="15" t="s">
        <v>4165</v>
      </c>
      <c r="B4025" s="16">
        <v>1220</v>
      </c>
      <c r="C4025" s="16">
        <v>250979</v>
      </c>
      <c r="D4025" s="31">
        <v>44753</v>
      </c>
      <c r="E4025" s="16">
        <v>146</v>
      </c>
      <c r="F4025" s="15" t="str">
        <f t="shared" si="62"/>
        <v>1220-250979-44753</v>
      </c>
    </row>
    <row r="4026" spans="1:6" ht="14.25" customHeight="1" x14ac:dyDescent="0.25">
      <c r="A4026" s="15" t="s">
        <v>4166</v>
      </c>
      <c r="B4026" s="16">
        <v>1220</v>
      </c>
      <c r="C4026" s="16">
        <v>250979</v>
      </c>
      <c r="D4026" s="31">
        <v>44760</v>
      </c>
      <c r="E4026" s="16">
        <v>141</v>
      </c>
      <c r="F4026" s="15" t="str">
        <f t="shared" si="62"/>
        <v>1220-250979-44760</v>
      </c>
    </row>
    <row r="4027" spans="1:6" ht="14.25" customHeight="1" x14ac:dyDescent="0.25">
      <c r="A4027" s="15" t="s">
        <v>4167</v>
      </c>
      <c r="B4027" s="16">
        <v>1220</v>
      </c>
      <c r="C4027" s="16">
        <v>250979</v>
      </c>
      <c r="D4027" s="31">
        <v>44767</v>
      </c>
      <c r="E4027" s="16">
        <v>110</v>
      </c>
      <c r="F4027" s="15" t="str">
        <f t="shared" si="62"/>
        <v>1220-250979-44767</v>
      </c>
    </row>
    <row r="4028" spans="1:6" ht="14.25" customHeight="1" x14ac:dyDescent="0.25">
      <c r="A4028" s="15" t="s">
        <v>4168</v>
      </c>
      <c r="B4028" s="16">
        <v>1220</v>
      </c>
      <c r="C4028" s="16">
        <v>250979</v>
      </c>
      <c r="D4028" s="31">
        <v>44774</v>
      </c>
      <c r="E4028" s="16">
        <v>160</v>
      </c>
      <c r="F4028" s="15" t="str">
        <f t="shared" si="62"/>
        <v>1220-250979-44774</v>
      </c>
    </row>
    <row r="4029" spans="1:6" ht="14.25" customHeight="1" x14ac:dyDescent="0.25">
      <c r="A4029" s="15" t="s">
        <v>4169</v>
      </c>
      <c r="B4029" s="16">
        <v>1220</v>
      </c>
      <c r="C4029" s="16">
        <v>250979</v>
      </c>
      <c r="D4029" s="31">
        <v>44781</v>
      </c>
      <c r="E4029" s="16">
        <v>84</v>
      </c>
      <c r="F4029" s="15" t="str">
        <f t="shared" si="62"/>
        <v>1220-250979-44781</v>
      </c>
    </row>
    <row r="4030" spans="1:6" ht="14.25" customHeight="1" x14ac:dyDescent="0.25">
      <c r="A4030" s="15" t="s">
        <v>4170</v>
      </c>
      <c r="B4030" s="16">
        <v>1220</v>
      </c>
      <c r="C4030" s="16">
        <v>250979</v>
      </c>
      <c r="D4030" s="31">
        <v>44788</v>
      </c>
      <c r="E4030" s="16">
        <v>114</v>
      </c>
      <c r="F4030" s="15" t="str">
        <f t="shared" si="62"/>
        <v>1220-250979-44788</v>
      </c>
    </row>
    <row r="4031" spans="1:6" ht="14.25" customHeight="1" x14ac:dyDescent="0.25">
      <c r="A4031" s="15" t="s">
        <v>4171</v>
      </c>
      <c r="B4031" s="16">
        <v>1220</v>
      </c>
      <c r="C4031" s="16">
        <v>250981</v>
      </c>
      <c r="D4031" s="31">
        <v>44739</v>
      </c>
      <c r="E4031" s="16">
        <v>19</v>
      </c>
      <c r="F4031" s="15" t="str">
        <f t="shared" si="62"/>
        <v>1220-250981-44739</v>
      </c>
    </row>
    <row r="4032" spans="1:6" ht="14.25" customHeight="1" x14ac:dyDescent="0.25">
      <c r="A4032" s="15" t="s">
        <v>4172</v>
      </c>
      <c r="B4032" s="16">
        <v>1220</v>
      </c>
      <c r="C4032" s="16">
        <v>250981</v>
      </c>
      <c r="D4032" s="31">
        <v>44746</v>
      </c>
      <c r="E4032" s="16">
        <v>6</v>
      </c>
      <c r="F4032" s="15" t="str">
        <f t="shared" si="62"/>
        <v>1220-250981-44746</v>
      </c>
    </row>
    <row r="4033" spans="1:6" ht="14.25" customHeight="1" x14ac:dyDescent="0.25">
      <c r="A4033" s="15" t="s">
        <v>4173</v>
      </c>
      <c r="B4033" s="16">
        <v>1220</v>
      </c>
      <c r="C4033" s="16">
        <v>250981</v>
      </c>
      <c r="D4033" s="31">
        <v>44753</v>
      </c>
      <c r="E4033" s="16">
        <v>32</v>
      </c>
      <c r="F4033" s="15" t="str">
        <f t="shared" si="62"/>
        <v>1220-250981-44753</v>
      </c>
    </row>
    <row r="4034" spans="1:6" ht="14.25" customHeight="1" x14ac:dyDescent="0.25">
      <c r="A4034" s="15" t="s">
        <v>4174</v>
      </c>
      <c r="B4034" s="16">
        <v>1220</v>
      </c>
      <c r="C4034" s="16">
        <v>250981</v>
      </c>
      <c r="D4034" s="31">
        <v>44760</v>
      </c>
      <c r="E4034" s="16">
        <v>4</v>
      </c>
      <c r="F4034" s="15" t="str">
        <f t="shared" si="62"/>
        <v>1220-250981-44760</v>
      </c>
    </row>
    <row r="4035" spans="1:6" ht="14.25" customHeight="1" x14ac:dyDescent="0.25">
      <c r="A4035" s="15" t="s">
        <v>4175</v>
      </c>
      <c r="B4035" s="16">
        <v>1220</v>
      </c>
      <c r="C4035" s="16">
        <v>250981</v>
      </c>
      <c r="D4035" s="31">
        <v>44767</v>
      </c>
      <c r="E4035" s="16">
        <v>10</v>
      </c>
      <c r="F4035" s="15" t="str">
        <f t="shared" ref="F4035:F4098" si="63">B4035&amp;"-"&amp;C4035&amp;"-"&amp;INT(D4035)</f>
        <v>1220-250981-44767</v>
      </c>
    </row>
    <row r="4036" spans="1:6" ht="14.25" customHeight="1" x14ac:dyDescent="0.25">
      <c r="A4036" s="15" t="s">
        <v>4176</v>
      </c>
      <c r="B4036" s="16">
        <v>1220</v>
      </c>
      <c r="C4036" s="16">
        <v>250981</v>
      </c>
      <c r="D4036" s="31">
        <v>44774</v>
      </c>
      <c r="E4036" s="16">
        <v>34</v>
      </c>
      <c r="F4036" s="15" t="str">
        <f t="shared" si="63"/>
        <v>1220-250981-44774</v>
      </c>
    </row>
    <row r="4037" spans="1:6" ht="14.25" customHeight="1" x14ac:dyDescent="0.25">
      <c r="A4037" s="15" t="s">
        <v>4177</v>
      </c>
      <c r="B4037" s="16">
        <v>1220</v>
      </c>
      <c r="C4037" s="16">
        <v>250981</v>
      </c>
      <c r="D4037" s="31">
        <v>44781</v>
      </c>
      <c r="E4037" s="16">
        <v>24</v>
      </c>
      <c r="F4037" s="15" t="str">
        <f t="shared" si="63"/>
        <v>1220-250981-44781</v>
      </c>
    </row>
    <row r="4038" spans="1:6" ht="14.25" customHeight="1" x14ac:dyDescent="0.25">
      <c r="A4038" s="15" t="s">
        <v>4178</v>
      </c>
      <c r="B4038" s="16">
        <v>1220</v>
      </c>
      <c r="C4038" s="16">
        <v>250981</v>
      </c>
      <c r="D4038" s="31">
        <v>44788</v>
      </c>
      <c r="E4038" s="16">
        <v>19</v>
      </c>
      <c r="F4038" s="15" t="str">
        <f t="shared" si="63"/>
        <v>1220-250981-44788</v>
      </c>
    </row>
    <row r="4039" spans="1:6" ht="14.25" customHeight="1" x14ac:dyDescent="0.25">
      <c r="A4039" s="15" t="s">
        <v>4179</v>
      </c>
      <c r="B4039" s="16">
        <v>1220</v>
      </c>
      <c r="C4039" s="16">
        <v>262294</v>
      </c>
      <c r="D4039" s="31">
        <v>44739</v>
      </c>
      <c r="E4039" s="16">
        <v>24</v>
      </c>
      <c r="F4039" s="15" t="str">
        <f t="shared" si="63"/>
        <v>1220-262294-44739</v>
      </c>
    </row>
    <row r="4040" spans="1:6" ht="14.25" customHeight="1" x14ac:dyDescent="0.25">
      <c r="A4040" s="15" t="s">
        <v>4180</v>
      </c>
      <c r="B4040" s="16">
        <v>1220</v>
      </c>
      <c r="C4040" s="16">
        <v>262294</v>
      </c>
      <c r="D4040" s="31">
        <v>44746</v>
      </c>
      <c r="E4040" s="16">
        <v>15</v>
      </c>
      <c r="F4040" s="15" t="str">
        <f t="shared" si="63"/>
        <v>1220-262294-44746</v>
      </c>
    </row>
    <row r="4041" spans="1:6" ht="14.25" customHeight="1" x14ac:dyDescent="0.25">
      <c r="A4041" s="15" t="s">
        <v>4181</v>
      </c>
      <c r="B4041" s="16">
        <v>1220</v>
      </c>
      <c r="C4041" s="16">
        <v>262294</v>
      </c>
      <c r="D4041" s="31">
        <v>44753</v>
      </c>
      <c r="E4041" s="16">
        <v>38</v>
      </c>
      <c r="F4041" s="15" t="str">
        <f t="shared" si="63"/>
        <v>1220-262294-44753</v>
      </c>
    </row>
    <row r="4042" spans="1:6" ht="14.25" customHeight="1" x14ac:dyDescent="0.25">
      <c r="A4042" s="15" t="s">
        <v>4182</v>
      </c>
      <c r="B4042" s="16">
        <v>1220</v>
      </c>
      <c r="C4042" s="16">
        <v>262294</v>
      </c>
      <c r="D4042" s="31">
        <v>44760</v>
      </c>
      <c r="E4042" s="16">
        <v>13</v>
      </c>
      <c r="F4042" s="15" t="str">
        <f t="shared" si="63"/>
        <v>1220-262294-44760</v>
      </c>
    </row>
    <row r="4043" spans="1:6" ht="14.25" customHeight="1" x14ac:dyDescent="0.25">
      <c r="A4043" s="15" t="s">
        <v>4183</v>
      </c>
      <c r="B4043" s="16">
        <v>1220</v>
      </c>
      <c r="C4043" s="16">
        <v>262294</v>
      </c>
      <c r="D4043" s="31">
        <v>44767</v>
      </c>
      <c r="E4043" s="16">
        <v>30</v>
      </c>
      <c r="F4043" s="15" t="str">
        <f t="shared" si="63"/>
        <v>1220-262294-44767</v>
      </c>
    </row>
    <row r="4044" spans="1:6" ht="14.25" customHeight="1" x14ac:dyDescent="0.25">
      <c r="A4044" s="15" t="s">
        <v>4184</v>
      </c>
      <c r="B4044" s="16">
        <v>1220</v>
      </c>
      <c r="C4044" s="16">
        <v>262294</v>
      </c>
      <c r="D4044" s="31">
        <v>44774</v>
      </c>
      <c r="E4044" s="16">
        <v>32</v>
      </c>
      <c r="F4044" s="15" t="str">
        <f t="shared" si="63"/>
        <v>1220-262294-44774</v>
      </c>
    </row>
    <row r="4045" spans="1:6" ht="14.25" customHeight="1" x14ac:dyDescent="0.25">
      <c r="A4045" s="15" t="s">
        <v>4185</v>
      </c>
      <c r="B4045" s="16">
        <v>1220</v>
      </c>
      <c r="C4045" s="16">
        <v>262294</v>
      </c>
      <c r="D4045" s="31">
        <v>44781</v>
      </c>
      <c r="E4045" s="16">
        <v>14</v>
      </c>
      <c r="F4045" s="15" t="str">
        <f t="shared" si="63"/>
        <v>1220-262294-44781</v>
      </c>
    </row>
    <row r="4046" spans="1:6" ht="14.25" customHeight="1" x14ac:dyDescent="0.25">
      <c r="A4046" s="15" t="s">
        <v>4186</v>
      </c>
      <c r="B4046" s="16">
        <v>1220</v>
      </c>
      <c r="C4046" s="16">
        <v>262294</v>
      </c>
      <c r="D4046" s="31">
        <v>44788</v>
      </c>
      <c r="E4046" s="16">
        <v>31</v>
      </c>
      <c r="F4046" s="15" t="str">
        <f t="shared" si="63"/>
        <v>1220-262294-44788</v>
      </c>
    </row>
    <row r="4047" spans="1:6" ht="14.25" customHeight="1" x14ac:dyDescent="0.25">
      <c r="A4047" s="15" t="s">
        <v>4187</v>
      </c>
      <c r="B4047" s="16">
        <v>1220</v>
      </c>
      <c r="C4047" s="16">
        <v>268831</v>
      </c>
      <c r="D4047" s="31">
        <v>44739</v>
      </c>
      <c r="E4047" s="16">
        <v>19</v>
      </c>
      <c r="F4047" s="15" t="str">
        <f t="shared" si="63"/>
        <v>1220-268831-44739</v>
      </c>
    </row>
    <row r="4048" spans="1:6" ht="14.25" customHeight="1" x14ac:dyDescent="0.25">
      <c r="A4048" s="15" t="s">
        <v>4188</v>
      </c>
      <c r="B4048" s="16">
        <v>1220</v>
      </c>
      <c r="C4048" s="16">
        <v>268831</v>
      </c>
      <c r="D4048" s="31">
        <v>44746</v>
      </c>
      <c r="E4048" s="16">
        <v>65</v>
      </c>
      <c r="F4048" s="15" t="str">
        <f t="shared" si="63"/>
        <v>1220-268831-44746</v>
      </c>
    </row>
    <row r="4049" spans="1:6" ht="14.25" customHeight="1" x14ac:dyDescent="0.25">
      <c r="A4049" s="15" t="s">
        <v>4189</v>
      </c>
      <c r="B4049" s="16">
        <v>1220</v>
      </c>
      <c r="C4049" s="16">
        <v>268831</v>
      </c>
      <c r="D4049" s="31">
        <v>44753</v>
      </c>
      <c r="E4049" s="16">
        <v>27</v>
      </c>
      <c r="F4049" s="15" t="str">
        <f t="shared" si="63"/>
        <v>1220-268831-44753</v>
      </c>
    </row>
    <row r="4050" spans="1:6" ht="14.25" customHeight="1" x14ac:dyDescent="0.25">
      <c r="A4050" s="15" t="s">
        <v>4190</v>
      </c>
      <c r="B4050" s="16">
        <v>1220</v>
      </c>
      <c r="C4050" s="16">
        <v>268831</v>
      </c>
      <c r="D4050" s="31">
        <v>44760</v>
      </c>
      <c r="E4050" s="16">
        <v>56</v>
      </c>
      <c r="F4050" s="15" t="str">
        <f t="shared" si="63"/>
        <v>1220-268831-44760</v>
      </c>
    </row>
    <row r="4051" spans="1:6" ht="14.25" customHeight="1" x14ac:dyDescent="0.25">
      <c r="A4051" s="15" t="s">
        <v>4191</v>
      </c>
      <c r="B4051" s="16">
        <v>1220</v>
      </c>
      <c r="C4051" s="16">
        <v>268831</v>
      </c>
      <c r="D4051" s="31">
        <v>44767</v>
      </c>
      <c r="E4051" s="16">
        <v>68</v>
      </c>
      <c r="F4051" s="15" t="str">
        <f t="shared" si="63"/>
        <v>1220-268831-44767</v>
      </c>
    </row>
    <row r="4052" spans="1:6" ht="14.25" customHeight="1" x14ac:dyDescent="0.25">
      <c r="A4052" s="15" t="s">
        <v>4192</v>
      </c>
      <c r="B4052" s="16">
        <v>1220</v>
      </c>
      <c r="C4052" s="16">
        <v>268831</v>
      </c>
      <c r="D4052" s="31">
        <v>44774</v>
      </c>
      <c r="E4052" s="16">
        <v>50</v>
      </c>
      <c r="F4052" s="15" t="str">
        <f t="shared" si="63"/>
        <v>1220-268831-44774</v>
      </c>
    </row>
    <row r="4053" spans="1:6" ht="14.25" customHeight="1" x14ac:dyDescent="0.25">
      <c r="A4053" s="15" t="s">
        <v>4193</v>
      </c>
      <c r="B4053" s="16">
        <v>1220</v>
      </c>
      <c r="C4053" s="16">
        <v>268831</v>
      </c>
      <c r="D4053" s="31">
        <v>44781</v>
      </c>
      <c r="E4053" s="16">
        <v>69</v>
      </c>
      <c r="F4053" s="15" t="str">
        <f t="shared" si="63"/>
        <v>1220-268831-44781</v>
      </c>
    </row>
    <row r="4054" spans="1:6" ht="14.25" customHeight="1" x14ac:dyDescent="0.25">
      <c r="A4054" s="15" t="s">
        <v>4194</v>
      </c>
      <c r="B4054" s="16">
        <v>1220</v>
      </c>
      <c r="C4054" s="16">
        <v>268831</v>
      </c>
      <c r="D4054" s="31">
        <v>44788</v>
      </c>
      <c r="E4054" s="16">
        <v>63</v>
      </c>
      <c r="F4054" s="15" t="str">
        <f t="shared" si="63"/>
        <v>1220-268831-44788</v>
      </c>
    </row>
    <row r="4055" spans="1:6" ht="14.25" customHeight="1" x14ac:dyDescent="0.25">
      <c r="A4055" s="15" t="s">
        <v>4195</v>
      </c>
      <c r="B4055" s="16">
        <v>1220</v>
      </c>
      <c r="C4055" s="16">
        <v>273701</v>
      </c>
      <c r="D4055" s="31">
        <v>44739</v>
      </c>
      <c r="E4055" s="16">
        <v>42</v>
      </c>
      <c r="F4055" s="15" t="str">
        <f t="shared" si="63"/>
        <v>1220-273701-44739</v>
      </c>
    </row>
    <row r="4056" spans="1:6" ht="14.25" customHeight="1" x14ac:dyDescent="0.25">
      <c r="A4056" s="15" t="s">
        <v>4196</v>
      </c>
      <c r="B4056" s="16">
        <v>1220</v>
      </c>
      <c r="C4056" s="16">
        <v>273701</v>
      </c>
      <c r="D4056" s="31">
        <v>44746</v>
      </c>
      <c r="E4056" s="16">
        <v>10</v>
      </c>
      <c r="F4056" s="15" t="str">
        <f t="shared" si="63"/>
        <v>1220-273701-44746</v>
      </c>
    </row>
    <row r="4057" spans="1:6" ht="14.25" customHeight="1" x14ac:dyDescent="0.25">
      <c r="A4057" s="15" t="s">
        <v>4197</v>
      </c>
      <c r="B4057" s="16">
        <v>1220</v>
      </c>
      <c r="C4057" s="16">
        <v>273701</v>
      </c>
      <c r="D4057" s="31">
        <v>44753</v>
      </c>
      <c r="E4057" s="16">
        <v>45</v>
      </c>
      <c r="F4057" s="15" t="str">
        <f t="shared" si="63"/>
        <v>1220-273701-44753</v>
      </c>
    </row>
    <row r="4058" spans="1:6" ht="14.25" customHeight="1" x14ac:dyDescent="0.25">
      <c r="A4058" s="15" t="s">
        <v>4198</v>
      </c>
      <c r="B4058" s="16">
        <v>1220</v>
      </c>
      <c r="C4058" s="16">
        <v>273701</v>
      </c>
      <c r="D4058" s="31">
        <v>44760</v>
      </c>
      <c r="E4058" s="16">
        <v>16</v>
      </c>
      <c r="F4058" s="15" t="str">
        <f t="shared" si="63"/>
        <v>1220-273701-44760</v>
      </c>
    </row>
    <row r="4059" spans="1:6" ht="14.25" customHeight="1" x14ac:dyDescent="0.25">
      <c r="A4059" s="15" t="s">
        <v>4199</v>
      </c>
      <c r="B4059" s="16">
        <v>1220</v>
      </c>
      <c r="C4059" s="16">
        <v>273701</v>
      </c>
      <c r="D4059" s="31">
        <v>44767</v>
      </c>
      <c r="E4059" s="16">
        <v>41</v>
      </c>
      <c r="F4059" s="15" t="str">
        <f t="shared" si="63"/>
        <v>1220-273701-44767</v>
      </c>
    </row>
    <row r="4060" spans="1:6" ht="14.25" customHeight="1" x14ac:dyDescent="0.25">
      <c r="A4060" s="15" t="s">
        <v>4200</v>
      </c>
      <c r="B4060" s="16">
        <v>1220</v>
      </c>
      <c r="C4060" s="16">
        <v>273701</v>
      </c>
      <c r="D4060" s="31">
        <v>44774</v>
      </c>
      <c r="E4060" s="16">
        <v>54</v>
      </c>
      <c r="F4060" s="15" t="str">
        <f t="shared" si="63"/>
        <v>1220-273701-44774</v>
      </c>
    </row>
    <row r="4061" spans="1:6" ht="14.25" customHeight="1" x14ac:dyDescent="0.25">
      <c r="A4061" s="15" t="s">
        <v>4201</v>
      </c>
      <c r="B4061" s="16">
        <v>1220</v>
      </c>
      <c r="C4061" s="16">
        <v>273701</v>
      </c>
      <c r="D4061" s="31">
        <v>44781</v>
      </c>
      <c r="E4061" s="16">
        <v>57</v>
      </c>
      <c r="F4061" s="15" t="str">
        <f t="shared" si="63"/>
        <v>1220-273701-44781</v>
      </c>
    </row>
    <row r="4062" spans="1:6" ht="14.25" customHeight="1" x14ac:dyDescent="0.25">
      <c r="A4062" s="15" t="s">
        <v>4202</v>
      </c>
      <c r="B4062" s="16">
        <v>1220</v>
      </c>
      <c r="C4062" s="16">
        <v>273701</v>
      </c>
      <c r="D4062" s="31">
        <v>44788</v>
      </c>
      <c r="E4062" s="16">
        <v>10</v>
      </c>
      <c r="F4062" s="15" t="str">
        <f t="shared" si="63"/>
        <v>1220-273701-44788</v>
      </c>
    </row>
    <row r="4063" spans="1:6" ht="14.25" customHeight="1" x14ac:dyDescent="0.25">
      <c r="A4063" s="15" t="s">
        <v>4203</v>
      </c>
      <c r="B4063" s="16">
        <v>1220</v>
      </c>
      <c r="C4063" s="16">
        <v>291726</v>
      </c>
      <c r="D4063" s="31">
        <v>44739</v>
      </c>
      <c r="E4063" s="16">
        <v>6</v>
      </c>
      <c r="F4063" s="15" t="str">
        <f t="shared" si="63"/>
        <v>1220-291726-44739</v>
      </c>
    </row>
    <row r="4064" spans="1:6" ht="14.25" customHeight="1" x14ac:dyDescent="0.25">
      <c r="A4064" s="15" t="s">
        <v>4204</v>
      </c>
      <c r="B4064" s="16">
        <v>1220</v>
      </c>
      <c r="C4064" s="16">
        <v>291726</v>
      </c>
      <c r="D4064" s="31">
        <v>44746</v>
      </c>
      <c r="E4064" s="16">
        <v>6</v>
      </c>
      <c r="F4064" s="15" t="str">
        <f t="shared" si="63"/>
        <v>1220-291726-44746</v>
      </c>
    </row>
    <row r="4065" spans="1:6" ht="14.25" customHeight="1" x14ac:dyDescent="0.25">
      <c r="A4065" s="15" t="s">
        <v>4205</v>
      </c>
      <c r="B4065" s="16">
        <v>1220</v>
      </c>
      <c r="C4065" s="16">
        <v>291726</v>
      </c>
      <c r="D4065" s="31">
        <v>44753</v>
      </c>
      <c r="E4065" s="16">
        <v>10</v>
      </c>
      <c r="F4065" s="15" t="str">
        <f t="shared" si="63"/>
        <v>1220-291726-44753</v>
      </c>
    </row>
    <row r="4066" spans="1:6" ht="14.25" customHeight="1" x14ac:dyDescent="0.25">
      <c r="A4066" s="15" t="s">
        <v>4206</v>
      </c>
      <c r="B4066" s="16">
        <v>1220</v>
      </c>
      <c r="C4066" s="16">
        <v>291726</v>
      </c>
      <c r="D4066" s="31">
        <v>44760</v>
      </c>
      <c r="E4066" s="16">
        <v>10</v>
      </c>
      <c r="F4066" s="15" t="str">
        <f t="shared" si="63"/>
        <v>1220-291726-44760</v>
      </c>
    </row>
    <row r="4067" spans="1:6" ht="14.25" customHeight="1" x14ac:dyDescent="0.25">
      <c r="A4067" s="15" t="s">
        <v>4207</v>
      </c>
      <c r="B4067" s="16">
        <v>1220</v>
      </c>
      <c r="C4067" s="16">
        <v>291726</v>
      </c>
      <c r="D4067" s="31">
        <v>44767</v>
      </c>
      <c r="E4067" s="16">
        <v>8</v>
      </c>
      <c r="F4067" s="15" t="str">
        <f t="shared" si="63"/>
        <v>1220-291726-44767</v>
      </c>
    </row>
    <row r="4068" spans="1:6" ht="14.25" customHeight="1" x14ac:dyDescent="0.25">
      <c r="A4068" s="15" t="s">
        <v>4208</v>
      </c>
      <c r="B4068" s="16">
        <v>1220</v>
      </c>
      <c r="C4068" s="16">
        <v>291726</v>
      </c>
      <c r="D4068" s="31">
        <v>44774</v>
      </c>
      <c r="E4068" s="16">
        <v>1</v>
      </c>
      <c r="F4068" s="15" t="str">
        <f t="shared" si="63"/>
        <v>1220-291726-44774</v>
      </c>
    </row>
    <row r="4069" spans="1:6" ht="14.25" customHeight="1" x14ac:dyDescent="0.25">
      <c r="A4069" s="15" t="s">
        <v>4209</v>
      </c>
      <c r="B4069" s="16">
        <v>1220</v>
      </c>
      <c r="C4069" s="16">
        <v>291726</v>
      </c>
      <c r="D4069" s="31">
        <v>44781</v>
      </c>
      <c r="E4069" s="16">
        <v>8</v>
      </c>
      <c r="F4069" s="15" t="str">
        <f t="shared" si="63"/>
        <v>1220-291726-44781</v>
      </c>
    </row>
    <row r="4070" spans="1:6" ht="14.25" customHeight="1" x14ac:dyDescent="0.25">
      <c r="A4070" s="15" t="s">
        <v>4210</v>
      </c>
      <c r="B4070" s="16">
        <v>1220</v>
      </c>
      <c r="C4070" s="16">
        <v>291726</v>
      </c>
      <c r="D4070" s="31">
        <v>44788</v>
      </c>
      <c r="E4070" s="16">
        <v>10</v>
      </c>
      <c r="F4070" s="15" t="str">
        <f t="shared" si="63"/>
        <v>1220-291726-44788</v>
      </c>
    </row>
    <row r="4071" spans="1:6" ht="14.25" customHeight="1" x14ac:dyDescent="0.25">
      <c r="A4071" s="15" t="s">
        <v>4211</v>
      </c>
      <c r="B4071" s="16">
        <v>1220</v>
      </c>
      <c r="C4071" s="16">
        <v>291728</v>
      </c>
      <c r="D4071" s="31">
        <v>44739</v>
      </c>
      <c r="E4071" s="16">
        <v>18</v>
      </c>
      <c r="F4071" s="15" t="str">
        <f t="shared" si="63"/>
        <v>1220-291728-44739</v>
      </c>
    </row>
    <row r="4072" spans="1:6" ht="14.25" customHeight="1" x14ac:dyDescent="0.25">
      <c r="A4072" s="15" t="s">
        <v>4212</v>
      </c>
      <c r="B4072" s="16">
        <v>1220</v>
      </c>
      <c r="C4072" s="16">
        <v>291728</v>
      </c>
      <c r="D4072" s="31">
        <v>44746</v>
      </c>
      <c r="E4072" s="16">
        <v>22</v>
      </c>
      <c r="F4072" s="15" t="str">
        <f t="shared" si="63"/>
        <v>1220-291728-44746</v>
      </c>
    </row>
    <row r="4073" spans="1:6" ht="14.25" customHeight="1" x14ac:dyDescent="0.25">
      <c r="A4073" s="15" t="s">
        <v>4213</v>
      </c>
      <c r="B4073" s="16">
        <v>1220</v>
      </c>
      <c r="C4073" s="16">
        <v>291728</v>
      </c>
      <c r="D4073" s="31">
        <v>44753</v>
      </c>
      <c r="E4073" s="16">
        <v>18</v>
      </c>
      <c r="F4073" s="15" t="str">
        <f t="shared" si="63"/>
        <v>1220-291728-44753</v>
      </c>
    </row>
    <row r="4074" spans="1:6" ht="14.25" customHeight="1" x14ac:dyDescent="0.25">
      <c r="A4074" s="15" t="s">
        <v>4214</v>
      </c>
      <c r="B4074" s="16">
        <v>1220</v>
      </c>
      <c r="C4074" s="16">
        <v>291728</v>
      </c>
      <c r="D4074" s="31">
        <v>44760</v>
      </c>
      <c r="E4074" s="16">
        <v>9</v>
      </c>
      <c r="F4074" s="15" t="str">
        <f t="shared" si="63"/>
        <v>1220-291728-44760</v>
      </c>
    </row>
    <row r="4075" spans="1:6" ht="14.25" customHeight="1" x14ac:dyDescent="0.25">
      <c r="A4075" s="15" t="s">
        <v>4215</v>
      </c>
      <c r="B4075" s="16">
        <v>1220</v>
      </c>
      <c r="C4075" s="16">
        <v>291728</v>
      </c>
      <c r="D4075" s="31">
        <v>44767</v>
      </c>
      <c r="E4075" s="16">
        <v>24</v>
      </c>
      <c r="F4075" s="15" t="str">
        <f t="shared" si="63"/>
        <v>1220-291728-44767</v>
      </c>
    </row>
    <row r="4076" spans="1:6" ht="14.25" customHeight="1" x14ac:dyDescent="0.25">
      <c r="A4076" s="15" t="s">
        <v>4216</v>
      </c>
      <c r="B4076" s="16">
        <v>1220</v>
      </c>
      <c r="C4076" s="16">
        <v>291728</v>
      </c>
      <c r="D4076" s="31">
        <v>44774</v>
      </c>
      <c r="E4076" s="16">
        <v>21</v>
      </c>
      <c r="F4076" s="15" t="str">
        <f t="shared" si="63"/>
        <v>1220-291728-44774</v>
      </c>
    </row>
    <row r="4077" spans="1:6" ht="14.25" customHeight="1" x14ac:dyDescent="0.25">
      <c r="A4077" s="15" t="s">
        <v>4217</v>
      </c>
      <c r="B4077" s="16">
        <v>1220</v>
      </c>
      <c r="C4077" s="16">
        <v>291728</v>
      </c>
      <c r="D4077" s="31">
        <v>44781</v>
      </c>
      <c r="E4077" s="16">
        <v>24</v>
      </c>
      <c r="F4077" s="15" t="str">
        <f t="shared" si="63"/>
        <v>1220-291728-44781</v>
      </c>
    </row>
    <row r="4078" spans="1:6" ht="14.25" customHeight="1" x14ac:dyDescent="0.25">
      <c r="A4078" s="15" t="s">
        <v>4218</v>
      </c>
      <c r="B4078" s="16">
        <v>1220</v>
      </c>
      <c r="C4078" s="16">
        <v>291728</v>
      </c>
      <c r="D4078" s="31">
        <v>44788</v>
      </c>
      <c r="E4078" s="16">
        <v>6</v>
      </c>
      <c r="F4078" s="15" t="str">
        <f t="shared" si="63"/>
        <v>1220-291728-44788</v>
      </c>
    </row>
    <row r="4079" spans="1:6" ht="14.25" customHeight="1" x14ac:dyDescent="0.25">
      <c r="A4079" s="15" t="s">
        <v>4219</v>
      </c>
      <c r="B4079" s="16">
        <v>1220</v>
      </c>
      <c r="C4079" s="16">
        <v>300380</v>
      </c>
      <c r="D4079" s="31">
        <v>44739</v>
      </c>
      <c r="E4079" s="16">
        <v>60</v>
      </c>
      <c r="F4079" s="15" t="str">
        <f t="shared" si="63"/>
        <v>1220-300380-44739</v>
      </c>
    </row>
    <row r="4080" spans="1:6" ht="14.25" customHeight="1" x14ac:dyDescent="0.25">
      <c r="A4080" s="15" t="s">
        <v>4220</v>
      </c>
      <c r="B4080" s="16">
        <v>1220</v>
      </c>
      <c r="C4080" s="16">
        <v>300380</v>
      </c>
      <c r="D4080" s="31">
        <v>44746</v>
      </c>
      <c r="E4080" s="16">
        <v>55</v>
      </c>
      <c r="F4080" s="15" t="str">
        <f t="shared" si="63"/>
        <v>1220-300380-44746</v>
      </c>
    </row>
    <row r="4081" spans="1:6" ht="14.25" customHeight="1" x14ac:dyDescent="0.25">
      <c r="A4081" s="15" t="s">
        <v>4221</v>
      </c>
      <c r="B4081" s="16">
        <v>1220</v>
      </c>
      <c r="C4081" s="16">
        <v>300380</v>
      </c>
      <c r="D4081" s="31">
        <v>44753</v>
      </c>
      <c r="E4081" s="16">
        <v>56</v>
      </c>
      <c r="F4081" s="15" t="str">
        <f t="shared" si="63"/>
        <v>1220-300380-44753</v>
      </c>
    </row>
    <row r="4082" spans="1:6" ht="14.25" customHeight="1" x14ac:dyDescent="0.25">
      <c r="A4082" s="15" t="s">
        <v>4222</v>
      </c>
      <c r="B4082" s="16">
        <v>1220</v>
      </c>
      <c r="C4082" s="16">
        <v>300380</v>
      </c>
      <c r="D4082" s="31">
        <v>44760</v>
      </c>
      <c r="E4082" s="16">
        <v>17</v>
      </c>
      <c r="F4082" s="15" t="str">
        <f t="shared" si="63"/>
        <v>1220-300380-44760</v>
      </c>
    </row>
    <row r="4083" spans="1:6" ht="14.25" customHeight="1" x14ac:dyDescent="0.25">
      <c r="A4083" s="15" t="s">
        <v>4223</v>
      </c>
      <c r="B4083" s="16">
        <v>1220</v>
      </c>
      <c r="C4083" s="16">
        <v>300380</v>
      </c>
      <c r="D4083" s="31">
        <v>44767</v>
      </c>
      <c r="E4083" s="16">
        <v>39</v>
      </c>
      <c r="F4083" s="15" t="str">
        <f t="shared" si="63"/>
        <v>1220-300380-44767</v>
      </c>
    </row>
    <row r="4084" spans="1:6" ht="14.25" customHeight="1" x14ac:dyDescent="0.25">
      <c r="A4084" s="15" t="s">
        <v>4224</v>
      </c>
      <c r="B4084" s="16">
        <v>1220</v>
      </c>
      <c r="C4084" s="16">
        <v>300380</v>
      </c>
      <c r="D4084" s="31">
        <v>44774</v>
      </c>
      <c r="E4084" s="16">
        <v>52</v>
      </c>
      <c r="F4084" s="15" t="str">
        <f t="shared" si="63"/>
        <v>1220-300380-44774</v>
      </c>
    </row>
    <row r="4085" spans="1:6" ht="14.25" customHeight="1" x14ac:dyDescent="0.25">
      <c r="A4085" s="15" t="s">
        <v>4225</v>
      </c>
      <c r="B4085" s="16">
        <v>1220</v>
      </c>
      <c r="C4085" s="16">
        <v>300380</v>
      </c>
      <c r="D4085" s="31">
        <v>44781</v>
      </c>
      <c r="E4085" s="16">
        <v>50</v>
      </c>
      <c r="F4085" s="15" t="str">
        <f t="shared" si="63"/>
        <v>1220-300380-44781</v>
      </c>
    </row>
    <row r="4086" spans="1:6" ht="14.25" customHeight="1" x14ac:dyDescent="0.25">
      <c r="A4086" s="15" t="s">
        <v>4226</v>
      </c>
      <c r="B4086" s="16">
        <v>1220</v>
      </c>
      <c r="C4086" s="16">
        <v>300380</v>
      </c>
      <c r="D4086" s="31">
        <v>44788</v>
      </c>
      <c r="E4086" s="16">
        <v>61</v>
      </c>
      <c r="F4086" s="15" t="str">
        <f t="shared" si="63"/>
        <v>1220-300380-44788</v>
      </c>
    </row>
    <row r="4087" spans="1:6" ht="14.25" customHeight="1" x14ac:dyDescent="0.25">
      <c r="A4087" s="15" t="s">
        <v>4227</v>
      </c>
      <c r="B4087" s="16">
        <v>1220</v>
      </c>
      <c r="C4087" s="16">
        <v>571521</v>
      </c>
      <c r="D4087" s="31">
        <v>44739</v>
      </c>
      <c r="E4087" s="16">
        <v>84</v>
      </c>
      <c r="F4087" s="15" t="str">
        <f t="shared" si="63"/>
        <v>1220-571521-44739</v>
      </c>
    </row>
    <row r="4088" spans="1:6" ht="14.25" customHeight="1" x14ac:dyDescent="0.25">
      <c r="A4088" s="15" t="s">
        <v>4228</v>
      </c>
      <c r="B4088" s="16">
        <v>1220</v>
      </c>
      <c r="C4088" s="16">
        <v>571521</v>
      </c>
      <c r="D4088" s="31">
        <v>44746</v>
      </c>
      <c r="E4088" s="16">
        <v>91</v>
      </c>
      <c r="F4088" s="15" t="str">
        <f t="shared" si="63"/>
        <v>1220-571521-44746</v>
      </c>
    </row>
    <row r="4089" spans="1:6" ht="14.25" customHeight="1" x14ac:dyDescent="0.25">
      <c r="A4089" s="15" t="s">
        <v>4229</v>
      </c>
      <c r="B4089" s="16">
        <v>1220</v>
      </c>
      <c r="C4089" s="16">
        <v>571521</v>
      </c>
      <c r="D4089" s="31">
        <v>44753</v>
      </c>
      <c r="E4089" s="16">
        <v>119</v>
      </c>
      <c r="F4089" s="15" t="str">
        <f t="shared" si="63"/>
        <v>1220-571521-44753</v>
      </c>
    </row>
    <row r="4090" spans="1:6" ht="14.25" customHeight="1" x14ac:dyDescent="0.25">
      <c r="A4090" s="15" t="s">
        <v>4230</v>
      </c>
      <c r="B4090" s="16">
        <v>1220</v>
      </c>
      <c r="C4090" s="16">
        <v>571521</v>
      </c>
      <c r="D4090" s="31">
        <v>44760</v>
      </c>
      <c r="E4090" s="16">
        <v>88</v>
      </c>
      <c r="F4090" s="15" t="str">
        <f t="shared" si="63"/>
        <v>1220-571521-44760</v>
      </c>
    </row>
    <row r="4091" spans="1:6" ht="14.25" customHeight="1" x14ac:dyDescent="0.25">
      <c r="A4091" s="15" t="s">
        <v>4231</v>
      </c>
      <c r="B4091" s="16">
        <v>1220</v>
      </c>
      <c r="C4091" s="16">
        <v>571521</v>
      </c>
      <c r="D4091" s="31">
        <v>44767</v>
      </c>
      <c r="E4091" s="16">
        <v>30</v>
      </c>
      <c r="F4091" s="15" t="str">
        <f t="shared" si="63"/>
        <v>1220-571521-44767</v>
      </c>
    </row>
    <row r="4092" spans="1:6" ht="14.25" customHeight="1" x14ac:dyDescent="0.25">
      <c r="A4092" s="15" t="s">
        <v>4232</v>
      </c>
      <c r="B4092" s="16">
        <v>1220</v>
      </c>
      <c r="C4092" s="16">
        <v>571521</v>
      </c>
      <c r="D4092" s="31">
        <v>44774</v>
      </c>
      <c r="E4092" s="16">
        <v>31</v>
      </c>
      <c r="F4092" s="15" t="str">
        <f t="shared" si="63"/>
        <v>1220-571521-44774</v>
      </c>
    </row>
    <row r="4093" spans="1:6" ht="14.25" customHeight="1" x14ac:dyDescent="0.25">
      <c r="A4093" s="15" t="s">
        <v>4233</v>
      </c>
      <c r="B4093" s="16">
        <v>1220</v>
      </c>
      <c r="C4093" s="16">
        <v>571521</v>
      </c>
      <c r="D4093" s="31">
        <v>44781</v>
      </c>
      <c r="E4093" s="16">
        <v>91</v>
      </c>
      <c r="F4093" s="15" t="str">
        <f t="shared" si="63"/>
        <v>1220-571521-44781</v>
      </c>
    </row>
    <row r="4094" spans="1:6" ht="14.25" customHeight="1" x14ac:dyDescent="0.25">
      <c r="A4094" s="15" t="s">
        <v>4234</v>
      </c>
      <c r="B4094" s="16">
        <v>1220</v>
      </c>
      <c r="C4094" s="16">
        <v>571521</v>
      </c>
      <c r="D4094" s="31">
        <v>44788</v>
      </c>
      <c r="E4094" s="16">
        <v>27</v>
      </c>
      <c r="F4094" s="15" t="str">
        <f t="shared" si="63"/>
        <v>1220-571521-44788</v>
      </c>
    </row>
    <row r="4095" spans="1:6" ht="14.25" customHeight="1" x14ac:dyDescent="0.25">
      <c r="A4095" s="15" t="s">
        <v>4235</v>
      </c>
      <c r="B4095" s="16">
        <v>1220</v>
      </c>
      <c r="C4095" s="16">
        <v>614993</v>
      </c>
      <c r="D4095" s="31">
        <v>44739</v>
      </c>
      <c r="E4095" s="16">
        <v>3</v>
      </c>
      <c r="F4095" s="15" t="str">
        <f t="shared" si="63"/>
        <v>1220-614993-44739</v>
      </c>
    </row>
    <row r="4096" spans="1:6" ht="14.25" customHeight="1" x14ac:dyDescent="0.25">
      <c r="A4096" s="15" t="s">
        <v>4236</v>
      </c>
      <c r="B4096" s="16">
        <v>1220</v>
      </c>
      <c r="C4096" s="16">
        <v>614993</v>
      </c>
      <c r="D4096" s="31">
        <v>44746</v>
      </c>
      <c r="E4096" s="16">
        <v>4</v>
      </c>
      <c r="F4096" s="15" t="str">
        <f t="shared" si="63"/>
        <v>1220-614993-44746</v>
      </c>
    </row>
    <row r="4097" spans="1:6" ht="14.25" customHeight="1" x14ac:dyDescent="0.25">
      <c r="A4097" s="15" t="s">
        <v>4237</v>
      </c>
      <c r="B4097" s="16">
        <v>1220</v>
      </c>
      <c r="C4097" s="16">
        <v>614993</v>
      </c>
      <c r="D4097" s="31">
        <v>44753</v>
      </c>
      <c r="E4097" s="16">
        <v>4</v>
      </c>
      <c r="F4097" s="15" t="str">
        <f t="shared" si="63"/>
        <v>1220-614993-44753</v>
      </c>
    </row>
    <row r="4098" spans="1:6" ht="14.25" customHeight="1" x14ac:dyDescent="0.25">
      <c r="A4098" s="15" t="s">
        <v>4238</v>
      </c>
      <c r="B4098" s="16">
        <v>1220</v>
      </c>
      <c r="C4098" s="16">
        <v>614993</v>
      </c>
      <c r="D4098" s="31">
        <v>44760</v>
      </c>
      <c r="E4098" s="16">
        <v>3</v>
      </c>
      <c r="F4098" s="15" t="str">
        <f t="shared" si="63"/>
        <v>1220-614993-44760</v>
      </c>
    </row>
    <row r="4099" spans="1:6" ht="14.25" customHeight="1" x14ac:dyDescent="0.25">
      <c r="A4099" s="15" t="s">
        <v>4239</v>
      </c>
      <c r="B4099" s="16">
        <v>1220</v>
      </c>
      <c r="C4099" s="16">
        <v>614993</v>
      </c>
      <c r="D4099" s="31">
        <v>44767</v>
      </c>
      <c r="E4099" s="16">
        <v>-1</v>
      </c>
      <c r="F4099" s="15" t="str">
        <f t="shared" ref="F4099:F4102" si="64">B4099&amp;"-"&amp;C4099&amp;"-"&amp;INT(D4099)</f>
        <v>1220-614993-44767</v>
      </c>
    </row>
    <row r="4100" spans="1:6" ht="14.25" customHeight="1" x14ac:dyDescent="0.25">
      <c r="A4100" s="15" t="s">
        <v>4240</v>
      </c>
      <c r="B4100" s="16">
        <v>1220</v>
      </c>
      <c r="C4100" s="16">
        <v>614993</v>
      </c>
      <c r="D4100" s="31">
        <v>44774</v>
      </c>
      <c r="E4100" s="16">
        <v>6</v>
      </c>
      <c r="F4100" s="15" t="str">
        <f t="shared" si="64"/>
        <v>1220-614993-44774</v>
      </c>
    </row>
    <row r="4101" spans="1:6" ht="14.25" customHeight="1" x14ac:dyDescent="0.25">
      <c r="A4101" s="15" t="s">
        <v>4241</v>
      </c>
      <c r="B4101" s="16">
        <v>1220</v>
      </c>
      <c r="C4101" s="16">
        <v>614993</v>
      </c>
      <c r="D4101" s="31">
        <v>44781</v>
      </c>
      <c r="E4101" s="16">
        <v>4</v>
      </c>
      <c r="F4101" s="15" t="str">
        <f t="shared" si="64"/>
        <v>1220-614993-44781</v>
      </c>
    </row>
    <row r="4102" spans="1:6" ht="14.25" customHeight="1" x14ac:dyDescent="0.25">
      <c r="A4102" s="15" t="s">
        <v>4242</v>
      </c>
      <c r="B4102" s="16">
        <v>1220</v>
      </c>
      <c r="C4102" s="16">
        <v>614993</v>
      </c>
      <c r="D4102" s="31">
        <v>44788</v>
      </c>
      <c r="E4102" s="16">
        <v>6</v>
      </c>
      <c r="F4102" s="15" t="str">
        <f t="shared" si="64"/>
        <v>1220-614993-44788</v>
      </c>
    </row>
  </sheetData>
  <autoFilter ref="A1:F4102" xr:uid="{2B95C35D-9D89-4BD1-A317-8C2913136CAD}"/>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F4FE3-36D3-4CA2-83B4-D8D518616037}">
  <sheetPr>
    <tabColor rgb="FFD9E2F3"/>
  </sheetPr>
  <dimension ref="A1:F1000"/>
  <sheetViews>
    <sheetView workbookViewId="0"/>
  </sheetViews>
  <sheetFormatPr baseColWidth="10" defaultColWidth="14.42578125" defaultRowHeight="15" customHeight="1" x14ac:dyDescent="0.25"/>
  <cols>
    <col min="1" max="1" width="17.5703125" style="15" bestFit="1" customWidth="1"/>
    <col min="2" max="3" width="8.7109375" style="15" customWidth="1"/>
    <col min="4" max="4" width="25" style="15" customWidth="1"/>
    <col min="5" max="5" width="18.85546875" style="15" customWidth="1"/>
    <col min="6" max="6" width="17.5703125" style="15" bestFit="1" customWidth="1"/>
    <col min="7" max="27" width="8.7109375" style="15" customWidth="1"/>
    <col min="28" max="16384" width="14.42578125" style="15"/>
  </cols>
  <sheetData>
    <row r="1" spans="1:6" ht="14.25" customHeight="1" x14ac:dyDescent="0.25">
      <c r="A1" s="33" t="s">
        <v>99</v>
      </c>
      <c r="B1" s="32" t="s">
        <v>5</v>
      </c>
      <c r="C1" s="32" t="s">
        <v>4</v>
      </c>
      <c r="D1" s="32" t="s">
        <v>100</v>
      </c>
      <c r="E1" s="32" t="s">
        <v>101</v>
      </c>
      <c r="F1" s="33" t="s">
        <v>99</v>
      </c>
    </row>
    <row r="2" spans="1:6" ht="14.25" customHeight="1" x14ac:dyDescent="0.25">
      <c r="A2" s="15" t="s">
        <v>3585</v>
      </c>
      <c r="B2" s="34">
        <v>1218</v>
      </c>
      <c r="C2" s="34">
        <v>78869</v>
      </c>
      <c r="D2" s="35">
        <v>44753</v>
      </c>
      <c r="E2" s="34">
        <v>35</v>
      </c>
      <c r="F2" s="15" t="str">
        <f>B2&amp;"-"&amp;C2&amp;"-"&amp;INT(D2)</f>
        <v>1218-78869-44753</v>
      </c>
    </row>
    <row r="3" spans="1:6" ht="14.25" customHeight="1" x14ac:dyDescent="0.25">
      <c r="A3" s="15" t="s">
        <v>2865</v>
      </c>
      <c r="B3" s="36">
        <v>1213</v>
      </c>
      <c r="C3" s="36">
        <v>78869</v>
      </c>
      <c r="D3" s="37">
        <v>44753</v>
      </c>
      <c r="E3" s="36">
        <v>18</v>
      </c>
      <c r="F3" s="15" t="str">
        <f t="shared" ref="F3:F66" si="0">B3&amp;"-"&amp;C3&amp;"-"&amp;INT(D3)</f>
        <v>1213-78869-44753</v>
      </c>
    </row>
    <row r="4" spans="1:6" ht="14.25" customHeight="1" x14ac:dyDescent="0.25">
      <c r="A4" s="15" t="s">
        <v>2671</v>
      </c>
      <c r="B4" s="36">
        <v>1212</v>
      </c>
      <c r="C4" s="36">
        <v>78869</v>
      </c>
      <c r="D4" s="37">
        <v>44753</v>
      </c>
      <c r="E4" s="36">
        <v>11</v>
      </c>
      <c r="F4" s="15" t="str">
        <f t="shared" si="0"/>
        <v>1212-78869-44753</v>
      </c>
    </row>
    <row r="5" spans="1:6" ht="14.25" customHeight="1" x14ac:dyDescent="0.25">
      <c r="A5" s="15" t="s">
        <v>2430</v>
      </c>
      <c r="B5" s="36">
        <v>1211</v>
      </c>
      <c r="C5" s="36">
        <v>78869</v>
      </c>
      <c r="D5" s="37">
        <v>44753</v>
      </c>
      <c r="E5" s="36">
        <v>28</v>
      </c>
      <c r="F5" s="15" t="str">
        <f t="shared" si="0"/>
        <v>1211-78869-44753</v>
      </c>
    </row>
    <row r="6" spans="1:6" ht="14.25" customHeight="1" x14ac:dyDescent="0.25">
      <c r="A6" s="15" t="s">
        <v>1847</v>
      </c>
      <c r="B6" s="36">
        <v>1208</v>
      </c>
      <c r="C6" s="36">
        <v>78869</v>
      </c>
      <c r="D6" s="37">
        <v>44753</v>
      </c>
      <c r="E6" s="36">
        <v>7</v>
      </c>
      <c r="F6" s="15" t="str">
        <f t="shared" si="0"/>
        <v>1208-78869-44753</v>
      </c>
    </row>
    <row r="7" spans="1:6" ht="14.25" customHeight="1" x14ac:dyDescent="0.25">
      <c r="A7" s="15" t="s">
        <v>1381</v>
      </c>
      <c r="B7" s="36">
        <v>1206</v>
      </c>
      <c r="C7" s="36">
        <v>78869</v>
      </c>
      <c r="D7" s="37">
        <v>44753</v>
      </c>
      <c r="E7" s="36">
        <v>7</v>
      </c>
      <c r="F7" s="15" t="str">
        <f t="shared" si="0"/>
        <v>1206-78869-44753</v>
      </c>
    </row>
    <row r="8" spans="1:6" ht="14.25" customHeight="1" x14ac:dyDescent="0.25">
      <c r="A8" s="15" t="s">
        <v>4035</v>
      </c>
      <c r="B8" s="36">
        <v>1220</v>
      </c>
      <c r="C8" s="36">
        <v>78869</v>
      </c>
      <c r="D8" s="37">
        <v>44746</v>
      </c>
      <c r="E8" s="36">
        <v>25</v>
      </c>
      <c r="F8" s="15" t="str">
        <f t="shared" si="0"/>
        <v>1220-78869-44746</v>
      </c>
    </row>
    <row r="9" spans="1:6" ht="14.25" customHeight="1" x14ac:dyDescent="0.25">
      <c r="A9" s="15" t="s">
        <v>3349</v>
      </c>
      <c r="B9" s="36">
        <v>1216</v>
      </c>
      <c r="C9" s="36">
        <v>78869</v>
      </c>
      <c r="D9" s="37">
        <v>44746</v>
      </c>
      <c r="E9" s="36">
        <v>17</v>
      </c>
      <c r="F9" s="15" t="str">
        <f t="shared" si="0"/>
        <v>1216-78869-44746</v>
      </c>
    </row>
    <row r="10" spans="1:6" ht="14.25" customHeight="1" x14ac:dyDescent="0.25">
      <c r="A10" s="15" t="s">
        <v>3106</v>
      </c>
      <c r="B10" s="36">
        <v>1214</v>
      </c>
      <c r="C10" s="36">
        <v>78869</v>
      </c>
      <c r="D10" s="37">
        <v>44746</v>
      </c>
      <c r="E10" s="36">
        <v>18</v>
      </c>
      <c r="F10" s="15" t="str">
        <f t="shared" si="0"/>
        <v>1214-78869-44746</v>
      </c>
    </row>
    <row r="11" spans="1:6" ht="14.25" customHeight="1" x14ac:dyDescent="0.25">
      <c r="A11" s="15" t="s">
        <v>2186</v>
      </c>
      <c r="B11" s="36">
        <v>1210</v>
      </c>
      <c r="C11" s="36">
        <v>78869</v>
      </c>
      <c r="D11" s="37">
        <v>44746</v>
      </c>
      <c r="E11" s="36">
        <v>35</v>
      </c>
      <c r="F11" s="15" t="str">
        <f t="shared" si="0"/>
        <v>1210-78869-44746</v>
      </c>
    </row>
    <row r="12" spans="1:6" ht="14.25" customHeight="1" x14ac:dyDescent="0.25">
      <c r="A12" s="15" t="s">
        <v>656</v>
      </c>
      <c r="B12" s="36">
        <v>1203</v>
      </c>
      <c r="C12" s="36">
        <v>78869</v>
      </c>
      <c r="D12" s="37">
        <v>44746</v>
      </c>
      <c r="E12" s="36">
        <v>16</v>
      </c>
      <c r="F12" s="15" t="str">
        <f t="shared" si="0"/>
        <v>1203-78869-44746</v>
      </c>
    </row>
    <row r="13" spans="1:6" ht="14.25" customHeight="1" x14ac:dyDescent="0.25">
      <c r="A13" s="15" t="s">
        <v>175</v>
      </c>
      <c r="B13" s="36">
        <v>1201</v>
      </c>
      <c r="C13" s="36">
        <v>78869</v>
      </c>
      <c r="D13" s="37">
        <v>44746</v>
      </c>
      <c r="E13" s="36">
        <v>17</v>
      </c>
      <c r="F13" s="15" t="str">
        <f t="shared" si="0"/>
        <v>1201-78869-44746</v>
      </c>
    </row>
    <row r="14" spans="1:6" ht="14.25" customHeight="1" x14ac:dyDescent="0.25">
      <c r="A14" s="15" t="s">
        <v>1620</v>
      </c>
      <c r="B14" s="36">
        <v>1207</v>
      </c>
      <c r="C14" s="36">
        <v>78869</v>
      </c>
      <c r="D14" s="37">
        <v>44739</v>
      </c>
      <c r="E14" s="36">
        <v>10</v>
      </c>
      <c r="F14" s="15" t="str">
        <f t="shared" si="0"/>
        <v>1207-78869-44739</v>
      </c>
    </row>
    <row r="15" spans="1:6" ht="14.25" customHeight="1" x14ac:dyDescent="0.25">
      <c r="A15" s="15" t="s">
        <v>897</v>
      </c>
      <c r="B15" s="36">
        <v>1204</v>
      </c>
      <c r="C15" s="36">
        <v>78869</v>
      </c>
      <c r="D15" s="37">
        <v>44739</v>
      </c>
      <c r="E15" s="36">
        <v>30</v>
      </c>
      <c r="F15" s="15" t="str">
        <f t="shared" si="0"/>
        <v>1204-78869-44739</v>
      </c>
    </row>
    <row r="16" spans="1:6" ht="14.25" customHeight="1" x14ac:dyDescent="0.25">
      <c r="A16" s="15" t="s">
        <v>415</v>
      </c>
      <c r="B16" s="36">
        <v>1202</v>
      </c>
      <c r="C16" s="36">
        <v>78869</v>
      </c>
      <c r="D16" s="37">
        <v>44739</v>
      </c>
      <c r="E16" s="36">
        <v>13</v>
      </c>
      <c r="F16" s="15" t="str">
        <f t="shared" si="0"/>
        <v>1202-78869-44739</v>
      </c>
    </row>
    <row r="17" spans="1:6" ht="14.25" customHeight="1" x14ac:dyDescent="0.25">
      <c r="A17" s="15" t="s">
        <v>3811</v>
      </c>
      <c r="B17" s="36">
        <v>1219</v>
      </c>
      <c r="C17" s="36">
        <v>78699</v>
      </c>
      <c r="D17" s="37">
        <v>44753</v>
      </c>
      <c r="E17" s="36">
        <v>27</v>
      </c>
      <c r="F17" s="15" t="str">
        <f t="shared" si="0"/>
        <v>1219-78699-44753</v>
      </c>
    </row>
    <row r="18" spans="1:6" ht="14.25" customHeight="1" x14ac:dyDescent="0.25">
      <c r="A18" s="15" t="s">
        <v>3099</v>
      </c>
      <c r="B18" s="36">
        <v>1214</v>
      </c>
      <c r="C18" s="36">
        <v>78699</v>
      </c>
      <c r="D18" s="37">
        <v>44753</v>
      </c>
      <c r="E18" s="36">
        <v>32</v>
      </c>
      <c r="F18" s="15" t="str">
        <f t="shared" si="0"/>
        <v>1214-78699-44753</v>
      </c>
    </row>
    <row r="19" spans="1:6" ht="14.25" customHeight="1" x14ac:dyDescent="0.25">
      <c r="A19" s="15" t="s">
        <v>2663</v>
      </c>
      <c r="B19" s="36">
        <v>1212</v>
      </c>
      <c r="C19" s="36">
        <v>78699</v>
      </c>
      <c r="D19" s="37">
        <v>44753</v>
      </c>
      <c r="E19" s="36">
        <v>21</v>
      </c>
      <c r="F19" s="15" t="str">
        <f t="shared" si="0"/>
        <v>1212-78699-44753</v>
      </c>
    </row>
    <row r="20" spans="1:6" ht="14.25" customHeight="1" x14ac:dyDescent="0.25">
      <c r="A20" s="15" t="s">
        <v>891</v>
      </c>
      <c r="B20" s="36">
        <v>1204</v>
      </c>
      <c r="C20" s="36">
        <v>78699</v>
      </c>
      <c r="D20" s="37">
        <v>44753</v>
      </c>
      <c r="E20" s="36">
        <v>33</v>
      </c>
      <c r="F20" s="15" t="str">
        <f t="shared" si="0"/>
        <v>1204-78699-44753</v>
      </c>
    </row>
    <row r="21" spans="1:6" ht="14.25" customHeight="1" x14ac:dyDescent="0.25">
      <c r="A21" s="15" t="s">
        <v>4027</v>
      </c>
      <c r="B21" s="36">
        <v>1220</v>
      </c>
      <c r="C21" s="36">
        <v>78699</v>
      </c>
      <c r="D21" s="37">
        <v>44746</v>
      </c>
      <c r="E21" s="36">
        <v>25</v>
      </c>
      <c r="F21" s="15" t="str">
        <f t="shared" si="0"/>
        <v>1220-78699-44746</v>
      </c>
    </row>
    <row r="22" spans="1:6" ht="14.25" customHeight="1" x14ac:dyDescent="0.25">
      <c r="A22" s="15" t="s">
        <v>2856</v>
      </c>
      <c r="B22" s="36">
        <v>1213</v>
      </c>
      <c r="C22" s="36">
        <v>78699</v>
      </c>
      <c r="D22" s="37">
        <v>44746</v>
      </c>
      <c r="E22" s="36">
        <v>33</v>
      </c>
      <c r="F22" s="15" t="str">
        <f t="shared" si="0"/>
        <v>1213-78699-44746</v>
      </c>
    </row>
    <row r="23" spans="1:6" ht="14.25" customHeight="1" x14ac:dyDescent="0.25">
      <c r="A23" s="15" t="s">
        <v>1131</v>
      </c>
      <c r="B23" s="36">
        <v>1205</v>
      </c>
      <c r="C23" s="36">
        <v>78699</v>
      </c>
      <c r="D23" s="37">
        <v>44746</v>
      </c>
      <c r="E23" s="36">
        <v>20</v>
      </c>
      <c r="F23" s="15" t="str">
        <f t="shared" si="0"/>
        <v>1205-78699-44746</v>
      </c>
    </row>
    <row r="24" spans="1:6" ht="14.25" customHeight="1" x14ac:dyDescent="0.25">
      <c r="A24" s="15" t="s">
        <v>3575</v>
      </c>
      <c r="B24" s="36">
        <v>1218</v>
      </c>
      <c r="C24" s="36">
        <v>78699</v>
      </c>
      <c r="D24" s="37">
        <v>44739</v>
      </c>
      <c r="E24" s="36">
        <v>19</v>
      </c>
      <c r="F24" s="15" t="str">
        <f t="shared" si="0"/>
        <v>1218-78699-44739</v>
      </c>
    </row>
    <row r="25" spans="1:6" ht="14.25" customHeight="1" x14ac:dyDescent="0.25">
      <c r="A25" s="15" t="s">
        <v>2177</v>
      </c>
      <c r="B25" s="36">
        <v>1210</v>
      </c>
      <c r="C25" s="36">
        <v>78699</v>
      </c>
      <c r="D25" s="37">
        <v>44739</v>
      </c>
      <c r="E25" s="36">
        <v>40</v>
      </c>
      <c r="F25" s="15" t="str">
        <f t="shared" si="0"/>
        <v>1210-78699-44739</v>
      </c>
    </row>
    <row r="26" spans="1:6" ht="14.25" customHeight="1" x14ac:dyDescent="0.25">
      <c r="A26" s="15" t="s">
        <v>1371</v>
      </c>
      <c r="B26" s="36">
        <v>1206</v>
      </c>
      <c r="C26" s="36">
        <v>78699</v>
      </c>
      <c r="D26" s="37">
        <v>44739</v>
      </c>
      <c r="E26" s="36">
        <v>34</v>
      </c>
      <c r="F26" s="15" t="str">
        <f t="shared" si="0"/>
        <v>1206-78699-44739</v>
      </c>
    </row>
    <row r="27" spans="1:6" ht="14.25" customHeight="1" x14ac:dyDescent="0.25">
      <c r="A27" s="15" t="s">
        <v>647</v>
      </c>
      <c r="B27" s="36">
        <v>1203</v>
      </c>
      <c r="C27" s="36">
        <v>78699</v>
      </c>
      <c r="D27" s="37">
        <v>44739</v>
      </c>
      <c r="E27" s="36">
        <v>33</v>
      </c>
      <c r="F27" s="15" t="str">
        <f t="shared" si="0"/>
        <v>1203-78699-44739</v>
      </c>
    </row>
    <row r="28" spans="1:6" ht="14.25" customHeight="1" x14ac:dyDescent="0.25">
      <c r="A28" s="15" t="s">
        <v>407</v>
      </c>
      <c r="B28" s="36">
        <v>1202</v>
      </c>
      <c r="C28" s="36">
        <v>78699</v>
      </c>
      <c r="D28" s="37">
        <v>44739</v>
      </c>
      <c r="E28" s="36">
        <v>20</v>
      </c>
      <c r="F28" s="15" t="str">
        <f t="shared" si="0"/>
        <v>1202-78699-44739</v>
      </c>
    </row>
    <row r="29" spans="1:6" ht="14.25" customHeight="1" x14ac:dyDescent="0.25">
      <c r="A29" s="15" t="s">
        <v>166</v>
      </c>
      <c r="B29" s="36">
        <v>1201</v>
      </c>
      <c r="C29" s="36">
        <v>78699</v>
      </c>
      <c r="D29" s="37">
        <v>44739</v>
      </c>
      <c r="E29" s="36">
        <v>34</v>
      </c>
      <c r="F29" s="15" t="str">
        <f t="shared" si="0"/>
        <v>1201-78699-44739</v>
      </c>
    </row>
    <row r="30" spans="1:6" ht="14.25" customHeight="1" x14ac:dyDescent="0.25">
      <c r="A30" s="15" t="s">
        <v>4237</v>
      </c>
      <c r="B30" s="36">
        <v>1220</v>
      </c>
      <c r="C30" s="36">
        <v>614993</v>
      </c>
      <c r="D30" s="37">
        <v>44753</v>
      </c>
      <c r="E30" s="36">
        <v>28</v>
      </c>
      <c r="F30" s="15" t="str">
        <f t="shared" si="0"/>
        <v>1220-614993-44753</v>
      </c>
    </row>
    <row r="31" spans="1:6" ht="14.25" customHeight="1" x14ac:dyDescent="0.25">
      <c r="A31" s="15" t="s">
        <v>1581</v>
      </c>
      <c r="B31" s="36">
        <v>1206</v>
      </c>
      <c r="C31" s="36">
        <v>614993</v>
      </c>
      <c r="D31" s="37">
        <v>44753</v>
      </c>
      <c r="E31" s="36">
        <v>25</v>
      </c>
      <c r="F31" s="15" t="str">
        <f t="shared" si="0"/>
        <v>1206-614993-44753</v>
      </c>
    </row>
    <row r="32" spans="1:6" ht="14.25" customHeight="1" x14ac:dyDescent="0.25">
      <c r="A32" s="15" t="s">
        <v>3543</v>
      </c>
      <c r="B32" s="36">
        <v>1216</v>
      </c>
      <c r="C32" s="36">
        <v>614993</v>
      </c>
      <c r="D32" s="37">
        <v>44746</v>
      </c>
      <c r="E32" s="36">
        <v>13</v>
      </c>
      <c r="F32" s="15" t="str">
        <f t="shared" si="0"/>
        <v>1216-614993-44746</v>
      </c>
    </row>
    <row r="33" spans="1:6" ht="14.25" customHeight="1" x14ac:dyDescent="0.25">
      <c r="A33" s="15" t="s">
        <v>2630</v>
      </c>
      <c r="B33" s="36">
        <v>1211</v>
      </c>
      <c r="C33" s="36">
        <v>614993</v>
      </c>
      <c r="D33" s="37">
        <v>44746</v>
      </c>
      <c r="E33" s="36">
        <v>36</v>
      </c>
      <c r="F33" s="15" t="str">
        <f t="shared" si="0"/>
        <v>1211-614993-44746</v>
      </c>
    </row>
    <row r="34" spans="1:6" ht="14.25" customHeight="1" x14ac:dyDescent="0.25">
      <c r="A34" s="15" t="s">
        <v>2388</v>
      </c>
      <c r="B34" s="36">
        <v>1210</v>
      </c>
      <c r="C34" s="36">
        <v>614993</v>
      </c>
      <c r="D34" s="37">
        <v>44746</v>
      </c>
      <c r="E34" s="36">
        <v>32</v>
      </c>
      <c r="F34" s="15" t="str">
        <f t="shared" si="0"/>
        <v>1210-614993-44746</v>
      </c>
    </row>
    <row r="35" spans="1:6" ht="14.25" customHeight="1" x14ac:dyDescent="0.25">
      <c r="A35" s="15" t="s">
        <v>1822</v>
      </c>
      <c r="B35" s="36">
        <v>1207</v>
      </c>
      <c r="C35" s="36">
        <v>614993</v>
      </c>
      <c r="D35" s="37">
        <v>44746</v>
      </c>
      <c r="E35" s="36">
        <v>22</v>
      </c>
      <c r="F35" s="15" t="str">
        <f t="shared" si="0"/>
        <v>1207-614993-44746</v>
      </c>
    </row>
    <row r="36" spans="1:6" ht="14.25" customHeight="1" x14ac:dyDescent="0.25">
      <c r="A36" s="15" t="s">
        <v>1339</v>
      </c>
      <c r="B36" s="36">
        <v>1205</v>
      </c>
      <c r="C36" s="36">
        <v>614993</v>
      </c>
      <c r="D36" s="37">
        <v>44746</v>
      </c>
      <c r="E36" s="36">
        <v>29</v>
      </c>
      <c r="F36" s="15" t="str">
        <f t="shared" si="0"/>
        <v>1205-614993-44746</v>
      </c>
    </row>
    <row r="37" spans="1:6" ht="14.25" customHeight="1" x14ac:dyDescent="0.25">
      <c r="A37" s="15" t="s">
        <v>616</v>
      </c>
      <c r="B37" s="36">
        <v>1202</v>
      </c>
      <c r="C37" s="36">
        <v>614993</v>
      </c>
      <c r="D37" s="37">
        <v>44746</v>
      </c>
      <c r="E37" s="36">
        <v>28</v>
      </c>
      <c r="F37" s="15" t="str">
        <f t="shared" si="0"/>
        <v>1202-614993-44746</v>
      </c>
    </row>
    <row r="38" spans="1:6" ht="14.25" customHeight="1" x14ac:dyDescent="0.25">
      <c r="A38" s="15" t="s">
        <v>4002</v>
      </c>
      <c r="B38" s="36">
        <v>1219</v>
      </c>
      <c r="C38" s="36">
        <v>614993</v>
      </c>
      <c r="D38" s="37">
        <v>44739</v>
      </c>
      <c r="E38" s="36">
        <v>37</v>
      </c>
      <c r="F38" s="15" t="str">
        <f t="shared" si="0"/>
        <v>1219-614993-44739</v>
      </c>
    </row>
    <row r="39" spans="1:6" ht="14.25" customHeight="1" x14ac:dyDescent="0.25">
      <c r="A39" s="15" t="s">
        <v>3777</v>
      </c>
      <c r="B39" s="36">
        <v>1218</v>
      </c>
      <c r="C39" s="36">
        <v>614993</v>
      </c>
      <c r="D39" s="37">
        <v>44739</v>
      </c>
      <c r="E39" s="36">
        <v>25</v>
      </c>
      <c r="F39" s="15" t="str">
        <f t="shared" si="0"/>
        <v>1218-614993-44739</v>
      </c>
    </row>
    <row r="40" spans="1:6" ht="14.25" customHeight="1" x14ac:dyDescent="0.25">
      <c r="A40" s="15" t="s">
        <v>3307</v>
      </c>
      <c r="B40" s="36">
        <v>1214</v>
      </c>
      <c r="C40" s="36">
        <v>614993</v>
      </c>
      <c r="D40" s="37">
        <v>44739</v>
      </c>
      <c r="E40" s="36">
        <v>33</v>
      </c>
      <c r="F40" s="15" t="str">
        <f t="shared" si="0"/>
        <v>1214-614993-44739</v>
      </c>
    </row>
    <row r="41" spans="1:6" ht="14.25" customHeight="1" x14ac:dyDescent="0.25">
      <c r="A41" s="15" t="s">
        <v>3064</v>
      </c>
      <c r="B41" s="36">
        <v>1213</v>
      </c>
      <c r="C41" s="36">
        <v>614993</v>
      </c>
      <c r="D41" s="37">
        <v>44739</v>
      </c>
      <c r="E41" s="36">
        <v>16</v>
      </c>
      <c r="F41" s="15" t="str">
        <f t="shared" si="0"/>
        <v>1213-614993-44739</v>
      </c>
    </row>
    <row r="42" spans="1:6" ht="14.25" customHeight="1" x14ac:dyDescent="0.25">
      <c r="A42" s="15" t="s">
        <v>375</v>
      </c>
      <c r="B42" s="36">
        <v>1201</v>
      </c>
      <c r="C42" s="36">
        <v>614993</v>
      </c>
      <c r="D42" s="37">
        <v>44739</v>
      </c>
      <c r="E42" s="36">
        <v>30</v>
      </c>
      <c r="F42" s="15" t="str">
        <f t="shared" si="0"/>
        <v>1201-614993-44739</v>
      </c>
    </row>
    <row r="43" spans="1:6" ht="14.25" customHeight="1" x14ac:dyDescent="0.25">
      <c r="A43" s="15" t="s">
        <v>3301</v>
      </c>
      <c r="B43" s="36">
        <v>1214</v>
      </c>
      <c r="C43" s="36">
        <v>571521</v>
      </c>
      <c r="D43" s="37">
        <v>44753</v>
      </c>
      <c r="E43" s="36">
        <v>9</v>
      </c>
      <c r="F43" s="15" t="str">
        <f t="shared" si="0"/>
        <v>1214-571521-44753</v>
      </c>
    </row>
    <row r="44" spans="1:6" ht="14.25" customHeight="1" x14ac:dyDescent="0.25">
      <c r="A44" s="15" t="s">
        <v>2381</v>
      </c>
      <c r="B44" s="36">
        <v>1210</v>
      </c>
      <c r="C44" s="36">
        <v>571521</v>
      </c>
      <c r="D44" s="37">
        <v>44753</v>
      </c>
      <c r="E44" s="36">
        <v>23</v>
      </c>
      <c r="F44" s="15" t="str">
        <f t="shared" si="0"/>
        <v>1210-571521-44753</v>
      </c>
    </row>
    <row r="45" spans="1:6" ht="14.25" customHeight="1" x14ac:dyDescent="0.25">
      <c r="A45" s="15" t="s">
        <v>2146</v>
      </c>
      <c r="B45" s="36">
        <v>1209</v>
      </c>
      <c r="C45" s="36">
        <v>571521</v>
      </c>
      <c r="D45" s="37">
        <v>44753</v>
      </c>
      <c r="E45" s="36">
        <v>21</v>
      </c>
      <c r="F45" s="15" t="str">
        <f t="shared" si="0"/>
        <v>1209-571521-44753</v>
      </c>
    </row>
    <row r="46" spans="1:6" ht="14.25" customHeight="1" x14ac:dyDescent="0.25">
      <c r="A46" s="15" t="s">
        <v>1815</v>
      </c>
      <c r="B46" s="36">
        <v>1207</v>
      </c>
      <c r="C46" s="36">
        <v>571521</v>
      </c>
      <c r="D46" s="37">
        <v>44753</v>
      </c>
      <c r="E46" s="36">
        <v>16</v>
      </c>
      <c r="F46" s="15" t="str">
        <f t="shared" si="0"/>
        <v>1207-571521-44753</v>
      </c>
    </row>
    <row r="47" spans="1:6" ht="14.25" customHeight="1" x14ac:dyDescent="0.25">
      <c r="A47" s="15" t="s">
        <v>3057</v>
      </c>
      <c r="B47" s="36">
        <v>1213</v>
      </c>
      <c r="C47" s="36">
        <v>571521</v>
      </c>
      <c r="D47" s="37">
        <v>44746</v>
      </c>
      <c r="E47" s="36">
        <v>32</v>
      </c>
      <c r="F47" s="15" t="str">
        <f t="shared" si="0"/>
        <v>1213-571521-44746</v>
      </c>
    </row>
    <row r="48" spans="1:6" ht="14.25" customHeight="1" x14ac:dyDescent="0.25">
      <c r="A48" s="15" t="s">
        <v>1331</v>
      </c>
      <c r="B48" s="36">
        <v>1205</v>
      </c>
      <c r="C48" s="36">
        <v>571521</v>
      </c>
      <c r="D48" s="37">
        <v>44746</v>
      </c>
      <c r="E48" s="36">
        <v>37</v>
      </c>
      <c r="F48" s="15" t="str">
        <f t="shared" si="0"/>
        <v>1205-571521-44746</v>
      </c>
    </row>
    <row r="49" spans="1:6" ht="14.25" customHeight="1" x14ac:dyDescent="0.25">
      <c r="A49" s="15" t="s">
        <v>608</v>
      </c>
      <c r="B49" s="36">
        <v>1202</v>
      </c>
      <c r="C49" s="36">
        <v>571521</v>
      </c>
      <c r="D49" s="37">
        <v>44746</v>
      </c>
      <c r="E49" s="36">
        <v>9</v>
      </c>
      <c r="F49" s="15" t="str">
        <f t="shared" si="0"/>
        <v>1202-571521-44746</v>
      </c>
    </row>
    <row r="50" spans="1:6" ht="14.25" customHeight="1" x14ac:dyDescent="0.25">
      <c r="A50" s="15" t="s">
        <v>3994</v>
      </c>
      <c r="B50" s="36">
        <v>1219</v>
      </c>
      <c r="C50" s="36">
        <v>571521</v>
      </c>
      <c r="D50" s="37">
        <v>44739</v>
      </c>
      <c r="E50" s="36">
        <v>23</v>
      </c>
      <c r="F50" s="15" t="str">
        <f t="shared" si="0"/>
        <v>1219-571521-44739</v>
      </c>
    </row>
    <row r="51" spans="1:6" ht="14.25" customHeight="1" x14ac:dyDescent="0.25">
      <c r="A51" s="15" t="s">
        <v>2621</v>
      </c>
      <c r="B51" s="36">
        <v>1211</v>
      </c>
      <c r="C51" s="36">
        <v>571521</v>
      </c>
      <c r="D51" s="37">
        <v>44739</v>
      </c>
      <c r="E51" s="36">
        <v>29</v>
      </c>
      <c r="F51" s="15" t="str">
        <f t="shared" si="0"/>
        <v>1211-571521-44739</v>
      </c>
    </row>
    <row r="52" spans="1:6" ht="14.25" customHeight="1" x14ac:dyDescent="0.25">
      <c r="A52" s="15" t="s">
        <v>1090</v>
      </c>
      <c r="B52" s="36">
        <v>1204</v>
      </c>
      <c r="C52" s="36">
        <v>571521</v>
      </c>
      <c r="D52" s="37">
        <v>44739</v>
      </c>
      <c r="E52" s="36">
        <v>17</v>
      </c>
      <c r="F52" s="15" t="str">
        <f t="shared" si="0"/>
        <v>1204-571521-44739</v>
      </c>
    </row>
    <row r="53" spans="1:6" ht="14.25" customHeight="1" x14ac:dyDescent="0.25">
      <c r="A53" s="15" t="s">
        <v>849</v>
      </c>
      <c r="B53" s="36">
        <v>1203</v>
      </c>
      <c r="C53" s="36">
        <v>571521</v>
      </c>
      <c r="D53" s="37">
        <v>44739</v>
      </c>
      <c r="E53" s="36">
        <v>38</v>
      </c>
      <c r="F53" s="15" t="str">
        <f t="shared" si="0"/>
        <v>1203-571521-44739</v>
      </c>
    </row>
    <row r="54" spans="1:6" ht="14.25" customHeight="1" x14ac:dyDescent="0.25">
      <c r="A54" s="15" t="s">
        <v>2849</v>
      </c>
      <c r="B54" s="36">
        <v>1213</v>
      </c>
      <c r="C54" s="36">
        <v>53934</v>
      </c>
      <c r="D54" s="37">
        <v>44753</v>
      </c>
      <c r="E54" s="36">
        <v>34</v>
      </c>
      <c r="F54" s="15" t="str">
        <f t="shared" si="0"/>
        <v>1213-53934-44753</v>
      </c>
    </row>
    <row r="55" spans="1:6" ht="14.25" customHeight="1" x14ac:dyDescent="0.25">
      <c r="A55" s="15" t="s">
        <v>1124</v>
      </c>
      <c r="B55" s="36">
        <v>1205</v>
      </c>
      <c r="C55" s="36">
        <v>53934</v>
      </c>
      <c r="D55" s="37">
        <v>44753</v>
      </c>
      <c r="E55" s="36">
        <v>33</v>
      </c>
      <c r="F55" s="15" t="str">
        <f t="shared" si="0"/>
        <v>1205-53934-44753</v>
      </c>
    </row>
    <row r="56" spans="1:6" ht="14.25" customHeight="1" x14ac:dyDescent="0.25">
      <c r="A56" s="15" t="s">
        <v>3568</v>
      </c>
      <c r="B56" s="36">
        <v>1218</v>
      </c>
      <c r="C56" s="36">
        <v>53934</v>
      </c>
      <c r="D56" s="37">
        <v>44746</v>
      </c>
      <c r="E56" s="36">
        <v>40</v>
      </c>
      <c r="F56" s="15" t="str">
        <f t="shared" si="0"/>
        <v>1218-53934-44746</v>
      </c>
    </row>
    <row r="57" spans="1:6" ht="14.25" customHeight="1" x14ac:dyDescent="0.25">
      <c r="A57" s="15" t="s">
        <v>2413</v>
      </c>
      <c r="B57" s="36">
        <v>1211</v>
      </c>
      <c r="C57" s="36">
        <v>53934</v>
      </c>
      <c r="D57" s="37">
        <v>44746</v>
      </c>
      <c r="E57" s="36">
        <v>25</v>
      </c>
      <c r="F57" s="15" t="str">
        <f t="shared" si="0"/>
        <v>1211-53934-44746</v>
      </c>
    </row>
    <row r="58" spans="1:6" ht="14.25" customHeight="1" x14ac:dyDescent="0.25">
      <c r="A58" s="15" t="s">
        <v>1991</v>
      </c>
      <c r="B58" s="36">
        <v>1209</v>
      </c>
      <c r="C58" s="36">
        <v>53934</v>
      </c>
      <c r="D58" s="37">
        <v>44746</v>
      </c>
      <c r="E58" s="36">
        <v>20</v>
      </c>
      <c r="F58" s="15" t="str">
        <f t="shared" si="0"/>
        <v>1209-53934-44746</v>
      </c>
    </row>
    <row r="59" spans="1:6" ht="14.25" customHeight="1" x14ac:dyDescent="0.25">
      <c r="A59" s="15" t="s">
        <v>882</v>
      </c>
      <c r="B59" s="36">
        <v>1204</v>
      </c>
      <c r="C59" s="36">
        <v>53934</v>
      </c>
      <c r="D59" s="37">
        <v>44746</v>
      </c>
      <c r="E59" s="36">
        <v>24</v>
      </c>
      <c r="F59" s="15" t="str">
        <f t="shared" si="0"/>
        <v>1204-53934-44746</v>
      </c>
    </row>
    <row r="60" spans="1:6" ht="14.25" customHeight="1" x14ac:dyDescent="0.25">
      <c r="A60" s="15" t="s">
        <v>640</v>
      </c>
      <c r="B60" s="36">
        <v>1203</v>
      </c>
      <c r="C60" s="36">
        <v>53934</v>
      </c>
      <c r="D60" s="37">
        <v>44746</v>
      </c>
      <c r="E60" s="36">
        <v>20</v>
      </c>
      <c r="F60" s="15" t="str">
        <f t="shared" si="0"/>
        <v>1203-53934-44746</v>
      </c>
    </row>
    <row r="61" spans="1:6" ht="14.25" customHeight="1" x14ac:dyDescent="0.25">
      <c r="A61" s="15" t="s">
        <v>2169</v>
      </c>
      <c r="B61" s="36">
        <v>1210</v>
      </c>
      <c r="C61" s="36">
        <v>53934</v>
      </c>
      <c r="D61" s="37">
        <v>44739</v>
      </c>
      <c r="E61" s="36">
        <v>37</v>
      </c>
      <c r="F61" s="15" t="str">
        <f t="shared" si="0"/>
        <v>1210-53934-44739</v>
      </c>
    </row>
    <row r="62" spans="1:6" ht="14.25" customHeight="1" x14ac:dyDescent="0.25">
      <c r="A62" s="15" t="s">
        <v>1604</v>
      </c>
      <c r="B62" s="36">
        <v>1207</v>
      </c>
      <c r="C62" s="36">
        <v>53934</v>
      </c>
      <c r="D62" s="37">
        <v>44739</v>
      </c>
      <c r="E62" s="36">
        <v>23</v>
      </c>
      <c r="F62" s="15" t="str">
        <f t="shared" si="0"/>
        <v>1207-53934-44739</v>
      </c>
    </row>
    <row r="63" spans="1:6" ht="14.25" customHeight="1" x14ac:dyDescent="0.25">
      <c r="A63" s="15" t="s">
        <v>399</v>
      </c>
      <c r="B63" s="36">
        <v>1202</v>
      </c>
      <c r="C63" s="36">
        <v>53934</v>
      </c>
      <c r="D63" s="37">
        <v>44739</v>
      </c>
      <c r="E63" s="36">
        <v>22</v>
      </c>
      <c r="F63" s="15" t="str">
        <f t="shared" si="0"/>
        <v>1202-53934-44739</v>
      </c>
    </row>
    <row r="64" spans="1:6" ht="14.25" customHeight="1" x14ac:dyDescent="0.25">
      <c r="A64" s="15" t="s">
        <v>3293</v>
      </c>
      <c r="B64" s="36">
        <v>1214</v>
      </c>
      <c r="C64" s="36">
        <v>300380</v>
      </c>
      <c r="D64" s="37">
        <v>44753</v>
      </c>
      <c r="E64" s="36">
        <v>27</v>
      </c>
      <c r="F64" s="15" t="str">
        <f t="shared" si="0"/>
        <v>1214-300380-44753</v>
      </c>
    </row>
    <row r="65" spans="1:6" ht="14.25" customHeight="1" x14ac:dyDescent="0.25">
      <c r="A65" s="15" t="s">
        <v>2373</v>
      </c>
      <c r="B65" s="36">
        <v>1210</v>
      </c>
      <c r="C65" s="36">
        <v>300380</v>
      </c>
      <c r="D65" s="37">
        <v>44753</v>
      </c>
      <c r="E65" s="36">
        <v>33</v>
      </c>
      <c r="F65" s="15" t="str">
        <f t="shared" si="0"/>
        <v>1210-300380-44753</v>
      </c>
    </row>
    <row r="66" spans="1:6" ht="14.25" customHeight="1" x14ac:dyDescent="0.25">
      <c r="A66" s="15" t="s">
        <v>2138</v>
      </c>
      <c r="B66" s="36">
        <v>1209</v>
      </c>
      <c r="C66" s="36">
        <v>300380</v>
      </c>
      <c r="D66" s="37">
        <v>44753</v>
      </c>
      <c r="E66" s="36">
        <v>25</v>
      </c>
      <c r="F66" s="15" t="str">
        <f t="shared" si="0"/>
        <v>1209-300380-44753</v>
      </c>
    </row>
    <row r="67" spans="1:6" ht="14.25" customHeight="1" x14ac:dyDescent="0.25">
      <c r="A67" s="15" t="s">
        <v>1565</v>
      </c>
      <c r="B67" s="36">
        <v>1206</v>
      </c>
      <c r="C67" s="36">
        <v>300380</v>
      </c>
      <c r="D67" s="37">
        <v>44753</v>
      </c>
      <c r="E67" s="36">
        <v>23</v>
      </c>
      <c r="F67" s="15" t="str">
        <f t="shared" ref="F67:F130" si="1">B67&amp;"-"&amp;C67&amp;"-"&amp;INT(D67)</f>
        <v>1206-300380-44753</v>
      </c>
    </row>
    <row r="68" spans="1:6" ht="14.25" customHeight="1" x14ac:dyDescent="0.25">
      <c r="A68" s="15" t="s">
        <v>1084</v>
      </c>
      <c r="B68" s="36">
        <v>1204</v>
      </c>
      <c r="C68" s="36">
        <v>300380</v>
      </c>
      <c r="D68" s="37">
        <v>44753</v>
      </c>
      <c r="E68" s="36">
        <v>30</v>
      </c>
      <c r="F68" s="15" t="str">
        <f t="shared" si="1"/>
        <v>1204-300380-44753</v>
      </c>
    </row>
    <row r="69" spans="1:6" ht="14.25" customHeight="1" x14ac:dyDescent="0.25">
      <c r="A69" s="15" t="s">
        <v>601</v>
      </c>
      <c r="B69" s="36">
        <v>1202</v>
      </c>
      <c r="C69" s="36">
        <v>300380</v>
      </c>
      <c r="D69" s="37">
        <v>44753</v>
      </c>
      <c r="E69" s="36">
        <v>40</v>
      </c>
      <c r="F69" s="15" t="str">
        <f t="shared" si="1"/>
        <v>1202-300380-44753</v>
      </c>
    </row>
    <row r="70" spans="1:6" ht="14.25" customHeight="1" x14ac:dyDescent="0.25">
      <c r="A70" s="15" t="s">
        <v>3987</v>
      </c>
      <c r="B70" s="36">
        <v>1219</v>
      </c>
      <c r="C70" s="36">
        <v>300380</v>
      </c>
      <c r="D70" s="37">
        <v>44746</v>
      </c>
      <c r="E70" s="36">
        <v>38</v>
      </c>
      <c r="F70" s="15" t="str">
        <f t="shared" si="1"/>
        <v>1219-300380-44746</v>
      </c>
    </row>
    <row r="71" spans="1:6" ht="14.25" customHeight="1" x14ac:dyDescent="0.25">
      <c r="A71" s="15" t="s">
        <v>3770</v>
      </c>
      <c r="B71" s="36">
        <v>1218</v>
      </c>
      <c r="C71" s="36">
        <v>300380</v>
      </c>
      <c r="D71" s="37">
        <v>44746</v>
      </c>
      <c r="E71" s="36">
        <v>26</v>
      </c>
      <c r="F71" s="15" t="str">
        <f t="shared" si="1"/>
        <v>1218-300380-44746</v>
      </c>
    </row>
    <row r="72" spans="1:6" ht="14.25" customHeight="1" x14ac:dyDescent="0.25">
      <c r="A72" s="15" t="s">
        <v>2807</v>
      </c>
      <c r="B72" s="36">
        <v>1212</v>
      </c>
      <c r="C72" s="36">
        <v>300380</v>
      </c>
      <c r="D72" s="37">
        <v>44746</v>
      </c>
      <c r="E72" s="36">
        <v>29</v>
      </c>
      <c r="F72" s="15" t="str">
        <f t="shared" si="1"/>
        <v>1212-300380-44746</v>
      </c>
    </row>
    <row r="73" spans="1:6" ht="14.25" customHeight="1" x14ac:dyDescent="0.25">
      <c r="A73" s="15" t="s">
        <v>1323</v>
      </c>
      <c r="B73" s="36">
        <v>1205</v>
      </c>
      <c r="C73" s="36">
        <v>300380</v>
      </c>
      <c r="D73" s="37">
        <v>44746</v>
      </c>
      <c r="E73" s="36">
        <v>17</v>
      </c>
      <c r="F73" s="15" t="str">
        <f t="shared" si="1"/>
        <v>1205-300380-44746</v>
      </c>
    </row>
    <row r="74" spans="1:6" ht="14.25" customHeight="1" x14ac:dyDescent="0.25">
      <c r="A74" s="15" t="s">
        <v>842</v>
      </c>
      <c r="B74" s="36">
        <v>1203</v>
      </c>
      <c r="C74" s="36">
        <v>300380</v>
      </c>
      <c r="D74" s="37">
        <v>44746</v>
      </c>
      <c r="E74" s="36">
        <v>19</v>
      </c>
      <c r="F74" s="15" t="str">
        <f t="shared" si="1"/>
        <v>1203-300380-44746</v>
      </c>
    </row>
    <row r="75" spans="1:6" ht="14.25" customHeight="1" x14ac:dyDescent="0.25">
      <c r="A75" s="15" t="s">
        <v>4219</v>
      </c>
      <c r="B75" s="36">
        <v>1220</v>
      </c>
      <c r="C75" s="36">
        <v>300380</v>
      </c>
      <c r="D75" s="37">
        <v>44739</v>
      </c>
      <c r="E75" s="36">
        <v>17</v>
      </c>
      <c r="F75" s="15" t="str">
        <f t="shared" si="1"/>
        <v>1220-300380-44739</v>
      </c>
    </row>
    <row r="76" spans="1:6" ht="14.25" customHeight="1" x14ac:dyDescent="0.25">
      <c r="A76" s="15" t="s">
        <v>2613</v>
      </c>
      <c r="B76" s="36">
        <v>1211</v>
      </c>
      <c r="C76" s="36">
        <v>300380</v>
      </c>
      <c r="D76" s="37">
        <v>44739</v>
      </c>
      <c r="E76" s="36">
        <v>38</v>
      </c>
      <c r="F76" s="15" t="str">
        <f t="shared" si="1"/>
        <v>1211-300380-44739</v>
      </c>
    </row>
    <row r="77" spans="1:6" ht="14.25" customHeight="1" x14ac:dyDescent="0.25">
      <c r="A77" s="15" t="s">
        <v>1805</v>
      </c>
      <c r="B77" s="36">
        <v>1207</v>
      </c>
      <c r="C77" s="36">
        <v>300380</v>
      </c>
      <c r="D77" s="37">
        <v>44739</v>
      </c>
      <c r="E77" s="36">
        <v>17</v>
      </c>
      <c r="F77" s="15" t="str">
        <f t="shared" si="1"/>
        <v>1207-300380-44739</v>
      </c>
    </row>
    <row r="78" spans="1:6" ht="14.25" customHeight="1" x14ac:dyDescent="0.25">
      <c r="A78" s="15" t="s">
        <v>1799</v>
      </c>
      <c r="B78" s="36">
        <v>1207</v>
      </c>
      <c r="C78" s="36">
        <v>291728</v>
      </c>
      <c r="D78" s="37">
        <v>44753</v>
      </c>
      <c r="E78" s="36">
        <v>23</v>
      </c>
      <c r="F78" s="15" t="str">
        <f t="shared" si="1"/>
        <v>1207-291728-44753</v>
      </c>
    </row>
    <row r="79" spans="1:6" ht="14.25" customHeight="1" x14ac:dyDescent="0.25">
      <c r="A79" s="15" t="s">
        <v>1076</v>
      </c>
      <c r="B79" s="36">
        <v>1204</v>
      </c>
      <c r="C79" s="36">
        <v>291728</v>
      </c>
      <c r="D79" s="37">
        <v>44753</v>
      </c>
      <c r="E79" s="36">
        <v>31</v>
      </c>
      <c r="F79" s="15" t="str">
        <f t="shared" si="1"/>
        <v>1204-291728-44753</v>
      </c>
    </row>
    <row r="80" spans="1:6" ht="14.25" customHeight="1" x14ac:dyDescent="0.25">
      <c r="A80" s="15" t="s">
        <v>593</v>
      </c>
      <c r="B80" s="36">
        <v>1202</v>
      </c>
      <c r="C80" s="36">
        <v>291728</v>
      </c>
      <c r="D80" s="37">
        <v>44753</v>
      </c>
      <c r="E80" s="36">
        <v>32</v>
      </c>
      <c r="F80" s="15" t="str">
        <f t="shared" si="1"/>
        <v>1202-291728-44753</v>
      </c>
    </row>
    <row r="81" spans="1:6" ht="14.25" customHeight="1" x14ac:dyDescent="0.25">
      <c r="A81" s="15" t="s">
        <v>2606</v>
      </c>
      <c r="B81" s="36">
        <v>1211</v>
      </c>
      <c r="C81" s="36">
        <v>291728</v>
      </c>
      <c r="D81" s="37">
        <v>44746</v>
      </c>
      <c r="E81" s="36">
        <v>27</v>
      </c>
      <c r="F81" s="15" t="str">
        <f t="shared" si="1"/>
        <v>1211-291728-44746</v>
      </c>
    </row>
    <row r="82" spans="1:6" ht="14.25" customHeight="1" x14ac:dyDescent="0.25">
      <c r="A82" s="15" t="s">
        <v>1966</v>
      </c>
      <c r="B82" s="36">
        <v>1208</v>
      </c>
      <c r="C82" s="36">
        <v>291728</v>
      </c>
      <c r="D82" s="37">
        <v>44746</v>
      </c>
      <c r="E82" s="36">
        <v>33</v>
      </c>
      <c r="F82" s="15" t="str">
        <f t="shared" si="1"/>
        <v>1208-291728-44746</v>
      </c>
    </row>
    <row r="83" spans="1:6" ht="14.25" customHeight="1" x14ac:dyDescent="0.25">
      <c r="A83" s="15" t="s">
        <v>1556</v>
      </c>
      <c r="B83" s="36">
        <v>1206</v>
      </c>
      <c r="C83" s="36">
        <v>291728</v>
      </c>
      <c r="D83" s="37">
        <v>44746</v>
      </c>
      <c r="E83" s="36">
        <v>30</v>
      </c>
      <c r="F83" s="15" t="str">
        <f t="shared" si="1"/>
        <v>1206-291728-44746</v>
      </c>
    </row>
    <row r="84" spans="1:6" ht="14.25" customHeight="1" x14ac:dyDescent="0.25">
      <c r="A84" s="15" t="s">
        <v>833</v>
      </c>
      <c r="B84" s="36">
        <v>1203</v>
      </c>
      <c r="C84" s="36">
        <v>291728</v>
      </c>
      <c r="D84" s="37">
        <v>44746</v>
      </c>
      <c r="E84" s="36">
        <v>15</v>
      </c>
      <c r="F84" s="15" t="str">
        <f t="shared" si="1"/>
        <v>1203-291728-44746</v>
      </c>
    </row>
    <row r="85" spans="1:6" ht="14.25" customHeight="1" x14ac:dyDescent="0.25">
      <c r="A85" s="15" t="s">
        <v>4211</v>
      </c>
      <c r="B85" s="36">
        <v>1220</v>
      </c>
      <c r="C85" s="36">
        <v>291728</v>
      </c>
      <c r="D85" s="37">
        <v>44739</v>
      </c>
      <c r="E85" s="36">
        <v>23</v>
      </c>
      <c r="F85" s="15" t="str">
        <f t="shared" si="1"/>
        <v>1220-291728-44739</v>
      </c>
    </row>
    <row r="86" spans="1:6" ht="14.25" customHeight="1" x14ac:dyDescent="0.25">
      <c r="A86" s="15" t="s">
        <v>3283</v>
      </c>
      <c r="B86" s="36">
        <v>1214</v>
      </c>
      <c r="C86" s="36">
        <v>291728</v>
      </c>
      <c r="D86" s="37">
        <v>44739</v>
      </c>
      <c r="E86" s="36">
        <v>20</v>
      </c>
      <c r="F86" s="15" t="str">
        <f t="shared" si="1"/>
        <v>1214-291728-44739</v>
      </c>
    </row>
    <row r="87" spans="1:6" ht="14.25" customHeight="1" x14ac:dyDescent="0.25">
      <c r="A87" s="15" t="s">
        <v>2362</v>
      </c>
      <c r="B87" s="36">
        <v>1210</v>
      </c>
      <c r="C87" s="36">
        <v>291728</v>
      </c>
      <c r="D87" s="37">
        <v>44739</v>
      </c>
      <c r="E87" s="36">
        <v>34</v>
      </c>
      <c r="F87" s="15" t="str">
        <f t="shared" si="1"/>
        <v>1210-291728-44739</v>
      </c>
    </row>
    <row r="88" spans="1:6" ht="14.25" customHeight="1" x14ac:dyDescent="0.25">
      <c r="A88" s="15" t="s">
        <v>350</v>
      </c>
      <c r="B88" s="36">
        <v>1201</v>
      </c>
      <c r="C88" s="36">
        <v>291728</v>
      </c>
      <c r="D88" s="37">
        <v>44739</v>
      </c>
      <c r="E88" s="36">
        <v>21</v>
      </c>
      <c r="F88" s="15" t="str">
        <f t="shared" si="1"/>
        <v>1201-291728-44739</v>
      </c>
    </row>
    <row r="89" spans="1:6" ht="14.25" customHeight="1" x14ac:dyDescent="0.25">
      <c r="A89" s="15" t="s">
        <v>3971</v>
      </c>
      <c r="B89" s="36">
        <v>1219</v>
      </c>
      <c r="C89" s="36">
        <v>291726</v>
      </c>
      <c r="D89" s="37">
        <v>44753</v>
      </c>
      <c r="E89" s="36">
        <v>36</v>
      </c>
      <c r="F89" s="15" t="str">
        <f t="shared" si="1"/>
        <v>1219-291726-44753</v>
      </c>
    </row>
    <row r="90" spans="1:6" ht="14.25" customHeight="1" x14ac:dyDescent="0.25">
      <c r="A90" s="15" t="s">
        <v>3755</v>
      </c>
      <c r="B90" s="36">
        <v>1218</v>
      </c>
      <c r="C90" s="36">
        <v>291726</v>
      </c>
      <c r="D90" s="37">
        <v>44753</v>
      </c>
      <c r="E90" s="36">
        <v>28</v>
      </c>
      <c r="F90" s="15" t="str">
        <f t="shared" si="1"/>
        <v>1218-291726-44753</v>
      </c>
    </row>
    <row r="91" spans="1:6" ht="14.25" customHeight="1" x14ac:dyDescent="0.25">
      <c r="A91" s="15" t="s">
        <v>2599</v>
      </c>
      <c r="B91" s="36">
        <v>1211</v>
      </c>
      <c r="C91" s="36">
        <v>291726</v>
      </c>
      <c r="D91" s="37">
        <v>44753</v>
      </c>
      <c r="E91" s="36">
        <v>40</v>
      </c>
      <c r="F91" s="15" t="str">
        <f t="shared" si="1"/>
        <v>1211-291726-44753</v>
      </c>
    </row>
    <row r="92" spans="1:6" ht="14.25" customHeight="1" x14ac:dyDescent="0.25">
      <c r="A92" s="15" t="s">
        <v>2129</v>
      </c>
      <c r="B92" s="36">
        <v>1209</v>
      </c>
      <c r="C92" s="36">
        <v>291726</v>
      </c>
      <c r="D92" s="37">
        <v>44753</v>
      </c>
      <c r="E92" s="36">
        <v>27</v>
      </c>
      <c r="F92" s="15" t="str">
        <f t="shared" si="1"/>
        <v>1209-291726-44753</v>
      </c>
    </row>
    <row r="93" spans="1:6" ht="14.25" customHeight="1" x14ac:dyDescent="0.25">
      <c r="A93" s="15" t="s">
        <v>1791</v>
      </c>
      <c r="B93" s="36">
        <v>1207</v>
      </c>
      <c r="C93" s="36">
        <v>291726</v>
      </c>
      <c r="D93" s="37">
        <v>44753</v>
      </c>
      <c r="E93" s="36">
        <v>40</v>
      </c>
      <c r="F93" s="15" t="str">
        <f t="shared" si="1"/>
        <v>1207-291726-44753</v>
      </c>
    </row>
    <row r="94" spans="1:6" ht="14.25" customHeight="1" x14ac:dyDescent="0.25">
      <c r="A94" s="15" t="s">
        <v>1068</v>
      </c>
      <c r="B94" s="36">
        <v>1204</v>
      </c>
      <c r="C94" s="36">
        <v>291726</v>
      </c>
      <c r="D94" s="37">
        <v>44753</v>
      </c>
      <c r="E94" s="36">
        <v>37</v>
      </c>
      <c r="F94" s="15" t="str">
        <f t="shared" si="1"/>
        <v>1204-291726-44753</v>
      </c>
    </row>
    <row r="95" spans="1:6" ht="14.25" customHeight="1" x14ac:dyDescent="0.25">
      <c r="A95" s="15" t="s">
        <v>3519</v>
      </c>
      <c r="B95" s="36">
        <v>1216</v>
      </c>
      <c r="C95" s="36">
        <v>291726</v>
      </c>
      <c r="D95" s="37">
        <v>44746</v>
      </c>
      <c r="E95" s="36">
        <v>26</v>
      </c>
      <c r="F95" s="15" t="str">
        <f t="shared" si="1"/>
        <v>1216-291726-44746</v>
      </c>
    </row>
    <row r="96" spans="1:6" ht="14.25" customHeight="1" x14ac:dyDescent="0.25">
      <c r="A96" s="15" t="s">
        <v>3276</v>
      </c>
      <c r="B96" s="36">
        <v>1214</v>
      </c>
      <c r="C96" s="36">
        <v>291726</v>
      </c>
      <c r="D96" s="37">
        <v>44746</v>
      </c>
      <c r="E96" s="36">
        <v>29</v>
      </c>
      <c r="F96" s="15" t="str">
        <f t="shared" si="1"/>
        <v>1214-291726-44746</v>
      </c>
    </row>
    <row r="97" spans="1:6" ht="14.25" customHeight="1" x14ac:dyDescent="0.25">
      <c r="A97" s="15" t="s">
        <v>2790</v>
      </c>
      <c r="B97" s="36">
        <v>1212</v>
      </c>
      <c r="C97" s="36">
        <v>291726</v>
      </c>
      <c r="D97" s="37">
        <v>44746</v>
      </c>
      <c r="E97" s="36">
        <v>30</v>
      </c>
      <c r="F97" s="15" t="str">
        <f t="shared" si="1"/>
        <v>1212-291726-44746</v>
      </c>
    </row>
    <row r="98" spans="1:6" ht="14.25" customHeight="1" x14ac:dyDescent="0.25">
      <c r="A98" s="15" t="s">
        <v>1958</v>
      </c>
      <c r="B98" s="36">
        <v>1208</v>
      </c>
      <c r="C98" s="36">
        <v>291726</v>
      </c>
      <c r="D98" s="37">
        <v>44746</v>
      </c>
      <c r="E98" s="36">
        <v>36</v>
      </c>
      <c r="F98" s="15" t="str">
        <f t="shared" si="1"/>
        <v>1208-291726-44746</v>
      </c>
    </row>
    <row r="99" spans="1:6" ht="14.25" customHeight="1" x14ac:dyDescent="0.25">
      <c r="A99" s="15" t="s">
        <v>825</v>
      </c>
      <c r="B99" s="36">
        <v>1203</v>
      </c>
      <c r="C99" s="36">
        <v>291726</v>
      </c>
      <c r="D99" s="37">
        <v>44746</v>
      </c>
      <c r="E99" s="36">
        <v>34</v>
      </c>
      <c r="F99" s="15" t="str">
        <f t="shared" si="1"/>
        <v>1203-291726-44746</v>
      </c>
    </row>
    <row r="100" spans="1:6" ht="14.25" customHeight="1" x14ac:dyDescent="0.25">
      <c r="A100" s="15" t="s">
        <v>343</v>
      </c>
      <c r="B100" s="36">
        <v>1201</v>
      </c>
      <c r="C100" s="36">
        <v>291726</v>
      </c>
      <c r="D100" s="37">
        <v>44746</v>
      </c>
      <c r="E100" s="36">
        <v>35</v>
      </c>
      <c r="F100" s="15" t="str">
        <f t="shared" si="1"/>
        <v>1201-291726-44746</v>
      </c>
    </row>
    <row r="101" spans="1:6" ht="14.25" customHeight="1" x14ac:dyDescent="0.25">
      <c r="A101" s="15" t="s">
        <v>3032</v>
      </c>
      <c r="B101" s="36">
        <v>1213</v>
      </c>
      <c r="C101" s="36">
        <v>291726</v>
      </c>
      <c r="D101" s="37">
        <v>44739</v>
      </c>
      <c r="E101" s="36">
        <v>37</v>
      </c>
      <c r="F101" s="15" t="str">
        <f t="shared" si="1"/>
        <v>1213-291726-44739</v>
      </c>
    </row>
    <row r="102" spans="1:6" ht="14.25" customHeight="1" x14ac:dyDescent="0.25">
      <c r="A102" s="15" t="s">
        <v>1547</v>
      </c>
      <c r="B102" s="36">
        <v>1206</v>
      </c>
      <c r="C102" s="36">
        <v>291726</v>
      </c>
      <c r="D102" s="37">
        <v>44739</v>
      </c>
      <c r="E102" s="36">
        <v>40</v>
      </c>
      <c r="F102" s="15" t="str">
        <f t="shared" si="1"/>
        <v>1206-291726-44739</v>
      </c>
    </row>
    <row r="103" spans="1:6" ht="14.25" customHeight="1" x14ac:dyDescent="0.25">
      <c r="A103" s="15" t="s">
        <v>3269</v>
      </c>
      <c r="B103" s="36">
        <v>1214</v>
      </c>
      <c r="C103" s="36">
        <v>273701</v>
      </c>
      <c r="D103" s="37">
        <v>44753</v>
      </c>
      <c r="E103" s="36">
        <v>17</v>
      </c>
      <c r="F103" s="15" t="str">
        <f t="shared" si="1"/>
        <v>1214-273701-44753</v>
      </c>
    </row>
    <row r="104" spans="1:6" ht="14.25" customHeight="1" x14ac:dyDescent="0.25">
      <c r="A104" s="15" t="s">
        <v>1541</v>
      </c>
      <c r="B104" s="36">
        <v>1206</v>
      </c>
      <c r="C104" s="36">
        <v>273701</v>
      </c>
      <c r="D104" s="37">
        <v>44753</v>
      </c>
      <c r="E104" s="36">
        <v>10</v>
      </c>
      <c r="F104" s="15" t="str">
        <f t="shared" si="1"/>
        <v>1206-273701-44753</v>
      </c>
    </row>
    <row r="105" spans="1:6" ht="14.25" customHeight="1" x14ac:dyDescent="0.25">
      <c r="A105" s="15" t="s">
        <v>3746</v>
      </c>
      <c r="B105" s="36">
        <v>1218</v>
      </c>
      <c r="C105" s="36">
        <v>273701</v>
      </c>
      <c r="D105" s="37">
        <v>44746</v>
      </c>
      <c r="E105" s="36">
        <v>29</v>
      </c>
      <c r="F105" s="15" t="str">
        <f t="shared" si="1"/>
        <v>1218-273701-44746</v>
      </c>
    </row>
    <row r="106" spans="1:6" ht="14.25" customHeight="1" x14ac:dyDescent="0.25">
      <c r="A106" s="15" t="s">
        <v>3511</v>
      </c>
      <c r="B106" s="36">
        <v>1216</v>
      </c>
      <c r="C106" s="36">
        <v>273701</v>
      </c>
      <c r="D106" s="37">
        <v>44746</v>
      </c>
      <c r="E106" s="36">
        <v>19</v>
      </c>
      <c r="F106" s="15" t="str">
        <f t="shared" si="1"/>
        <v>1216-273701-44746</v>
      </c>
    </row>
    <row r="107" spans="1:6" ht="14.25" customHeight="1" x14ac:dyDescent="0.25">
      <c r="A107" s="15" t="s">
        <v>2590</v>
      </c>
      <c r="B107" s="36">
        <v>1211</v>
      </c>
      <c r="C107" s="36">
        <v>273701</v>
      </c>
      <c r="D107" s="37">
        <v>44746</v>
      </c>
      <c r="E107" s="36">
        <v>29</v>
      </c>
      <c r="F107" s="15" t="str">
        <f t="shared" si="1"/>
        <v>1211-273701-44746</v>
      </c>
    </row>
    <row r="108" spans="1:6" ht="14.25" customHeight="1" x14ac:dyDescent="0.25">
      <c r="A108" s="15" t="s">
        <v>2120</v>
      </c>
      <c r="B108" s="36">
        <v>1209</v>
      </c>
      <c r="C108" s="36">
        <v>273701</v>
      </c>
      <c r="D108" s="37">
        <v>44746</v>
      </c>
      <c r="E108" s="36">
        <v>25</v>
      </c>
      <c r="F108" s="15" t="str">
        <f t="shared" si="1"/>
        <v>1209-273701-44746</v>
      </c>
    </row>
    <row r="109" spans="1:6" ht="14.25" customHeight="1" x14ac:dyDescent="0.25">
      <c r="A109" s="15" t="s">
        <v>1299</v>
      </c>
      <c r="B109" s="36">
        <v>1205</v>
      </c>
      <c r="C109" s="36">
        <v>273701</v>
      </c>
      <c r="D109" s="37">
        <v>44746</v>
      </c>
      <c r="E109" s="36">
        <v>26</v>
      </c>
      <c r="F109" s="15" t="str">
        <f t="shared" si="1"/>
        <v>1205-273701-44746</v>
      </c>
    </row>
    <row r="110" spans="1:6" ht="14.25" customHeight="1" x14ac:dyDescent="0.25">
      <c r="A110" s="15" t="s">
        <v>1059</v>
      </c>
      <c r="B110" s="36">
        <v>1204</v>
      </c>
      <c r="C110" s="36">
        <v>273701</v>
      </c>
      <c r="D110" s="37">
        <v>44746</v>
      </c>
      <c r="E110" s="36">
        <v>17</v>
      </c>
      <c r="F110" s="15" t="str">
        <f t="shared" si="1"/>
        <v>1204-273701-44746</v>
      </c>
    </row>
    <row r="111" spans="1:6" ht="14.25" customHeight="1" x14ac:dyDescent="0.25">
      <c r="A111" s="15" t="s">
        <v>817</v>
      </c>
      <c r="B111" s="36">
        <v>1203</v>
      </c>
      <c r="C111" s="36">
        <v>273701</v>
      </c>
      <c r="D111" s="37">
        <v>44746</v>
      </c>
      <c r="E111" s="36">
        <v>40</v>
      </c>
      <c r="F111" s="15" t="str">
        <f t="shared" si="1"/>
        <v>1203-273701-44746</v>
      </c>
    </row>
    <row r="112" spans="1:6" ht="14.25" customHeight="1" x14ac:dyDescent="0.25">
      <c r="A112" s="15" t="s">
        <v>576</v>
      </c>
      <c r="B112" s="36">
        <v>1202</v>
      </c>
      <c r="C112" s="36">
        <v>273701</v>
      </c>
      <c r="D112" s="37">
        <v>44746</v>
      </c>
      <c r="E112" s="36">
        <v>28</v>
      </c>
      <c r="F112" s="15" t="str">
        <f t="shared" si="1"/>
        <v>1202-273701-44746</v>
      </c>
    </row>
    <row r="113" spans="1:6" ht="14.25" customHeight="1" x14ac:dyDescent="0.25">
      <c r="A113" s="15" t="s">
        <v>335</v>
      </c>
      <c r="B113" s="36">
        <v>1201</v>
      </c>
      <c r="C113" s="36">
        <v>273701</v>
      </c>
      <c r="D113" s="37">
        <v>44746</v>
      </c>
      <c r="E113" s="36">
        <v>27</v>
      </c>
      <c r="F113" s="15" t="str">
        <f t="shared" si="1"/>
        <v>1201-273701-44746</v>
      </c>
    </row>
    <row r="114" spans="1:6" ht="14.25" customHeight="1" x14ac:dyDescent="0.25">
      <c r="A114" s="15" t="s">
        <v>4195</v>
      </c>
      <c r="B114" s="36">
        <v>1220</v>
      </c>
      <c r="C114" s="36">
        <v>273701</v>
      </c>
      <c r="D114" s="37">
        <v>44739</v>
      </c>
      <c r="E114" s="36">
        <v>24</v>
      </c>
      <c r="F114" s="15" t="str">
        <f t="shared" si="1"/>
        <v>1220-273701-44739</v>
      </c>
    </row>
    <row r="115" spans="1:6" ht="14.25" customHeight="1" x14ac:dyDescent="0.25">
      <c r="A115" s="15" t="s">
        <v>3024</v>
      </c>
      <c r="B115" s="36">
        <v>1213</v>
      </c>
      <c r="C115" s="36">
        <v>273701</v>
      </c>
      <c r="D115" s="37">
        <v>44739</v>
      </c>
      <c r="E115" s="36">
        <v>17</v>
      </c>
      <c r="F115" s="15" t="str">
        <f t="shared" si="1"/>
        <v>1213-273701-44739</v>
      </c>
    </row>
    <row r="116" spans="1:6" ht="14.25" customHeight="1" x14ac:dyDescent="0.25">
      <c r="A116" s="15" t="s">
        <v>2781</v>
      </c>
      <c r="B116" s="36">
        <v>1212</v>
      </c>
      <c r="C116" s="36">
        <v>273701</v>
      </c>
      <c r="D116" s="37">
        <v>44739</v>
      </c>
      <c r="E116" s="36">
        <v>18</v>
      </c>
      <c r="F116" s="15" t="str">
        <f t="shared" si="1"/>
        <v>1212-273701-44739</v>
      </c>
    </row>
    <row r="117" spans="1:6" ht="14.25" customHeight="1" x14ac:dyDescent="0.25">
      <c r="A117" s="15" t="s">
        <v>2346</v>
      </c>
      <c r="B117" s="36">
        <v>1210</v>
      </c>
      <c r="C117" s="36">
        <v>273701</v>
      </c>
      <c r="D117" s="37">
        <v>44739</v>
      </c>
      <c r="E117" s="36">
        <v>37</v>
      </c>
      <c r="F117" s="15" t="str">
        <f t="shared" si="1"/>
        <v>1210-273701-44739</v>
      </c>
    </row>
    <row r="118" spans="1:6" ht="14.25" customHeight="1" x14ac:dyDescent="0.25">
      <c r="A118" s="15" t="s">
        <v>3955</v>
      </c>
      <c r="B118" s="36">
        <v>1219</v>
      </c>
      <c r="C118" s="36">
        <v>268831</v>
      </c>
      <c r="D118" s="37">
        <v>44753</v>
      </c>
      <c r="E118" s="36">
        <v>9</v>
      </c>
      <c r="F118" s="15" t="str">
        <f t="shared" si="1"/>
        <v>1219-268831-44753</v>
      </c>
    </row>
    <row r="119" spans="1:6" ht="14.25" customHeight="1" x14ac:dyDescent="0.25">
      <c r="A119" s="15" t="s">
        <v>3739</v>
      </c>
      <c r="B119" s="36">
        <v>1218</v>
      </c>
      <c r="C119" s="36">
        <v>268831</v>
      </c>
      <c r="D119" s="37">
        <v>44753</v>
      </c>
      <c r="E119" s="36">
        <v>8</v>
      </c>
      <c r="F119" s="15" t="str">
        <f t="shared" si="1"/>
        <v>1218-268831-44753</v>
      </c>
    </row>
    <row r="120" spans="1:6" ht="14.25" customHeight="1" x14ac:dyDescent="0.25">
      <c r="A120" s="15" t="s">
        <v>3504</v>
      </c>
      <c r="B120" s="36">
        <v>1216</v>
      </c>
      <c r="C120" s="36">
        <v>268831</v>
      </c>
      <c r="D120" s="37">
        <v>44753</v>
      </c>
      <c r="E120" s="36">
        <v>22</v>
      </c>
      <c r="F120" s="15" t="str">
        <f t="shared" si="1"/>
        <v>1216-268831-44753</v>
      </c>
    </row>
    <row r="121" spans="1:6" ht="14.25" customHeight="1" x14ac:dyDescent="0.25">
      <c r="A121" s="15" t="s">
        <v>2775</v>
      </c>
      <c r="B121" s="36">
        <v>1212</v>
      </c>
      <c r="C121" s="36">
        <v>268831</v>
      </c>
      <c r="D121" s="37">
        <v>44753</v>
      </c>
      <c r="E121" s="36">
        <v>20</v>
      </c>
      <c r="F121" s="15" t="str">
        <f t="shared" si="1"/>
        <v>1212-268831-44753</v>
      </c>
    </row>
    <row r="122" spans="1:6" ht="14.25" customHeight="1" x14ac:dyDescent="0.25">
      <c r="A122" s="15" t="s">
        <v>2583</v>
      </c>
      <c r="B122" s="36">
        <v>1211</v>
      </c>
      <c r="C122" s="36">
        <v>268831</v>
      </c>
      <c r="D122" s="37">
        <v>44753</v>
      </c>
      <c r="E122" s="36">
        <v>9</v>
      </c>
      <c r="F122" s="15" t="str">
        <f t="shared" si="1"/>
        <v>1211-268831-44753</v>
      </c>
    </row>
    <row r="123" spans="1:6" ht="14.25" customHeight="1" x14ac:dyDescent="0.25">
      <c r="A123" s="15" t="s">
        <v>2340</v>
      </c>
      <c r="B123" s="36">
        <v>1210</v>
      </c>
      <c r="C123" s="36">
        <v>268831</v>
      </c>
      <c r="D123" s="37">
        <v>44753</v>
      </c>
      <c r="E123" s="36">
        <v>33</v>
      </c>
      <c r="F123" s="15" t="str">
        <f t="shared" si="1"/>
        <v>1210-268831-44753</v>
      </c>
    </row>
    <row r="124" spans="1:6" ht="14.25" customHeight="1" x14ac:dyDescent="0.25">
      <c r="A124" s="15" t="s">
        <v>1775</v>
      </c>
      <c r="B124" s="36">
        <v>1207</v>
      </c>
      <c r="C124" s="36">
        <v>268831</v>
      </c>
      <c r="D124" s="37">
        <v>44753</v>
      </c>
      <c r="E124" s="36">
        <v>27</v>
      </c>
      <c r="F124" s="15" t="str">
        <f t="shared" si="1"/>
        <v>1207-268831-44753</v>
      </c>
    </row>
    <row r="125" spans="1:6" ht="14.25" customHeight="1" x14ac:dyDescent="0.25">
      <c r="A125" s="15" t="s">
        <v>810</v>
      </c>
      <c r="B125" s="36">
        <v>1203</v>
      </c>
      <c r="C125" s="36">
        <v>268831</v>
      </c>
      <c r="D125" s="37">
        <v>44753</v>
      </c>
      <c r="E125" s="36">
        <v>10</v>
      </c>
      <c r="F125" s="15" t="str">
        <f t="shared" si="1"/>
        <v>1203-268831-44753</v>
      </c>
    </row>
    <row r="126" spans="1:6" ht="14.25" customHeight="1" x14ac:dyDescent="0.25">
      <c r="A126" s="15" t="s">
        <v>569</v>
      </c>
      <c r="B126" s="36">
        <v>1202</v>
      </c>
      <c r="C126" s="36">
        <v>268831</v>
      </c>
      <c r="D126" s="37">
        <v>44753</v>
      </c>
      <c r="E126" s="36">
        <v>29</v>
      </c>
      <c r="F126" s="15" t="str">
        <f t="shared" si="1"/>
        <v>1202-268831-44753</v>
      </c>
    </row>
    <row r="127" spans="1:6" ht="14.25" customHeight="1" x14ac:dyDescent="0.25">
      <c r="A127" s="15" t="s">
        <v>328</v>
      </c>
      <c r="B127" s="36">
        <v>1201</v>
      </c>
      <c r="C127" s="36">
        <v>268831</v>
      </c>
      <c r="D127" s="37">
        <v>44753</v>
      </c>
      <c r="E127" s="36">
        <v>25</v>
      </c>
      <c r="F127" s="15" t="str">
        <f t="shared" si="1"/>
        <v>1201-268831-44753</v>
      </c>
    </row>
    <row r="128" spans="1:6" ht="14.25" customHeight="1" x14ac:dyDescent="0.25">
      <c r="A128" s="15" t="s">
        <v>4188</v>
      </c>
      <c r="B128" s="36">
        <v>1220</v>
      </c>
      <c r="C128" s="36">
        <v>268831</v>
      </c>
      <c r="D128" s="37">
        <v>44746</v>
      </c>
      <c r="E128" s="36">
        <v>30</v>
      </c>
      <c r="F128" s="15" t="str">
        <f t="shared" si="1"/>
        <v>1220-268831-44746</v>
      </c>
    </row>
    <row r="129" spans="1:6" ht="14.25" customHeight="1" x14ac:dyDescent="0.25">
      <c r="A129" s="15" t="s">
        <v>1532</v>
      </c>
      <c r="B129" s="36">
        <v>1206</v>
      </c>
      <c r="C129" s="36">
        <v>268831</v>
      </c>
      <c r="D129" s="37">
        <v>44746</v>
      </c>
      <c r="E129" s="36">
        <v>13</v>
      </c>
      <c r="F129" s="15" t="str">
        <f t="shared" si="1"/>
        <v>1206-268831-44746</v>
      </c>
    </row>
    <row r="130" spans="1:6" ht="14.25" customHeight="1" x14ac:dyDescent="0.25">
      <c r="A130" s="15" t="s">
        <v>3259</v>
      </c>
      <c r="B130" s="36">
        <v>1214</v>
      </c>
      <c r="C130" s="36">
        <v>268831</v>
      </c>
      <c r="D130" s="37">
        <v>44739</v>
      </c>
      <c r="E130" s="36">
        <v>26</v>
      </c>
      <c r="F130" s="15" t="str">
        <f t="shared" si="1"/>
        <v>1214-268831-44739</v>
      </c>
    </row>
    <row r="131" spans="1:6" ht="14.25" customHeight="1" x14ac:dyDescent="0.25">
      <c r="A131" s="15" t="s">
        <v>3016</v>
      </c>
      <c r="B131" s="36">
        <v>1213</v>
      </c>
      <c r="C131" s="36">
        <v>268831</v>
      </c>
      <c r="D131" s="37">
        <v>44739</v>
      </c>
      <c r="E131" s="36">
        <v>16</v>
      </c>
      <c r="F131" s="15" t="str">
        <f t="shared" ref="F131:F194" si="2">B131&amp;"-"&amp;C131&amp;"-"&amp;INT(D131)</f>
        <v>1213-268831-44739</v>
      </c>
    </row>
    <row r="132" spans="1:6" ht="14.25" customHeight="1" x14ac:dyDescent="0.25">
      <c r="A132" s="15" t="s">
        <v>2111</v>
      </c>
      <c r="B132" s="36">
        <v>1209</v>
      </c>
      <c r="C132" s="36">
        <v>268831</v>
      </c>
      <c r="D132" s="37">
        <v>44739</v>
      </c>
      <c r="E132" s="36">
        <v>6</v>
      </c>
      <c r="F132" s="15" t="str">
        <f t="shared" si="2"/>
        <v>1209-268831-44739</v>
      </c>
    </row>
    <row r="133" spans="1:6" ht="14.25" customHeight="1" x14ac:dyDescent="0.25">
      <c r="A133" s="15" t="s">
        <v>4020</v>
      </c>
      <c r="B133" s="36">
        <v>1220</v>
      </c>
      <c r="C133" s="36">
        <v>26764</v>
      </c>
      <c r="D133" s="37">
        <v>44753</v>
      </c>
      <c r="E133" s="36">
        <v>39</v>
      </c>
      <c r="F133" s="15" t="str">
        <f t="shared" si="2"/>
        <v>1220-26764-44753</v>
      </c>
    </row>
    <row r="134" spans="1:6" ht="14.25" customHeight="1" x14ac:dyDescent="0.25">
      <c r="A134" s="15" t="s">
        <v>3561</v>
      </c>
      <c r="B134" s="36">
        <v>1218</v>
      </c>
      <c r="C134" s="36">
        <v>26764</v>
      </c>
      <c r="D134" s="37">
        <v>44753</v>
      </c>
      <c r="E134" s="36">
        <v>30</v>
      </c>
      <c r="F134" s="15" t="str">
        <f t="shared" si="2"/>
        <v>1218-26764-44753</v>
      </c>
    </row>
    <row r="135" spans="1:6" ht="14.25" customHeight="1" x14ac:dyDescent="0.25">
      <c r="A135" s="15" t="s">
        <v>3083</v>
      </c>
      <c r="B135" s="36">
        <v>1214</v>
      </c>
      <c r="C135" s="36">
        <v>26764</v>
      </c>
      <c r="D135" s="37">
        <v>44753</v>
      </c>
      <c r="E135" s="36">
        <v>40</v>
      </c>
      <c r="F135" s="15" t="str">
        <f t="shared" si="2"/>
        <v>1214-26764-44753</v>
      </c>
    </row>
    <row r="136" spans="1:6" ht="14.25" customHeight="1" x14ac:dyDescent="0.25">
      <c r="A136" s="15" t="s">
        <v>2163</v>
      </c>
      <c r="B136" s="36">
        <v>1210</v>
      </c>
      <c r="C136" s="36">
        <v>26764</v>
      </c>
      <c r="D136" s="37">
        <v>44753</v>
      </c>
      <c r="E136" s="36">
        <v>35</v>
      </c>
      <c r="F136" s="15" t="str">
        <f t="shared" si="2"/>
        <v>1210-26764-44753</v>
      </c>
    </row>
    <row r="137" spans="1:6" ht="14.25" customHeight="1" x14ac:dyDescent="0.25">
      <c r="A137" s="15" t="s">
        <v>875</v>
      </c>
      <c r="B137" s="36">
        <v>1204</v>
      </c>
      <c r="C137" s="36">
        <v>26764</v>
      </c>
      <c r="D137" s="37">
        <v>44753</v>
      </c>
      <c r="E137" s="36">
        <v>38</v>
      </c>
      <c r="F137" s="15" t="str">
        <f t="shared" si="2"/>
        <v>1204-26764-44753</v>
      </c>
    </row>
    <row r="138" spans="1:6" ht="14.25" customHeight="1" x14ac:dyDescent="0.25">
      <c r="A138" s="15" t="s">
        <v>3794</v>
      </c>
      <c r="B138" s="36">
        <v>1219</v>
      </c>
      <c r="C138" s="36">
        <v>26764</v>
      </c>
      <c r="D138" s="37">
        <v>44746</v>
      </c>
      <c r="E138" s="36">
        <v>35</v>
      </c>
      <c r="F138" s="15" t="str">
        <f t="shared" si="2"/>
        <v>1219-26764-44746</v>
      </c>
    </row>
    <row r="139" spans="1:6" ht="14.25" customHeight="1" x14ac:dyDescent="0.25">
      <c r="A139" s="15" t="s">
        <v>1597</v>
      </c>
      <c r="B139" s="36">
        <v>1207</v>
      </c>
      <c r="C139" s="36">
        <v>26764</v>
      </c>
      <c r="D139" s="37">
        <v>44746</v>
      </c>
      <c r="E139" s="36">
        <v>38</v>
      </c>
      <c r="F139" s="15" t="str">
        <f t="shared" si="2"/>
        <v>1207-26764-44746</v>
      </c>
    </row>
    <row r="140" spans="1:6" ht="14.25" customHeight="1" x14ac:dyDescent="0.25">
      <c r="A140" s="15" t="s">
        <v>2645</v>
      </c>
      <c r="B140" s="36">
        <v>1212</v>
      </c>
      <c r="C140" s="36">
        <v>26764</v>
      </c>
      <c r="D140" s="37">
        <v>44739</v>
      </c>
      <c r="E140" s="36">
        <v>35</v>
      </c>
      <c r="F140" s="15" t="str">
        <f t="shared" si="2"/>
        <v>1212-26764-44739</v>
      </c>
    </row>
    <row r="141" spans="1:6" ht="14.25" customHeight="1" x14ac:dyDescent="0.25">
      <c r="A141" s="15" t="s">
        <v>2404</v>
      </c>
      <c r="B141" s="36">
        <v>1211</v>
      </c>
      <c r="C141" s="36">
        <v>26764</v>
      </c>
      <c r="D141" s="37">
        <v>44739</v>
      </c>
      <c r="E141" s="36">
        <v>35</v>
      </c>
      <c r="F141" s="15" t="str">
        <f t="shared" si="2"/>
        <v>1211-26764-44739</v>
      </c>
    </row>
    <row r="142" spans="1:6" ht="14.25" customHeight="1" x14ac:dyDescent="0.25">
      <c r="A142" s="15" t="s">
        <v>1837</v>
      </c>
      <c r="B142" s="36">
        <v>1208</v>
      </c>
      <c r="C142" s="36">
        <v>26764</v>
      </c>
      <c r="D142" s="37">
        <v>44739</v>
      </c>
      <c r="E142" s="36">
        <v>31</v>
      </c>
      <c r="F142" s="15" t="str">
        <f t="shared" si="2"/>
        <v>1208-26764-44739</v>
      </c>
    </row>
    <row r="143" spans="1:6" ht="14.25" customHeight="1" x14ac:dyDescent="0.25">
      <c r="A143" s="15" t="s">
        <v>1355</v>
      </c>
      <c r="B143" s="36">
        <v>1206</v>
      </c>
      <c r="C143" s="36">
        <v>26764</v>
      </c>
      <c r="D143" s="37">
        <v>44739</v>
      </c>
      <c r="E143" s="36">
        <v>34</v>
      </c>
      <c r="F143" s="15" t="str">
        <f t="shared" si="2"/>
        <v>1206-26764-44739</v>
      </c>
    </row>
    <row r="144" spans="1:6" ht="14.25" customHeight="1" x14ac:dyDescent="0.25">
      <c r="A144" s="15" t="s">
        <v>631</v>
      </c>
      <c r="B144" s="36">
        <v>1203</v>
      </c>
      <c r="C144" s="36">
        <v>26764</v>
      </c>
      <c r="D144" s="37">
        <v>44739</v>
      </c>
      <c r="E144" s="36">
        <v>37</v>
      </c>
      <c r="F144" s="15" t="str">
        <f t="shared" si="2"/>
        <v>1203-26764-44739</v>
      </c>
    </row>
    <row r="145" spans="1:6" ht="14.25" customHeight="1" x14ac:dyDescent="0.25">
      <c r="A145" s="15" t="s">
        <v>150</v>
      </c>
      <c r="B145" s="36">
        <v>1201</v>
      </c>
      <c r="C145" s="36">
        <v>26764</v>
      </c>
      <c r="D145" s="37">
        <v>44739</v>
      </c>
      <c r="E145" s="36">
        <v>35</v>
      </c>
      <c r="F145" s="15" t="str">
        <f t="shared" si="2"/>
        <v>1201-26764-44739</v>
      </c>
    </row>
    <row r="146" spans="1:6" ht="14.25" customHeight="1" x14ac:dyDescent="0.25">
      <c r="A146" s="15" t="s">
        <v>4181</v>
      </c>
      <c r="B146" s="36">
        <v>1220</v>
      </c>
      <c r="C146" s="36">
        <v>262294</v>
      </c>
      <c r="D146" s="37">
        <v>44753</v>
      </c>
      <c r="E146" s="36">
        <v>34</v>
      </c>
      <c r="F146" s="15" t="str">
        <f t="shared" si="2"/>
        <v>1220-262294-44753</v>
      </c>
    </row>
    <row r="147" spans="1:6" ht="14.25" customHeight="1" x14ac:dyDescent="0.25">
      <c r="A147" s="15" t="s">
        <v>2575</v>
      </c>
      <c r="B147" s="36">
        <v>1211</v>
      </c>
      <c r="C147" s="36">
        <v>262294</v>
      </c>
      <c r="D147" s="37">
        <v>44753</v>
      </c>
      <c r="E147" s="36">
        <v>32</v>
      </c>
      <c r="F147" s="15" t="str">
        <f t="shared" si="2"/>
        <v>1211-262294-44753</v>
      </c>
    </row>
    <row r="148" spans="1:6" ht="14.25" customHeight="1" x14ac:dyDescent="0.25">
      <c r="A148" s="15" t="s">
        <v>2332</v>
      </c>
      <c r="B148" s="36">
        <v>1210</v>
      </c>
      <c r="C148" s="36">
        <v>262294</v>
      </c>
      <c r="D148" s="37">
        <v>44753</v>
      </c>
      <c r="E148" s="36">
        <v>40</v>
      </c>
      <c r="F148" s="15" t="str">
        <f t="shared" si="2"/>
        <v>1210-262294-44753</v>
      </c>
    </row>
    <row r="149" spans="1:6" ht="14.25" customHeight="1" x14ac:dyDescent="0.25">
      <c r="A149" s="15" t="s">
        <v>1284</v>
      </c>
      <c r="B149" s="36">
        <v>1205</v>
      </c>
      <c r="C149" s="36">
        <v>262294</v>
      </c>
      <c r="D149" s="37">
        <v>44753</v>
      </c>
      <c r="E149" s="36">
        <v>25</v>
      </c>
      <c r="F149" s="15" t="str">
        <f t="shared" si="2"/>
        <v>1205-262294-44753</v>
      </c>
    </row>
    <row r="150" spans="1:6" ht="14.25" customHeight="1" x14ac:dyDescent="0.25">
      <c r="A150" s="15" t="s">
        <v>802</v>
      </c>
      <c r="B150" s="36">
        <v>1203</v>
      </c>
      <c r="C150" s="36">
        <v>262294</v>
      </c>
      <c r="D150" s="37">
        <v>44753</v>
      </c>
      <c r="E150" s="36">
        <v>29</v>
      </c>
      <c r="F150" s="15" t="str">
        <f t="shared" si="2"/>
        <v>1203-262294-44753</v>
      </c>
    </row>
    <row r="151" spans="1:6" ht="14.25" customHeight="1" x14ac:dyDescent="0.25">
      <c r="A151" s="15" t="s">
        <v>3946</v>
      </c>
      <c r="B151" s="36">
        <v>1219</v>
      </c>
      <c r="C151" s="36">
        <v>262294</v>
      </c>
      <c r="D151" s="37">
        <v>44746</v>
      </c>
      <c r="E151" s="36">
        <v>31</v>
      </c>
      <c r="F151" s="15" t="str">
        <f t="shared" si="2"/>
        <v>1219-262294-44746</v>
      </c>
    </row>
    <row r="152" spans="1:6" ht="14.25" customHeight="1" x14ac:dyDescent="0.25">
      <c r="A152" s="15" t="s">
        <v>3009</v>
      </c>
      <c r="B152" s="36">
        <v>1213</v>
      </c>
      <c r="C152" s="36">
        <v>262294</v>
      </c>
      <c r="D152" s="37">
        <v>44746</v>
      </c>
      <c r="E152" s="36">
        <v>27</v>
      </c>
      <c r="F152" s="15" t="str">
        <f t="shared" si="2"/>
        <v>1213-262294-44746</v>
      </c>
    </row>
    <row r="153" spans="1:6" ht="14.25" customHeight="1" x14ac:dyDescent="0.25">
      <c r="A153" s="15" t="s">
        <v>319</v>
      </c>
      <c r="B153" s="36">
        <v>1201</v>
      </c>
      <c r="C153" s="36">
        <v>262294</v>
      </c>
      <c r="D153" s="37">
        <v>44746</v>
      </c>
      <c r="E153" s="36">
        <v>26</v>
      </c>
      <c r="F153" s="15" t="str">
        <f t="shared" si="2"/>
        <v>1201-262294-44746</v>
      </c>
    </row>
    <row r="154" spans="1:6" ht="14.25" customHeight="1" x14ac:dyDescent="0.25">
      <c r="A154" s="15" t="s">
        <v>3729</v>
      </c>
      <c r="B154" s="36">
        <v>1218</v>
      </c>
      <c r="C154" s="36">
        <v>262294</v>
      </c>
      <c r="D154" s="37">
        <v>44739</v>
      </c>
      <c r="E154" s="36">
        <v>37</v>
      </c>
      <c r="F154" s="15" t="str">
        <f t="shared" si="2"/>
        <v>1218-262294-44739</v>
      </c>
    </row>
    <row r="155" spans="1:6" ht="14.25" customHeight="1" x14ac:dyDescent="0.25">
      <c r="A155" s="15" t="s">
        <v>2765</v>
      </c>
      <c r="B155" s="36">
        <v>1212</v>
      </c>
      <c r="C155" s="36">
        <v>262294</v>
      </c>
      <c r="D155" s="37">
        <v>44739</v>
      </c>
      <c r="E155" s="36">
        <v>40</v>
      </c>
      <c r="F155" s="15" t="str">
        <f t="shared" si="2"/>
        <v>1212-262294-44739</v>
      </c>
    </row>
    <row r="156" spans="1:6" ht="14.25" customHeight="1" x14ac:dyDescent="0.25">
      <c r="A156" s="15" t="s">
        <v>1042</v>
      </c>
      <c r="B156" s="36">
        <v>1204</v>
      </c>
      <c r="C156" s="36">
        <v>262294</v>
      </c>
      <c r="D156" s="37">
        <v>44739</v>
      </c>
      <c r="E156" s="36">
        <v>25</v>
      </c>
      <c r="F156" s="15" t="str">
        <f t="shared" si="2"/>
        <v>1204-262294-44739</v>
      </c>
    </row>
    <row r="157" spans="1:6" ht="14.25" customHeight="1" x14ac:dyDescent="0.25">
      <c r="A157" s="15" t="s">
        <v>3939</v>
      </c>
      <c r="B157" s="36">
        <v>1219</v>
      </c>
      <c r="C157" s="36">
        <v>250981</v>
      </c>
      <c r="D157" s="37">
        <v>44753</v>
      </c>
      <c r="E157" s="36">
        <v>21</v>
      </c>
      <c r="F157" s="15" t="str">
        <f t="shared" si="2"/>
        <v>1219-250981-44753</v>
      </c>
    </row>
    <row r="158" spans="1:6" ht="14.25" customHeight="1" x14ac:dyDescent="0.25">
      <c r="A158" s="15" t="s">
        <v>3488</v>
      </c>
      <c r="B158" s="36">
        <v>1216</v>
      </c>
      <c r="C158" s="36">
        <v>250981</v>
      </c>
      <c r="D158" s="37">
        <v>44753</v>
      </c>
      <c r="E158" s="36">
        <v>14</v>
      </c>
      <c r="F158" s="15" t="str">
        <f t="shared" si="2"/>
        <v>1216-250981-44753</v>
      </c>
    </row>
    <row r="159" spans="1:6" ht="14.25" customHeight="1" x14ac:dyDescent="0.25">
      <c r="A159" s="15" t="s">
        <v>2759</v>
      </c>
      <c r="B159" s="36">
        <v>1212</v>
      </c>
      <c r="C159" s="36">
        <v>250981</v>
      </c>
      <c r="D159" s="37">
        <v>44753</v>
      </c>
      <c r="E159" s="36">
        <v>22</v>
      </c>
      <c r="F159" s="15" t="str">
        <f t="shared" si="2"/>
        <v>1212-250981-44753</v>
      </c>
    </row>
    <row r="160" spans="1:6" ht="14.25" customHeight="1" x14ac:dyDescent="0.25">
      <c r="A160" s="15" t="s">
        <v>1517</v>
      </c>
      <c r="B160" s="36">
        <v>1206</v>
      </c>
      <c r="C160" s="36">
        <v>250981</v>
      </c>
      <c r="D160" s="37">
        <v>44753</v>
      </c>
      <c r="E160" s="36">
        <v>34</v>
      </c>
      <c r="F160" s="15" t="str">
        <f t="shared" si="2"/>
        <v>1206-250981-44753</v>
      </c>
    </row>
    <row r="161" spans="1:6" ht="14.25" customHeight="1" x14ac:dyDescent="0.25">
      <c r="A161" s="15" t="s">
        <v>1276</v>
      </c>
      <c r="B161" s="36">
        <v>1205</v>
      </c>
      <c r="C161" s="36">
        <v>250981</v>
      </c>
      <c r="D161" s="37">
        <v>44753</v>
      </c>
      <c r="E161" s="36">
        <v>29</v>
      </c>
      <c r="F161" s="15" t="str">
        <f t="shared" si="2"/>
        <v>1205-250981-44753</v>
      </c>
    </row>
    <row r="162" spans="1:6" ht="14.25" customHeight="1" x14ac:dyDescent="0.25">
      <c r="A162" s="15" t="s">
        <v>553</v>
      </c>
      <c r="B162" s="36">
        <v>1202</v>
      </c>
      <c r="C162" s="36">
        <v>250981</v>
      </c>
      <c r="D162" s="37">
        <v>44753</v>
      </c>
      <c r="E162" s="36">
        <v>25</v>
      </c>
      <c r="F162" s="15" t="str">
        <f t="shared" si="2"/>
        <v>1202-250981-44753</v>
      </c>
    </row>
    <row r="163" spans="1:6" ht="14.25" customHeight="1" x14ac:dyDescent="0.25">
      <c r="A163" s="15" t="s">
        <v>3722</v>
      </c>
      <c r="B163" s="36">
        <v>1218</v>
      </c>
      <c r="C163" s="36">
        <v>250981</v>
      </c>
      <c r="D163" s="37">
        <v>44746</v>
      </c>
      <c r="E163" s="36">
        <v>8</v>
      </c>
      <c r="F163" s="15" t="str">
        <f t="shared" si="2"/>
        <v>1218-250981-44746</v>
      </c>
    </row>
    <row r="164" spans="1:6" ht="14.25" customHeight="1" x14ac:dyDescent="0.25">
      <c r="A164" s="15" t="s">
        <v>3244</v>
      </c>
      <c r="B164" s="36">
        <v>1214</v>
      </c>
      <c r="C164" s="36">
        <v>250981</v>
      </c>
      <c r="D164" s="37">
        <v>44746</v>
      </c>
      <c r="E164" s="36">
        <v>36</v>
      </c>
      <c r="F164" s="15" t="str">
        <f t="shared" si="2"/>
        <v>1214-250981-44746</v>
      </c>
    </row>
    <row r="165" spans="1:6" ht="14.25" customHeight="1" x14ac:dyDescent="0.25">
      <c r="A165" s="15" t="s">
        <v>3001</v>
      </c>
      <c r="B165" s="36">
        <v>1213</v>
      </c>
      <c r="C165" s="36">
        <v>250981</v>
      </c>
      <c r="D165" s="37">
        <v>44746</v>
      </c>
      <c r="E165" s="36">
        <v>20</v>
      </c>
      <c r="F165" s="15" t="str">
        <f t="shared" si="2"/>
        <v>1213-250981-44746</v>
      </c>
    </row>
    <row r="166" spans="1:6" ht="14.25" customHeight="1" x14ac:dyDescent="0.25">
      <c r="A166" s="15" t="s">
        <v>2566</v>
      </c>
      <c r="B166" s="36">
        <v>1211</v>
      </c>
      <c r="C166" s="36">
        <v>250981</v>
      </c>
      <c r="D166" s="37">
        <v>44746</v>
      </c>
      <c r="E166" s="36">
        <v>35</v>
      </c>
      <c r="F166" s="15" t="str">
        <f t="shared" si="2"/>
        <v>1211-250981-44746</v>
      </c>
    </row>
    <row r="167" spans="1:6" ht="14.25" customHeight="1" x14ac:dyDescent="0.25">
      <c r="A167" s="15" t="s">
        <v>2323</v>
      </c>
      <c r="B167" s="36">
        <v>1210</v>
      </c>
      <c r="C167" s="36">
        <v>250981</v>
      </c>
      <c r="D167" s="37">
        <v>44746</v>
      </c>
      <c r="E167" s="36">
        <v>32</v>
      </c>
      <c r="F167" s="15" t="str">
        <f t="shared" si="2"/>
        <v>1210-250981-44746</v>
      </c>
    </row>
    <row r="168" spans="1:6" ht="14.25" customHeight="1" x14ac:dyDescent="0.25">
      <c r="A168" s="15" t="s">
        <v>1758</v>
      </c>
      <c r="B168" s="36">
        <v>1207</v>
      </c>
      <c r="C168" s="36">
        <v>250981</v>
      </c>
      <c r="D168" s="37">
        <v>44746</v>
      </c>
      <c r="E168" s="36">
        <v>12</v>
      </c>
      <c r="F168" s="15" t="str">
        <f t="shared" si="2"/>
        <v>1207-250981-44746</v>
      </c>
    </row>
    <row r="169" spans="1:6" ht="14.25" customHeight="1" x14ac:dyDescent="0.25">
      <c r="A169" s="15" t="s">
        <v>1035</v>
      </c>
      <c r="B169" s="36">
        <v>1204</v>
      </c>
      <c r="C169" s="36">
        <v>250981</v>
      </c>
      <c r="D169" s="37">
        <v>44746</v>
      </c>
      <c r="E169" s="36">
        <v>32</v>
      </c>
      <c r="F169" s="15" t="str">
        <f t="shared" si="2"/>
        <v>1204-250981-44746</v>
      </c>
    </row>
    <row r="170" spans="1:6" ht="14.25" customHeight="1" x14ac:dyDescent="0.25">
      <c r="A170" s="15" t="s">
        <v>793</v>
      </c>
      <c r="B170" s="36">
        <v>1203</v>
      </c>
      <c r="C170" s="36">
        <v>250981</v>
      </c>
      <c r="D170" s="37">
        <v>44746</v>
      </c>
      <c r="E170" s="36">
        <v>34</v>
      </c>
      <c r="F170" s="15" t="str">
        <f t="shared" si="2"/>
        <v>1203-250981-44746</v>
      </c>
    </row>
    <row r="171" spans="1:6" ht="14.25" customHeight="1" x14ac:dyDescent="0.25">
      <c r="A171" s="15" t="s">
        <v>4171</v>
      </c>
      <c r="B171" s="36">
        <v>1220</v>
      </c>
      <c r="C171" s="36">
        <v>250981</v>
      </c>
      <c r="D171" s="37">
        <v>44739</v>
      </c>
      <c r="E171" s="36">
        <v>24</v>
      </c>
      <c r="F171" s="15" t="str">
        <f t="shared" si="2"/>
        <v>1220-250981-44739</v>
      </c>
    </row>
    <row r="172" spans="1:6" ht="14.25" customHeight="1" x14ac:dyDescent="0.25">
      <c r="A172" s="15" t="s">
        <v>2095</v>
      </c>
      <c r="B172" s="36">
        <v>1209</v>
      </c>
      <c r="C172" s="36">
        <v>250981</v>
      </c>
      <c r="D172" s="37">
        <v>44739</v>
      </c>
      <c r="E172" s="36">
        <v>39</v>
      </c>
      <c r="F172" s="15" t="str">
        <f t="shared" si="2"/>
        <v>1209-250981-44739</v>
      </c>
    </row>
    <row r="173" spans="1:6" ht="14.25" customHeight="1" x14ac:dyDescent="0.25">
      <c r="A173" s="15" t="s">
        <v>310</v>
      </c>
      <c r="B173" s="36">
        <v>1201</v>
      </c>
      <c r="C173" s="36">
        <v>250981</v>
      </c>
      <c r="D173" s="37">
        <v>44739</v>
      </c>
      <c r="E173" s="36">
        <v>6</v>
      </c>
      <c r="F173" s="15" t="str">
        <f t="shared" si="2"/>
        <v>1201-250981-44739</v>
      </c>
    </row>
    <row r="174" spans="1:6" ht="14.25" customHeight="1" x14ac:dyDescent="0.25">
      <c r="A174" s="15" t="s">
        <v>3480</v>
      </c>
      <c r="B174" s="36">
        <v>1216</v>
      </c>
      <c r="C174" s="36">
        <v>250979</v>
      </c>
      <c r="D174" s="37">
        <v>44753</v>
      </c>
      <c r="E174" s="36">
        <v>31</v>
      </c>
      <c r="F174" s="15" t="str">
        <f t="shared" si="2"/>
        <v>1216-250979-44753</v>
      </c>
    </row>
    <row r="175" spans="1:6" ht="14.25" customHeight="1" x14ac:dyDescent="0.25">
      <c r="A175" s="15" t="s">
        <v>2089</v>
      </c>
      <c r="B175" s="36">
        <v>1209</v>
      </c>
      <c r="C175" s="36">
        <v>250979</v>
      </c>
      <c r="D175" s="37">
        <v>44753</v>
      </c>
      <c r="E175" s="36">
        <v>27</v>
      </c>
      <c r="F175" s="15" t="str">
        <f t="shared" si="2"/>
        <v>1209-250979-44753</v>
      </c>
    </row>
    <row r="176" spans="1:6" ht="14.25" customHeight="1" x14ac:dyDescent="0.25">
      <c r="A176" s="15" t="s">
        <v>1935</v>
      </c>
      <c r="B176" s="36">
        <v>1208</v>
      </c>
      <c r="C176" s="36">
        <v>250979</v>
      </c>
      <c r="D176" s="37">
        <v>44753</v>
      </c>
      <c r="E176" s="36">
        <v>33</v>
      </c>
      <c r="F176" s="15" t="str">
        <f t="shared" si="2"/>
        <v>1208-250979-44753</v>
      </c>
    </row>
    <row r="177" spans="1:6" ht="14.25" customHeight="1" x14ac:dyDescent="0.25">
      <c r="A177" s="15" t="s">
        <v>1751</v>
      </c>
      <c r="B177" s="36">
        <v>1207</v>
      </c>
      <c r="C177" s="36">
        <v>250979</v>
      </c>
      <c r="D177" s="37">
        <v>44753</v>
      </c>
      <c r="E177" s="36">
        <v>31</v>
      </c>
      <c r="F177" s="15" t="str">
        <f t="shared" si="2"/>
        <v>1207-250979-44753</v>
      </c>
    </row>
    <row r="178" spans="1:6" ht="14.25" customHeight="1" x14ac:dyDescent="0.25">
      <c r="A178" s="15" t="s">
        <v>1268</v>
      </c>
      <c r="B178" s="36">
        <v>1205</v>
      </c>
      <c r="C178" s="36">
        <v>250979</v>
      </c>
      <c r="D178" s="37">
        <v>44753</v>
      </c>
      <c r="E178" s="36">
        <v>34</v>
      </c>
      <c r="F178" s="15" t="str">
        <f t="shared" si="2"/>
        <v>1205-250979-44753</v>
      </c>
    </row>
    <row r="179" spans="1:6" ht="14.25" customHeight="1" x14ac:dyDescent="0.25">
      <c r="A179" s="15" t="s">
        <v>1028</v>
      </c>
      <c r="B179" s="36">
        <v>1204</v>
      </c>
      <c r="C179" s="36">
        <v>250979</v>
      </c>
      <c r="D179" s="37">
        <v>44753</v>
      </c>
      <c r="E179" s="36">
        <v>25</v>
      </c>
      <c r="F179" s="15" t="str">
        <f t="shared" si="2"/>
        <v>1204-250979-44753</v>
      </c>
    </row>
    <row r="180" spans="1:6" ht="14.25" customHeight="1" x14ac:dyDescent="0.25">
      <c r="A180" s="15" t="s">
        <v>304</v>
      </c>
      <c r="B180" s="36">
        <v>1201</v>
      </c>
      <c r="C180" s="36">
        <v>250979</v>
      </c>
      <c r="D180" s="37">
        <v>44753</v>
      </c>
      <c r="E180" s="36">
        <v>28</v>
      </c>
      <c r="F180" s="15" t="str">
        <f t="shared" si="2"/>
        <v>1201-250979-44753</v>
      </c>
    </row>
    <row r="181" spans="1:6" ht="14.25" customHeight="1" x14ac:dyDescent="0.25">
      <c r="A181" s="15" t="s">
        <v>3714</v>
      </c>
      <c r="B181" s="36">
        <v>1218</v>
      </c>
      <c r="C181" s="36">
        <v>250979</v>
      </c>
      <c r="D181" s="37">
        <v>44746</v>
      </c>
      <c r="E181" s="36">
        <v>27</v>
      </c>
      <c r="F181" s="15" t="str">
        <f t="shared" si="2"/>
        <v>1218-250979-44746</v>
      </c>
    </row>
    <row r="182" spans="1:6" ht="14.25" customHeight="1" x14ac:dyDescent="0.25">
      <c r="A182" s="15" t="s">
        <v>2993</v>
      </c>
      <c r="B182" s="36">
        <v>1213</v>
      </c>
      <c r="C182" s="36">
        <v>250979</v>
      </c>
      <c r="D182" s="37">
        <v>44746</v>
      </c>
      <c r="E182" s="36">
        <v>30</v>
      </c>
      <c r="F182" s="15" t="str">
        <f t="shared" si="2"/>
        <v>1213-250979-44746</v>
      </c>
    </row>
    <row r="183" spans="1:6" ht="14.25" customHeight="1" x14ac:dyDescent="0.25">
      <c r="A183" s="15" t="s">
        <v>2558</v>
      </c>
      <c r="B183" s="36">
        <v>1211</v>
      </c>
      <c r="C183" s="36">
        <v>250979</v>
      </c>
      <c r="D183" s="37">
        <v>44746</v>
      </c>
      <c r="E183" s="36">
        <v>36</v>
      </c>
      <c r="F183" s="15" t="str">
        <f t="shared" si="2"/>
        <v>1211-250979-44746</v>
      </c>
    </row>
    <row r="184" spans="1:6" ht="14.25" customHeight="1" x14ac:dyDescent="0.25">
      <c r="A184" s="15" t="s">
        <v>785</v>
      </c>
      <c r="B184" s="36">
        <v>1203</v>
      </c>
      <c r="C184" s="36">
        <v>250979</v>
      </c>
      <c r="D184" s="37">
        <v>44746</v>
      </c>
      <c r="E184" s="36">
        <v>35</v>
      </c>
      <c r="F184" s="15" t="str">
        <f t="shared" si="2"/>
        <v>1203-250979-44746</v>
      </c>
    </row>
    <row r="185" spans="1:6" ht="14.25" customHeight="1" x14ac:dyDescent="0.25">
      <c r="A185" s="15" t="s">
        <v>544</v>
      </c>
      <c r="B185" s="36">
        <v>1202</v>
      </c>
      <c r="C185" s="36">
        <v>250979</v>
      </c>
      <c r="D185" s="37">
        <v>44746</v>
      </c>
      <c r="E185" s="36">
        <v>34</v>
      </c>
      <c r="F185" s="15" t="str">
        <f t="shared" si="2"/>
        <v>1202-250979-44746</v>
      </c>
    </row>
    <row r="186" spans="1:6" ht="14.25" customHeight="1" x14ac:dyDescent="0.25">
      <c r="A186" s="15" t="s">
        <v>3235</v>
      </c>
      <c r="B186" s="36">
        <v>1214</v>
      </c>
      <c r="C186" s="36">
        <v>250979</v>
      </c>
      <c r="D186" s="37">
        <v>44739</v>
      </c>
      <c r="E186" s="36">
        <v>29</v>
      </c>
      <c r="F186" s="15" t="str">
        <f t="shared" si="2"/>
        <v>1214-250979-44739</v>
      </c>
    </row>
    <row r="187" spans="1:6" ht="14.25" customHeight="1" x14ac:dyDescent="0.25">
      <c r="A187" s="15" t="s">
        <v>2749</v>
      </c>
      <c r="B187" s="36">
        <v>1212</v>
      </c>
      <c r="C187" s="36">
        <v>250979</v>
      </c>
      <c r="D187" s="37">
        <v>44739</v>
      </c>
      <c r="E187" s="36">
        <v>26</v>
      </c>
      <c r="F187" s="15" t="str">
        <f t="shared" si="2"/>
        <v>1212-250979-44739</v>
      </c>
    </row>
    <row r="188" spans="1:6" ht="14.25" customHeight="1" x14ac:dyDescent="0.25">
      <c r="A188" s="15" t="s">
        <v>2314</v>
      </c>
      <c r="B188" s="36">
        <v>1210</v>
      </c>
      <c r="C188" s="36">
        <v>250979</v>
      </c>
      <c r="D188" s="37">
        <v>44739</v>
      </c>
      <c r="E188" s="36">
        <v>38</v>
      </c>
      <c r="F188" s="15" t="str">
        <f t="shared" si="2"/>
        <v>1210-250979-44739</v>
      </c>
    </row>
    <row r="189" spans="1:6" ht="14.25" customHeight="1" x14ac:dyDescent="0.25">
      <c r="A189" s="15" t="s">
        <v>3707</v>
      </c>
      <c r="B189" s="36">
        <v>1218</v>
      </c>
      <c r="C189" s="36">
        <v>249795</v>
      </c>
      <c r="D189" s="37">
        <v>44753</v>
      </c>
      <c r="E189" s="36">
        <v>28</v>
      </c>
      <c r="F189" s="15" t="str">
        <f t="shared" si="2"/>
        <v>1218-249795-44753</v>
      </c>
    </row>
    <row r="190" spans="1:6" ht="14.25" customHeight="1" x14ac:dyDescent="0.25">
      <c r="A190" s="15" t="s">
        <v>1020</v>
      </c>
      <c r="B190" s="36">
        <v>1204</v>
      </c>
      <c r="C190" s="36">
        <v>249795</v>
      </c>
      <c r="D190" s="37">
        <v>44753</v>
      </c>
      <c r="E190" s="36">
        <v>29</v>
      </c>
      <c r="F190" s="15" t="str">
        <f t="shared" si="2"/>
        <v>1204-249795-44753</v>
      </c>
    </row>
    <row r="191" spans="1:6" ht="14.25" customHeight="1" x14ac:dyDescent="0.25">
      <c r="A191" s="15" t="s">
        <v>4156</v>
      </c>
      <c r="B191" s="36">
        <v>1220</v>
      </c>
      <c r="C191" s="36">
        <v>249795</v>
      </c>
      <c r="D191" s="37">
        <v>44746</v>
      </c>
      <c r="E191" s="36">
        <v>26</v>
      </c>
      <c r="F191" s="15" t="str">
        <f t="shared" si="2"/>
        <v>1220-249795-44746</v>
      </c>
    </row>
    <row r="192" spans="1:6" ht="14.25" customHeight="1" x14ac:dyDescent="0.25">
      <c r="A192" s="15" t="s">
        <v>3471</v>
      </c>
      <c r="B192" s="36">
        <v>1216</v>
      </c>
      <c r="C192" s="36">
        <v>249795</v>
      </c>
      <c r="D192" s="37">
        <v>44746</v>
      </c>
      <c r="E192" s="36">
        <v>27</v>
      </c>
      <c r="F192" s="15" t="str">
        <f t="shared" si="2"/>
        <v>1216-249795-44746</v>
      </c>
    </row>
    <row r="193" spans="1:6" ht="14.25" customHeight="1" x14ac:dyDescent="0.25">
      <c r="A193" s="15" t="s">
        <v>3228</v>
      </c>
      <c r="B193" s="36">
        <v>1214</v>
      </c>
      <c r="C193" s="36">
        <v>249795</v>
      </c>
      <c r="D193" s="37">
        <v>44746</v>
      </c>
      <c r="E193" s="36">
        <v>31</v>
      </c>
      <c r="F193" s="15" t="str">
        <f t="shared" si="2"/>
        <v>1214-249795-44746</v>
      </c>
    </row>
    <row r="194" spans="1:6" ht="14.25" customHeight="1" x14ac:dyDescent="0.25">
      <c r="A194" s="15" t="s">
        <v>2307</v>
      </c>
      <c r="B194" s="36">
        <v>1210</v>
      </c>
      <c r="C194" s="36">
        <v>249795</v>
      </c>
      <c r="D194" s="37">
        <v>44746</v>
      </c>
      <c r="E194" s="36">
        <v>33</v>
      </c>
      <c r="F194" s="15" t="str">
        <f t="shared" si="2"/>
        <v>1210-249795-44746</v>
      </c>
    </row>
    <row r="195" spans="1:6" ht="14.25" customHeight="1" x14ac:dyDescent="0.25">
      <c r="A195" s="15" t="s">
        <v>1926</v>
      </c>
      <c r="B195" s="36">
        <v>1208</v>
      </c>
      <c r="C195" s="36">
        <v>249795</v>
      </c>
      <c r="D195" s="37">
        <v>44746</v>
      </c>
      <c r="E195" s="36">
        <v>29</v>
      </c>
      <c r="F195" s="15" t="str">
        <f t="shared" ref="F195:F258" si="3">B195&amp;"-"&amp;C195&amp;"-"&amp;INT(D195)</f>
        <v>1208-249795-44746</v>
      </c>
    </row>
    <row r="196" spans="1:6" ht="14.25" customHeight="1" x14ac:dyDescent="0.25">
      <c r="A196" s="15" t="s">
        <v>1742</v>
      </c>
      <c r="B196" s="36">
        <v>1207</v>
      </c>
      <c r="C196" s="36">
        <v>249795</v>
      </c>
      <c r="D196" s="37">
        <v>44746</v>
      </c>
      <c r="E196" s="36">
        <v>25</v>
      </c>
      <c r="F196" s="15" t="str">
        <f t="shared" si="3"/>
        <v>1207-249795-44746</v>
      </c>
    </row>
    <row r="197" spans="1:6" ht="14.25" customHeight="1" x14ac:dyDescent="0.25">
      <c r="A197" s="15" t="s">
        <v>536</v>
      </c>
      <c r="B197" s="36">
        <v>1202</v>
      </c>
      <c r="C197" s="36">
        <v>249795</v>
      </c>
      <c r="D197" s="37">
        <v>44746</v>
      </c>
      <c r="E197" s="36">
        <v>35</v>
      </c>
      <c r="F197" s="15" t="str">
        <f t="shared" si="3"/>
        <v>1202-249795-44746</v>
      </c>
    </row>
    <row r="198" spans="1:6" ht="14.25" customHeight="1" x14ac:dyDescent="0.25">
      <c r="A198" s="15" t="s">
        <v>2079</v>
      </c>
      <c r="B198" s="36">
        <v>1209</v>
      </c>
      <c r="C198" s="36">
        <v>249795</v>
      </c>
      <c r="D198" s="37">
        <v>44739</v>
      </c>
      <c r="E198" s="36">
        <v>31</v>
      </c>
      <c r="F198" s="15" t="str">
        <f t="shared" si="3"/>
        <v>1209-249795-44739</v>
      </c>
    </row>
    <row r="199" spans="1:6" ht="14.25" customHeight="1" x14ac:dyDescent="0.25">
      <c r="A199" s="15" t="s">
        <v>294</v>
      </c>
      <c r="B199" s="36">
        <v>1201</v>
      </c>
      <c r="C199" s="36">
        <v>249795</v>
      </c>
      <c r="D199" s="37">
        <v>44739</v>
      </c>
      <c r="E199" s="36">
        <v>26</v>
      </c>
      <c r="F199" s="15" t="str">
        <f t="shared" si="3"/>
        <v>1201-249795-44739</v>
      </c>
    </row>
    <row r="200" spans="1:6" ht="14.25" customHeight="1" x14ac:dyDescent="0.25">
      <c r="A200" s="15" t="s">
        <v>2743</v>
      </c>
      <c r="B200" s="36">
        <v>1212</v>
      </c>
      <c r="C200" s="36">
        <v>249444</v>
      </c>
      <c r="D200" s="37">
        <v>44753</v>
      </c>
      <c r="E200" s="36">
        <v>31</v>
      </c>
      <c r="F200" s="15" t="str">
        <f t="shared" si="3"/>
        <v>1212-249444-44753</v>
      </c>
    </row>
    <row r="201" spans="1:6" ht="14.25" customHeight="1" x14ac:dyDescent="0.25">
      <c r="A201" s="15" t="s">
        <v>2543</v>
      </c>
      <c r="B201" s="36">
        <v>1211</v>
      </c>
      <c r="C201" s="36">
        <v>249444</v>
      </c>
      <c r="D201" s="37">
        <v>44753</v>
      </c>
      <c r="E201" s="36">
        <v>36</v>
      </c>
      <c r="F201" s="15" t="str">
        <f t="shared" si="3"/>
        <v>1211-249444-44753</v>
      </c>
    </row>
    <row r="202" spans="1:6" ht="14.25" customHeight="1" x14ac:dyDescent="0.25">
      <c r="A202" s="15" t="s">
        <v>1919</v>
      </c>
      <c r="B202" s="36">
        <v>1208</v>
      </c>
      <c r="C202" s="36">
        <v>249444</v>
      </c>
      <c r="D202" s="37">
        <v>44753</v>
      </c>
      <c r="E202" s="36">
        <v>37</v>
      </c>
      <c r="F202" s="15" t="str">
        <f t="shared" si="3"/>
        <v>1208-249444-44753</v>
      </c>
    </row>
    <row r="203" spans="1:6" ht="14.25" customHeight="1" x14ac:dyDescent="0.25">
      <c r="A203" s="15" t="s">
        <v>1012</v>
      </c>
      <c r="B203" s="36">
        <v>1204</v>
      </c>
      <c r="C203" s="36">
        <v>249444</v>
      </c>
      <c r="D203" s="37">
        <v>44753</v>
      </c>
      <c r="E203" s="36">
        <v>39</v>
      </c>
      <c r="F203" s="15" t="str">
        <f t="shared" si="3"/>
        <v>1204-249444-44753</v>
      </c>
    </row>
    <row r="204" spans="1:6" ht="14.25" customHeight="1" x14ac:dyDescent="0.25">
      <c r="A204" s="15" t="s">
        <v>4148</v>
      </c>
      <c r="B204" s="36">
        <v>1220</v>
      </c>
      <c r="C204" s="36">
        <v>249444</v>
      </c>
      <c r="D204" s="37">
        <v>44746</v>
      </c>
      <c r="E204" s="36">
        <v>34</v>
      </c>
      <c r="F204" s="15" t="str">
        <f t="shared" si="3"/>
        <v>1220-249444-44746</v>
      </c>
    </row>
    <row r="205" spans="1:6" ht="14.25" customHeight="1" x14ac:dyDescent="0.25">
      <c r="A205" s="15" t="s">
        <v>2299</v>
      </c>
      <c r="B205" s="36">
        <v>1210</v>
      </c>
      <c r="C205" s="36">
        <v>249444</v>
      </c>
      <c r="D205" s="37">
        <v>44746</v>
      </c>
      <c r="E205" s="36">
        <v>31</v>
      </c>
      <c r="F205" s="15" t="str">
        <f t="shared" si="3"/>
        <v>1210-249444-44746</v>
      </c>
    </row>
    <row r="206" spans="1:6" ht="14.25" customHeight="1" x14ac:dyDescent="0.25">
      <c r="A206" s="15" t="s">
        <v>2072</v>
      </c>
      <c r="B206" s="36">
        <v>1209</v>
      </c>
      <c r="C206" s="36">
        <v>249444</v>
      </c>
      <c r="D206" s="37">
        <v>44746</v>
      </c>
      <c r="E206" s="36">
        <v>37</v>
      </c>
      <c r="F206" s="15" t="str">
        <f t="shared" si="3"/>
        <v>1209-249444-44746</v>
      </c>
    </row>
    <row r="207" spans="1:6" ht="14.25" customHeight="1" x14ac:dyDescent="0.25">
      <c r="A207" s="15" t="s">
        <v>528</v>
      </c>
      <c r="B207" s="36">
        <v>1202</v>
      </c>
      <c r="C207" s="36">
        <v>249444</v>
      </c>
      <c r="D207" s="37">
        <v>44746</v>
      </c>
      <c r="E207" s="36">
        <v>33</v>
      </c>
      <c r="F207" s="15" t="str">
        <f t="shared" si="3"/>
        <v>1202-249444-44746</v>
      </c>
    </row>
    <row r="208" spans="1:6" ht="14.25" customHeight="1" x14ac:dyDescent="0.25">
      <c r="A208" s="15" t="s">
        <v>3913</v>
      </c>
      <c r="B208" s="36">
        <v>1219</v>
      </c>
      <c r="C208" s="36">
        <v>249444</v>
      </c>
      <c r="D208" s="37">
        <v>44739</v>
      </c>
      <c r="E208" s="36">
        <v>35</v>
      </c>
      <c r="F208" s="15" t="str">
        <f t="shared" si="3"/>
        <v>1219-249444-44739</v>
      </c>
    </row>
    <row r="209" spans="1:6" ht="14.25" customHeight="1" x14ac:dyDescent="0.25">
      <c r="A209" s="15" t="s">
        <v>3697</v>
      </c>
      <c r="B209" s="36">
        <v>1218</v>
      </c>
      <c r="C209" s="36">
        <v>249444</v>
      </c>
      <c r="D209" s="37">
        <v>44739</v>
      </c>
      <c r="E209" s="36">
        <v>32</v>
      </c>
      <c r="F209" s="15" t="str">
        <f t="shared" si="3"/>
        <v>1218-249444-44739</v>
      </c>
    </row>
    <row r="210" spans="1:6" ht="14.25" customHeight="1" x14ac:dyDescent="0.25">
      <c r="A210" s="15" t="s">
        <v>3462</v>
      </c>
      <c r="B210" s="36">
        <v>1216</v>
      </c>
      <c r="C210" s="36">
        <v>249444</v>
      </c>
      <c r="D210" s="37">
        <v>44739</v>
      </c>
      <c r="E210" s="36">
        <v>40</v>
      </c>
      <c r="F210" s="15" t="str">
        <f t="shared" si="3"/>
        <v>1216-249444-44739</v>
      </c>
    </row>
    <row r="211" spans="1:6" ht="14.25" customHeight="1" x14ac:dyDescent="0.25">
      <c r="A211" s="15" t="s">
        <v>3219</v>
      </c>
      <c r="B211" s="36">
        <v>1214</v>
      </c>
      <c r="C211" s="36">
        <v>249444</v>
      </c>
      <c r="D211" s="37">
        <v>44739</v>
      </c>
      <c r="E211" s="36">
        <v>35</v>
      </c>
      <c r="F211" s="15" t="str">
        <f t="shared" si="3"/>
        <v>1214-249444-44739</v>
      </c>
    </row>
    <row r="212" spans="1:6" ht="14.25" customHeight="1" x14ac:dyDescent="0.25">
      <c r="A212" s="15" t="s">
        <v>2976</v>
      </c>
      <c r="B212" s="36">
        <v>1213</v>
      </c>
      <c r="C212" s="36">
        <v>249444</v>
      </c>
      <c r="D212" s="37">
        <v>44739</v>
      </c>
      <c r="E212" s="36">
        <v>34</v>
      </c>
      <c r="F212" s="15" t="str">
        <f t="shared" si="3"/>
        <v>1213-249444-44739</v>
      </c>
    </row>
    <row r="213" spans="1:6" ht="14.25" customHeight="1" x14ac:dyDescent="0.25">
      <c r="A213" s="15" t="s">
        <v>1250</v>
      </c>
      <c r="B213" s="36">
        <v>1205</v>
      </c>
      <c r="C213" s="36">
        <v>249444</v>
      </c>
      <c r="D213" s="37">
        <v>44739</v>
      </c>
      <c r="E213" s="36">
        <v>36</v>
      </c>
      <c r="F213" s="15" t="str">
        <f t="shared" si="3"/>
        <v>1205-249444-44739</v>
      </c>
    </row>
    <row r="214" spans="1:6" ht="14.25" customHeight="1" x14ac:dyDescent="0.25">
      <c r="A214" s="15" t="s">
        <v>286</v>
      </c>
      <c r="B214" s="36">
        <v>1201</v>
      </c>
      <c r="C214" s="36">
        <v>249444</v>
      </c>
      <c r="D214" s="37">
        <v>44739</v>
      </c>
      <c r="E214" s="36">
        <v>36</v>
      </c>
      <c r="F214" s="15" t="str">
        <f t="shared" si="3"/>
        <v>1201-249444-44739</v>
      </c>
    </row>
    <row r="215" spans="1:6" ht="14.25" customHeight="1" x14ac:dyDescent="0.25">
      <c r="A215" s="15" t="s">
        <v>2292</v>
      </c>
      <c r="B215" s="36">
        <v>1210</v>
      </c>
      <c r="C215" s="36">
        <v>234334</v>
      </c>
      <c r="D215" s="37">
        <v>44753</v>
      </c>
      <c r="E215" s="36">
        <v>30</v>
      </c>
      <c r="F215" s="15" t="str">
        <f t="shared" si="3"/>
        <v>1210-234334-44753</v>
      </c>
    </row>
    <row r="216" spans="1:6" ht="14.25" customHeight="1" x14ac:dyDescent="0.25">
      <c r="A216" s="15" t="s">
        <v>1911</v>
      </c>
      <c r="B216" s="36">
        <v>1208</v>
      </c>
      <c r="C216" s="36">
        <v>234334</v>
      </c>
      <c r="D216" s="37">
        <v>44753</v>
      </c>
      <c r="E216" s="36">
        <v>27</v>
      </c>
      <c r="F216" s="15" t="str">
        <f t="shared" si="3"/>
        <v>1208-234334-44753</v>
      </c>
    </row>
    <row r="217" spans="1:6" ht="14.25" customHeight="1" x14ac:dyDescent="0.25">
      <c r="A217" s="15" t="s">
        <v>762</v>
      </c>
      <c r="B217" s="36">
        <v>1203</v>
      </c>
      <c r="C217" s="36">
        <v>234334</v>
      </c>
      <c r="D217" s="37">
        <v>44753</v>
      </c>
      <c r="E217" s="36">
        <v>32</v>
      </c>
      <c r="F217" s="15" t="str">
        <f t="shared" si="3"/>
        <v>1203-234334-44753</v>
      </c>
    </row>
    <row r="218" spans="1:6" ht="14.25" customHeight="1" x14ac:dyDescent="0.25">
      <c r="A218" s="15" t="s">
        <v>521</v>
      </c>
      <c r="B218" s="36">
        <v>1202</v>
      </c>
      <c r="C218" s="36">
        <v>234334</v>
      </c>
      <c r="D218" s="37">
        <v>44753</v>
      </c>
      <c r="E218" s="36">
        <v>36</v>
      </c>
      <c r="F218" s="15" t="str">
        <f t="shared" si="3"/>
        <v>1202-234334-44753</v>
      </c>
    </row>
    <row r="219" spans="1:6" ht="14.25" customHeight="1" x14ac:dyDescent="0.25">
      <c r="A219" s="15" t="s">
        <v>3690</v>
      </c>
      <c r="B219" s="36">
        <v>1218</v>
      </c>
      <c r="C219" s="36">
        <v>234334</v>
      </c>
      <c r="D219" s="37">
        <v>44746</v>
      </c>
      <c r="E219" s="36">
        <v>26</v>
      </c>
      <c r="F219" s="15" t="str">
        <f t="shared" si="3"/>
        <v>1218-234334-44746</v>
      </c>
    </row>
    <row r="220" spans="1:6" ht="14.25" customHeight="1" x14ac:dyDescent="0.25">
      <c r="A220" s="15" t="s">
        <v>3212</v>
      </c>
      <c r="B220" s="36">
        <v>1214</v>
      </c>
      <c r="C220" s="36">
        <v>234334</v>
      </c>
      <c r="D220" s="37">
        <v>44746</v>
      </c>
      <c r="E220" s="36">
        <v>24</v>
      </c>
      <c r="F220" s="15" t="str">
        <f t="shared" si="3"/>
        <v>1214-234334-44746</v>
      </c>
    </row>
    <row r="221" spans="1:6" ht="14.25" customHeight="1" x14ac:dyDescent="0.25">
      <c r="A221" s="15" t="s">
        <v>2734</v>
      </c>
      <c r="B221" s="36">
        <v>1212</v>
      </c>
      <c r="C221" s="36">
        <v>234334</v>
      </c>
      <c r="D221" s="37">
        <v>44746</v>
      </c>
      <c r="E221" s="36">
        <v>24</v>
      </c>
      <c r="F221" s="15" t="str">
        <f t="shared" si="3"/>
        <v>1212-234334-44746</v>
      </c>
    </row>
    <row r="222" spans="1:6" ht="14.25" customHeight="1" x14ac:dyDescent="0.25">
      <c r="A222" s="15" t="s">
        <v>1003</v>
      </c>
      <c r="B222" s="36">
        <v>1204</v>
      </c>
      <c r="C222" s="36">
        <v>234334</v>
      </c>
      <c r="D222" s="37">
        <v>44746</v>
      </c>
      <c r="E222" s="36">
        <v>33</v>
      </c>
      <c r="F222" s="15" t="str">
        <f t="shared" si="3"/>
        <v>1204-234334-44746</v>
      </c>
    </row>
    <row r="223" spans="1:6" ht="14.25" customHeight="1" x14ac:dyDescent="0.25">
      <c r="A223" s="15" t="s">
        <v>279</v>
      </c>
      <c r="B223" s="36">
        <v>1201</v>
      </c>
      <c r="C223" s="36">
        <v>234334</v>
      </c>
      <c r="D223" s="37">
        <v>44746</v>
      </c>
      <c r="E223" s="36">
        <v>28</v>
      </c>
      <c r="F223" s="15" t="str">
        <f t="shared" si="3"/>
        <v>1201-234334-44746</v>
      </c>
    </row>
    <row r="224" spans="1:6" ht="14.25" customHeight="1" x14ac:dyDescent="0.25">
      <c r="A224" s="15" t="s">
        <v>4139</v>
      </c>
      <c r="B224" s="36">
        <v>1220</v>
      </c>
      <c r="C224" s="36">
        <v>234334</v>
      </c>
      <c r="D224" s="37">
        <v>44739</v>
      </c>
      <c r="E224" s="36">
        <v>37</v>
      </c>
      <c r="F224" s="15" t="str">
        <f t="shared" si="3"/>
        <v>1220-234334-44739</v>
      </c>
    </row>
    <row r="225" spans="1:6" ht="14.25" customHeight="1" x14ac:dyDescent="0.25">
      <c r="A225" s="15" t="s">
        <v>2968</v>
      </c>
      <c r="B225" s="36">
        <v>1213</v>
      </c>
      <c r="C225" s="36">
        <v>234334</v>
      </c>
      <c r="D225" s="37">
        <v>44739</v>
      </c>
      <c r="E225" s="36">
        <v>39</v>
      </c>
      <c r="F225" s="15" t="str">
        <f t="shared" si="3"/>
        <v>1213-234334-44739</v>
      </c>
    </row>
    <row r="226" spans="1:6" ht="14.25" customHeight="1" x14ac:dyDescent="0.25">
      <c r="A226" s="15" t="s">
        <v>1483</v>
      </c>
      <c r="B226" s="36">
        <v>1206</v>
      </c>
      <c r="C226" s="36">
        <v>234334</v>
      </c>
      <c r="D226" s="37">
        <v>44739</v>
      </c>
      <c r="E226" s="36">
        <v>32</v>
      </c>
      <c r="F226" s="15" t="str">
        <f t="shared" si="3"/>
        <v>1206-234334-44739</v>
      </c>
    </row>
    <row r="227" spans="1:6" ht="14.25" customHeight="1" x14ac:dyDescent="0.25">
      <c r="A227" s="15" t="s">
        <v>1108</v>
      </c>
      <c r="B227" s="36">
        <v>1205</v>
      </c>
      <c r="C227" s="36">
        <v>23393</v>
      </c>
      <c r="D227" s="37">
        <v>44753</v>
      </c>
      <c r="E227" s="36">
        <v>12</v>
      </c>
      <c r="F227" s="15" t="str">
        <f t="shared" si="3"/>
        <v>1205-23393-44753</v>
      </c>
    </row>
    <row r="228" spans="1:6" ht="14.25" customHeight="1" x14ac:dyDescent="0.25">
      <c r="A228" s="15" t="s">
        <v>625</v>
      </c>
      <c r="B228" s="36">
        <v>1203</v>
      </c>
      <c r="C228" s="36">
        <v>23393</v>
      </c>
      <c r="D228" s="37">
        <v>44753</v>
      </c>
      <c r="E228" s="36">
        <v>13</v>
      </c>
      <c r="F228" s="15" t="str">
        <f t="shared" si="3"/>
        <v>1203-23393-44753</v>
      </c>
    </row>
    <row r="229" spans="1:6" ht="14.25" customHeight="1" x14ac:dyDescent="0.25">
      <c r="A229" s="15" t="s">
        <v>3552</v>
      </c>
      <c r="B229" s="36">
        <v>1218</v>
      </c>
      <c r="C229" s="36">
        <v>23393</v>
      </c>
      <c r="D229" s="37">
        <v>44746</v>
      </c>
      <c r="E229" s="36">
        <v>32</v>
      </c>
      <c r="F229" s="15" t="str">
        <f t="shared" si="3"/>
        <v>1218-23393-44746</v>
      </c>
    </row>
    <row r="230" spans="1:6" ht="14.25" customHeight="1" x14ac:dyDescent="0.25">
      <c r="A230" s="15" t="s">
        <v>3317</v>
      </c>
      <c r="B230" s="36">
        <v>1216</v>
      </c>
      <c r="C230" s="36">
        <v>23393</v>
      </c>
      <c r="D230" s="37">
        <v>44746</v>
      </c>
      <c r="E230" s="36">
        <v>18</v>
      </c>
      <c r="F230" s="15" t="str">
        <f t="shared" si="3"/>
        <v>1216-23393-44746</v>
      </c>
    </row>
    <row r="231" spans="1:6" ht="14.25" customHeight="1" x14ac:dyDescent="0.25">
      <c r="A231" s="15" t="s">
        <v>2832</v>
      </c>
      <c r="B231" s="36">
        <v>1213</v>
      </c>
      <c r="C231" s="36">
        <v>23393</v>
      </c>
      <c r="D231" s="37">
        <v>44746</v>
      </c>
      <c r="E231" s="36">
        <v>22</v>
      </c>
      <c r="F231" s="15" t="str">
        <f t="shared" si="3"/>
        <v>1213-23393-44746</v>
      </c>
    </row>
    <row r="232" spans="1:6" ht="14.25" customHeight="1" x14ac:dyDescent="0.25">
      <c r="A232" s="15" t="s">
        <v>2638</v>
      </c>
      <c r="B232" s="36">
        <v>1212</v>
      </c>
      <c r="C232" s="36">
        <v>23393</v>
      </c>
      <c r="D232" s="37">
        <v>44746</v>
      </c>
      <c r="E232" s="36">
        <v>40</v>
      </c>
      <c r="F232" s="15" t="str">
        <f t="shared" si="3"/>
        <v>1212-23393-44746</v>
      </c>
    </row>
    <row r="233" spans="1:6" ht="14.25" customHeight="1" x14ac:dyDescent="0.25">
      <c r="A233" s="15" t="s">
        <v>2154</v>
      </c>
      <c r="B233" s="36">
        <v>1210</v>
      </c>
      <c r="C233" s="36">
        <v>23393</v>
      </c>
      <c r="D233" s="37">
        <v>44746</v>
      </c>
      <c r="E233" s="36">
        <v>490</v>
      </c>
      <c r="F233" s="15" t="str">
        <f t="shared" si="3"/>
        <v>1210-23393-44746</v>
      </c>
    </row>
    <row r="234" spans="1:6" ht="14.25" customHeight="1" x14ac:dyDescent="0.25">
      <c r="A234" s="15" t="s">
        <v>1830</v>
      </c>
      <c r="B234" s="36">
        <v>1208</v>
      </c>
      <c r="C234" s="36">
        <v>23393</v>
      </c>
      <c r="D234" s="37">
        <v>44746</v>
      </c>
      <c r="E234" s="36">
        <v>11</v>
      </c>
      <c r="F234" s="15" t="str">
        <f t="shared" si="3"/>
        <v>1208-23393-44746</v>
      </c>
    </row>
    <row r="235" spans="1:6" ht="14.25" customHeight="1" x14ac:dyDescent="0.25">
      <c r="A235" s="15" t="s">
        <v>143</v>
      </c>
      <c r="B235" s="36">
        <v>1201</v>
      </c>
      <c r="C235" s="36">
        <v>23393</v>
      </c>
      <c r="D235" s="37">
        <v>44746</v>
      </c>
      <c r="E235" s="36">
        <v>24</v>
      </c>
      <c r="F235" s="15" t="str">
        <f t="shared" si="3"/>
        <v>1201-23393-44746</v>
      </c>
    </row>
    <row r="236" spans="1:6" ht="14.25" customHeight="1" x14ac:dyDescent="0.25">
      <c r="A236" s="15" t="s">
        <v>3073</v>
      </c>
      <c r="B236" s="36">
        <v>1214</v>
      </c>
      <c r="C236" s="36">
        <v>23393</v>
      </c>
      <c r="D236" s="37">
        <v>44739</v>
      </c>
      <c r="E236" s="36">
        <v>11</v>
      </c>
      <c r="F236" s="15" t="str">
        <f t="shared" si="3"/>
        <v>1214-23393-44739</v>
      </c>
    </row>
    <row r="237" spans="1:6" ht="14.25" customHeight="1" x14ac:dyDescent="0.25">
      <c r="A237" s="15" t="s">
        <v>2396</v>
      </c>
      <c r="B237" s="36">
        <v>1211</v>
      </c>
      <c r="C237" s="36">
        <v>23393</v>
      </c>
      <c r="D237" s="37">
        <v>44739</v>
      </c>
      <c r="E237" s="36">
        <v>400</v>
      </c>
      <c r="F237" s="15" t="str">
        <f t="shared" si="3"/>
        <v>1211-23393-44739</v>
      </c>
    </row>
    <row r="238" spans="1:6" ht="14.25" customHeight="1" x14ac:dyDescent="0.25">
      <c r="A238" s="15" t="s">
        <v>1974</v>
      </c>
      <c r="B238" s="36">
        <v>1209</v>
      </c>
      <c r="C238" s="36">
        <v>23393</v>
      </c>
      <c r="D238" s="37">
        <v>44739</v>
      </c>
      <c r="E238" s="36">
        <v>35</v>
      </c>
      <c r="F238" s="15" t="str">
        <f t="shared" si="3"/>
        <v>1209-23393-44739</v>
      </c>
    </row>
    <row r="239" spans="1:6" ht="14.25" customHeight="1" x14ac:dyDescent="0.25">
      <c r="A239" s="15" t="s">
        <v>3205</v>
      </c>
      <c r="B239" s="36">
        <v>1214</v>
      </c>
      <c r="C239" s="36">
        <v>202577</v>
      </c>
      <c r="D239" s="37">
        <v>44753</v>
      </c>
      <c r="E239" s="36">
        <v>30</v>
      </c>
      <c r="F239" s="15" t="str">
        <f t="shared" si="3"/>
        <v>1214-202577-44753</v>
      </c>
    </row>
    <row r="240" spans="1:6" ht="14.25" customHeight="1" x14ac:dyDescent="0.25">
      <c r="A240" s="15" t="s">
        <v>2962</v>
      </c>
      <c r="B240" s="36">
        <v>1213</v>
      </c>
      <c r="C240" s="36">
        <v>202577</v>
      </c>
      <c r="D240" s="37">
        <v>44753</v>
      </c>
      <c r="E240" s="36">
        <v>35</v>
      </c>
      <c r="F240" s="15" t="str">
        <f t="shared" si="3"/>
        <v>1213-202577-44753</v>
      </c>
    </row>
    <row r="241" spans="1:6" ht="14.25" customHeight="1" x14ac:dyDescent="0.25">
      <c r="A241" s="15" t="s">
        <v>2527</v>
      </c>
      <c r="B241" s="36">
        <v>1211</v>
      </c>
      <c r="C241" s="36">
        <v>202577</v>
      </c>
      <c r="D241" s="37">
        <v>44753</v>
      </c>
      <c r="E241" s="36">
        <v>37</v>
      </c>
      <c r="F241" s="15" t="str">
        <f t="shared" si="3"/>
        <v>1211-202577-44753</v>
      </c>
    </row>
    <row r="242" spans="1:6" ht="14.25" customHeight="1" x14ac:dyDescent="0.25">
      <c r="A242" s="15" t="s">
        <v>1719</v>
      </c>
      <c r="B242" s="36">
        <v>1207</v>
      </c>
      <c r="C242" s="36">
        <v>202577</v>
      </c>
      <c r="D242" s="37">
        <v>44753</v>
      </c>
      <c r="E242" s="36">
        <v>36</v>
      </c>
      <c r="F242" s="15" t="str">
        <f t="shared" si="3"/>
        <v>1207-202577-44753</v>
      </c>
    </row>
    <row r="243" spans="1:6" ht="14.25" customHeight="1" x14ac:dyDescent="0.25">
      <c r="A243" s="15" t="s">
        <v>4132</v>
      </c>
      <c r="B243" s="36">
        <v>1220</v>
      </c>
      <c r="C243" s="36">
        <v>202577</v>
      </c>
      <c r="D243" s="37">
        <v>44746</v>
      </c>
      <c r="E243" s="36">
        <v>39</v>
      </c>
      <c r="F243" s="15" t="str">
        <f t="shared" si="3"/>
        <v>1220-202577-44746</v>
      </c>
    </row>
    <row r="244" spans="1:6" ht="14.25" customHeight="1" x14ac:dyDescent="0.25">
      <c r="A244" s="15" t="s">
        <v>3447</v>
      </c>
      <c r="B244" s="36">
        <v>1216</v>
      </c>
      <c r="C244" s="36">
        <v>202577</v>
      </c>
      <c r="D244" s="37">
        <v>44746</v>
      </c>
      <c r="E244" s="36">
        <v>35</v>
      </c>
      <c r="F244" s="15" t="str">
        <f t="shared" si="3"/>
        <v>1216-202577-44746</v>
      </c>
    </row>
    <row r="245" spans="1:6" ht="14.25" customHeight="1" x14ac:dyDescent="0.25">
      <c r="A245" s="15" t="s">
        <v>2726</v>
      </c>
      <c r="B245" s="36">
        <v>1212</v>
      </c>
      <c r="C245" s="36">
        <v>202577</v>
      </c>
      <c r="D245" s="37">
        <v>44746</v>
      </c>
      <c r="E245" s="36">
        <v>31</v>
      </c>
      <c r="F245" s="15" t="str">
        <f t="shared" si="3"/>
        <v>1212-202577-44746</v>
      </c>
    </row>
    <row r="246" spans="1:6" ht="14.25" customHeight="1" x14ac:dyDescent="0.25">
      <c r="A246" s="15" t="s">
        <v>1235</v>
      </c>
      <c r="B246" s="36">
        <v>1205</v>
      </c>
      <c r="C246" s="36">
        <v>202577</v>
      </c>
      <c r="D246" s="37">
        <v>44746</v>
      </c>
      <c r="E246" s="36">
        <v>40</v>
      </c>
      <c r="F246" s="15" t="str">
        <f t="shared" si="3"/>
        <v>1205-202577-44746</v>
      </c>
    </row>
    <row r="247" spans="1:6" ht="14.25" customHeight="1" x14ac:dyDescent="0.25">
      <c r="A247" s="15" t="s">
        <v>3897</v>
      </c>
      <c r="B247" s="36">
        <v>1219</v>
      </c>
      <c r="C247" s="36">
        <v>202577</v>
      </c>
      <c r="D247" s="37">
        <v>44739</v>
      </c>
      <c r="E247" s="36">
        <v>30</v>
      </c>
      <c r="F247" s="15" t="str">
        <f t="shared" si="3"/>
        <v>1219-202577-44739</v>
      </c>
    </row>
    <row r="248" spans="1:6" ht="14.25" customHeight="1" x14ac:dyDescent="0.25">
      <c r="A248" s="15" t="s">
        <v>2282</v>
      </c>
      <c r="B248" s="36">
        <v>1210</v>
      </c>
      <c r="C248" s="36">
        <v>202577</v>
      </c>
      <c r="D248" s="37">
        <v>44739</v>
      </c>
      <c r="E248" s="36">
        <v>27</v>
      </c>
      <c r="F248" s="15" t="str">
        <f t="shared" si="3"/>
        <v>1210-202577-44739</v>
      </c>
    </row>
    <row r="249" spans="1:6" ht="14.25" customHeight="1" x14ac:dyDescent="0.25">
      <c r="A249" s="15" t="s">
        <v>2063</v>
      </c>
      <c r="B249" s="36">
        <v>1209</v>
      </c>
      <c r="C249" s="36">
        <v>202577</v>
      </c>
      <c r="D249" s="37">
        <v>44739</v>
      </c>
      <c r="E249" s="36">
        <v>39</v>
      </c>
      <c r="F249" s="15" t="str">
        <f t="shared" si="3"/>
        <v>1209-202577-44739</v>
      </c>
    </row>
    <row r="250" spans="1:6" ht="14.25" customHeight="1" x14ac:dyDescent="0.25">
      <c r="A250" s="15" t="s">
        <v>994</v>
      </c>
      <c r="B250" s="36">
        <v>1204</v>
      </c>
      <c r="C250" s="36">
        <v>202577</v>
      </c>
      <c r="D250" s="37">
        <v>44739</v>
      </c>
      <c r="E250" s="36">
        <v>37</v>
      </c>
      <c r="F250" s="15" t="str">
        <f t="shared" si="3"/>
        <v>1204-202577-44739</v>
      </c>
    </row>
    <row r="251" spans="1:6" ht="14.25" customHeight="1" x14ac:dyDescent="0.25">
      <c r="A251" s="15" t="s">
        <v>511</v>
      </c>
      <c r="B251" s="36">
        <v>1202</v>
      </c>
      <c r="C251" s="36">
        <v>202577</v>
      </c>
      <c r="D251" s="37">
        <v>44739</v>
      </c>
      <c r="E251" s="36">
        <v>28</v>
      </c>
      <c r="F251" s="15" t="str">
        <f t="shared" si="3"/>
        <v>1202-202577-44739</v>
      </c>
    </row>
    <row r="252" spans="1:6" ht="14.25" customHeight="1" x14ac:dyDescent="0.25">
      <c r="A252" s="15" t="s">
        <v>3675</v>
      </c>
      <c r="B252" s="36">
        <v>1218</v>
      </c>
      <c r="C252" s="36">
        <v>189933</v>
      </c>
      <c r="D252" s="37">
        <v>44753</v>
      </c>
      <c r="E252" s="36">
        <v>22</v>
      </c>
      <c r="F252" s="15" t="str">
        <f t="shared" si="3"/>
        <v>1218-189933-44753</v>
      </c>
    </row>
    <row r="253" spans="1:6" ht="14.25" customHeight="1" x14ac:dyDescent="0.25">
      <c r="A253" s="15" t="s">
        <v>2954</v>
      </c>
      <c r="B253" s="36">
        <v>1213</v>
      </c>
      <c r="C253" s="36">
        <v>189933</v>
      </c>
      <c r="D253" s="37">
        <v>44753</v>
      </c>
      <c r="E253" s="36">
        <v>28</v>
      </c>
      <c r="F253" s="15" t="str">
        <f t="shared" si="3"/>
        <v>1213-189933-44753</v>
      </c>
    </row>
    <row r="254" spans="1:6" ht="14.25" customHeight="1" x14ac:dyDescent="0.25">
      <c r="A254" s="15" t="s">
        <v>2276</v>
      </c>
      <c r="B254" s="36">
        <v>1210</v>
      </c>
      <c r="C254" s="36">
        <v>189933</v>
      </c>
      <c r="D254" s="37">
        <v>44753</v>
      </c>
      <c r="E254" s="36">
        <v>17</v>
      </c>
      <c r="F254" s="15" t="str">
        <f t="shared" si="3"/>
        <v>1210-189933-44753</v>
      </c>
    </row>
    <row r="255" spans="1:6" ht="14.25" customHeight="1" x14ac:dyDescent="0.25">
      <c r="A255" s="15" t="s">
        <v>1711</v>
      </c>
      <c r="B255" s="36">
        <v>1207</v>
      </c>
      <c r="C255" s="36">
        <v>189933</v>
      </c>
      <c r="D255" s="37">
        <v>44753</v>
      </c>
      <c r="E255" s="36">
        <v>15</v>
      </c>
      <c r="F255" s="15" t="str">
        <f t="shared" si="3"/>
        <v>1207-189933-44753</v>
      </c>
    </row>
    <row r="256" spans="1:6" ht="14.25" customHeight="1" x14ac:dyDescent="0.25">
      <c r="A256" s="15" t="s">
        <v>4124</v>
      </c>
      <c r="B256" s="36">
        <v>1220</v>
      </c>
      <c r="C256" s="36">
        <v>189933</v>
      </c>
      <c r="D256" s="37">
        <v>44746</v>
      </c>
      <c r="E256" s="36">
        <v>39</v>
      </c>
      <c r="F256" s="15" t="str">
        <f t="shared" si="3"/>
        <v>1220-189933-44746</v>
      </c>
    </row>
    <row r="257" spans="1:6" ht="14.25" customHeight="1" x14ac:dyDescent="0.25">
      <c r="A257" s="15" t="s">
        <v>3439</v>
      </c>
      <c r="B257" s="36">
        <v>1216</v>
      </c>
      <c r="C257" s="36">
        <v>189933</v>
      </c>
      <c r="D257" s="37">
        <v>44746</v>
      </c>
      <c r="E257" s="36">
        <v>40</v>
      </c>
      <c r="F257" s="15" t="str">
        <f t="shared" si="3"/>
        <v>1216-189933-44746</v>
      </c>
    </row>
    <row r="258" spans="1:6" ht="14.25" customHeight="1" x14ac:dyDescent="0.25">
      <c r="A258" s="15" t="s">
        <v>3196</v>
      </c>
      <c r="B258" s="36">
        <v>1214</v>
      </c>
      <c r="C258" s="36">
        <v>189933</v>
      </c>
      <c r="D258" s="37">
        <v>44746</v>
      </c>
      <c r="E258" s="36">
        <v>35</v>
      </c>
      <c r="F258" s="15" t="str">
        <f t="shared" si="3"/>
        <v>1214-189933-44746</v>
      </c>
    </row>
    <row r="259" spans="1:6" ht="14.25" customHeight="1" x14ac:dyDescent="0.25">
      <c r="A259" s="15" t="s">
        <v>2056</v>
      </c>
      <c r="B259" s="36">
        <v>1209</v>
      </c>
      <c r="C259" s="36">
        <v>189933</v>
      </c>
      <c r="D259" s="37">
        <v>44746</v>
      </c>
      <c r="E259" s="36">
        <v>36</v>
      </c>
      <c r="F259" s="15" t="str">
        <f t="shared" ref="F259:F322" si="4">B259&amp;"-"&amp;C259&amp;"-"&amp;INT(D259)</f>
        <v>1209-189933-44746</v>
      </c>
    </row>
    <row r="260" spans="1:6" ht="14.25" customHeight="1" x14ac:dyDescent="0.25">
      <c r="A260" s="15" t="s">
        <v>504</v>
      </c>
      <c r="B260" s="36">
        <v>1202</v>
      </c>
      <c r="C260" s="36">
        <v>189933</v>
      </c>
      <c r="D260" s="37">
        <v>44746</v>
      </c>
      <c r="E260" s="36">
        <v>38</v>
      </c>
      <c r="F260" s="15" t="str">
        <f t="shared" si="4"/>
        <v>1202-189933-44746</v>
      </c>
    </row>
    <row r="261" spans="1:6" ht="14.25" customHeight="1" x14ac:dyDescent="0.25">
      <c r="A261" s="15" t="s">
        <v>2517</v>
      </c>
      <c r="B261" s="36">
        <v>1211</v>
      </c>
      <c r="C261" s="36">
        <v>189933</v>
      </c>
      <c r="D261" s="37">
        <v>44739</v>
      </c>
      <c r="E261" s="36">
        <v>26</v>
      </c>
      <c r="F261" s="15" t="str">
        <f t="shared" si="4"/>
        <v>1211-189933-44739</v>
      </c>
    </row>
    <row r="262" spans="1:6" ht="14.25" customHeight="1" x14ac:dyDescent="0.25">
      <c r="A262" s="15" t="s">
        <v>1893</v>
      </c>
      <c r="B262" s="36">
        <v>1208</v>
      </c>
      <c r="C262" s="36">
        <v>189933</v>
      </c>
      <c r="D262" s="37">
        <v>44739</v>
      </c>
      <c r="E262" s="36">
        <v>31</v>
      </c>
      <c r="F262" s="15" t="str">
        <f t="shared" si="4"/>
        <v>1208-189933-44739</v>
      </c>
    </row>
    <row r="263" spans="1:6" ht="14.25" customHeight="1" x14ac:dyDescent="0.25">
      <c r="A263" s="15" t="s">
        <v>2511</v>
      </c>
      <c r="B263" s="36">
        <v>1211</v>
      </c>
      <c r="C263" s="36">
        <v>149779</v>
      </c>
      <c r="D263" s="37">
        <v>44753</v>
      </c>
      <c r="E263" s="36">
        <v>36</v>
      </c>
      <c r="F263" s="15" t="str">
        <f t="shared" si="4"/>
        <v>1211-149779-44753</v>
      </c>
    </row>
    <row r="264" spans="1:6" ht="14.25" customHeight="1" x14ac:dyDescent="0.25">
      <c r="A264" s="15" t="s">
        <v>1703</v>
      </c>
      <c r="B264" s="36">
        <v>1207</v>
      </c>
      <c r="C264" s="36">
        <v>149779</v>
      </c>
      <c r="D264" s="37">
        <v>44753</v>
      </c>
      <c r="E264" s="36">
        <v>40</v>
      </c>
      <c r="F264" s="15" t="str">
        <f t="shared" si="4"/>
        <v>1207-149779-44753</v>
      </c>
    </row>
    <row r="265" spans="1:6" ht="14.25" customHeight="1" x14ac:dyDescent="0.25">
      <c r="A265" s="15" t="s">
        <v>738</v>
      </c>
      <c r="B265" s="36">
        <v>1203</v>
      </c>
      <c r="C265" s="36">
        <v>149779</v>
      </c>
      <c r="D265" s="37">
        <v>44753</v>
      </c>
      <c r="E265" s="36">
        <v>40</v>
      </c>
      <c r="F265" s="15" t="str">
        <f t="shared" si="4"/>
        <v>1203-149779-44753</v>
      </c>
    </row>
    <row r="266" spans="1:6" ht="14.25" customHeight="1" x14ac:dyDescent="0.25">
      <c r="A266" s="15" t="s">
        <v>3188</v>
      </c>
      <c r="B266" s="36">
        <v>1214</v>
      </c>
      <c r="C266" s="36">
        <v>149779</v>
      </c>
      <c r="D266" s="37">
        <v>44746</v>
      </c>
      <c r="E266" s="36">
        <v>35</v>
      </c>
      <c r="F266" s="15" t="str">
        <f t="shared" si="4"/>
        <v>1214-149779-44746</v>
      </c>
    </row>
    <row r="267" spans="1:6" ht="14.25" customHeight="1" x14ac:dyDescent="0.25">
      <c r="A267" s="15" t="s">
        <v>2267</v>
      </c>
      <c r="B267" s="36">
        <v>1210</v>
      </c>
      <c r="C267" s="36">
        <v>149779</v>
      </c>
      <c r="D267" s="37">
        <v>44746</v>
      </c>
      <c r="E267" s="36">
        <v>32</v>
      </c>
      <c r="F267" s="15" t="str">
        <f t="shared" si="4"/>
        <v>1210-149779-44746</v>
      </c>
    </row>
    <row r="268" spans="1:6" ht="14.25" customHeight="1" x14ac:dyDescent="0.25">
      <c r="A268" s="15" t="s">
        <v>1886</v>
      </c>
      <c r="B268" s="36">
        <v>1208</v>
      </c>
      <c r="C268" s="36">
        <v>149779</v>
      </c>
      <c r="D268" s="37">
        <v>44746</v>
      </c>
      <c r="E268" s="36">
        <v>28</v>
      </c>
      <c r="F268" s="15" t="str">
        <f t="shared" si="4"/>
        <v>1208-149779-44746</v>
      </c>
    </row>
    <row r="269" spans="1:6" ht="14.25" customHeight="1" x14ac:dyDescent="0.25">
      <c r="A269" s="15" t="s">
        <v>1460</v>
      </c>
      <c r="B269" s="36">
        <v>1206</v>
      </c>
      <c r="C269" s="36">
        <v>149779</v>
      </c>
      <c r="D269" s="37">
        <v>44746</v>
      </c>
      <c r="E269" s="36">
        <v>32</v>
      </c>
      <c r="F269" s="15" t="str">
        <f t="shared" si="4"/>
        <v>1206-149779-44746</v>
      </c>
    </row>
    <row r="270" spans="1:6" ht="14.25" customHeight="1" x14ac:dyDescent="0.25">
      <c r="A270" s="15" t="s">
        <v>496</v>
      </c>
      <c r="B270" s="36">
        <v>1202</v>
      </c>
      <c r="C270" s="36">
        <v>149779</v>
      </c>
      <c r="D270" s="37">
        <v>44746</v>
      </c>
      <c r="E270" s="36">
        <v>39</v>
      </c>
      <c r="F270" s="15" t="str">
        <f t="shared" si="4"/>
        <v>1202-149779-44746</v>
      </c>
    </row>
    <row r="271" spans="1:6" ht="14.25" customHeight="1" x14ac:dyDescent="0.25">
      <c r="A271" s="15" t="s">
        <v>4115</v>
      </c>
      <c r="B271" s="36">
        <v>1220</v>
      </c>
      <c r="C271" s="36">
        <v>149779</v>
      </c>
      <c r="D271" s="37">
        <v>44739</v>
      </c>
      <c r="E271" s="36">
        <v>31</v>
      </c>
      <c r="F271" s="15" t="str">
        <f t="shared" si="4"/>
        <v>1220-149779-44739</v>
      </c>
    </row>
    <row r="272" spans="1:6" ht="14.25" customHeight="1" x14ac:dyDescent="0.25">
      <c r="A272" s="15" t="s">
        <v>3881</v>
      </c>
      <c r="B272" s="36">
        <v>1219</v>
      </c>
      <c r="C272" s="36">
        <v>149779</v>
      </c>
      <c r="D272" s="37">
        <v>44739</v>
      </c>
      <c r="E272" s="36">
        <v>38</v>
      </c>
      <c r="F272" s="15" t="str">
        <f t="shared" si="4"/>
        <v>1219-149779-44739</v>
      </c>
    </row>
    <row r="273" spans="1:6" ht="14.25" customHeight="1" x14ac:dyDescent="0.25">
      <c r="A273" s="15" t="s">
        <v>3430</v>
      </c>
      <c r="B273" s="36">
        <v>1216</v>
      </c>
      <c r="C273" s="36">
        <v>149779</v>
      </c>
      <c r="D273" s="37">
        <v>44739</v>
      </c>
      <c r="E273" s="36">
        <v>32</v>
      </c>
      <c r="F273" s="15" t="str">
        <f t="shared" si="4"/>
        <v>1216-149779-44739</v>
      </c>
    </row>
    <row r="274" spans="1:6" ht="14.25" customHeight="1" x14ac:dyDescent="0.25">
      <c r="A274" s="15" t="s">
        <v>2944</v>
      </c>
      <c r="B274" s="36">
        <v>1213</v>
      </c>
      <c r="C274" s="36">
        <v>149779</v>
      </c>
      <c r="D274" s="37">
        <v>44739</v>
      </c>
      <c r="E274" s="36">
        <v>35</v>
      </c>
      <c r="F274" s="15" t="str">
        <f t="shared" si="4"/>
        <v>1213-149779-44739</v>
      </c>
    </row>
    <row r="275" spans="1:6" ht="14.25" customHeight="1" x14ac:dyDescent="0.25">
      <c r="A275" s="15" t="s">
        <v>978</v>
      </c>
      <c r="B275" s="36">
        <v>1204</v>
      </c>
      <c r="C275" s="36">
        <v>149779</v>
      </c>
      <c r="D275" s="37">
        <v>44739</v>
      </c>
      <c r="E275" s="36">
        <v>27</v>
      </c>
      <c r="F275" s="15" t="str">
        <f t="shared" si="4"/>
        <v>1204-149779-44739</v>
      </c>
    </row>
    <row r="276" spans="1:6" ht="14.25" customHeight="1" x14ac:dyDescent="0.25">
      <c r="A276" s="15" t="s">
        <v>3181</v>
      </c>
      <c r="B276" s="36">
        <v>1214</v>
      </c>
      <c r="C276" s="36">
        <v>149729</v>
      </c>
      <c r="D276" s="37">
        <v>44753</v>
      </c>
      <c r="E276" s="36">
        <v>27</v>
      </c>
      <c r="F276" s="15" t="str">
        <f t="shared" si="4"/>
        <v>1214-149729-44753</v>
      </c>
    </row>
    <row r="277" spans="1:6" ht="14.25" customHeight="1" x14ac:dyDescent="0.25">
      <c r="A277" s="15" t="s">
        <v>2711</v>
      </c>
      <c r="B277" s="36">
        <v>1212</v>
      </c>
      <c r="C277" s="36">
        <v>149729</v>
      </c>
      <c r="D277" s="37">
        <v>44753</v>
      </c>
      <c r="E277" s="36">
        <v>32</v>
      </c>
      <c r="F277" s="15" t="str">
        <f t="shared" si="4"/>
        <v>1212-149729-44753</v>
      </c>
    </row>
    <row r="278" spans="1:6" ht="14.25" customHeight="1" x14ac:dyDescent="0.25">
      <c r="A278" s="15" t="s">
        <v>2503</v>
      </c>
      <c r="B278" s="36">
        <v>1211</v>
      </c>
      <c r="C278" s="36">
        <v>149729</v>
      </c>
      <c r="D278" s="37">
        <v>44753</v>
      </c>
      <c r="E278" s="36">
        <v>29</v>
      </c>
      <c r="F278" s="15" t="str">
        <f t="shared" si="4"/>
        <v>1211-149729-44753</v>
      </c>
    </row>
    <row r="279" spans="1:6" ht="14.25" customHeight="1" x14ac:dyDescent="0.25">
      <c r="A279" s="15" t="s">
        <v>2259</v>
      </c>
      <c r="B279" s="36">
        <v>1210</v>
      </c>
      <c r="C279" s="36">
        <v>149729</v>
      </c>
      <c r="D279" s="37">
        <v>44746</v>
      </c>
      <c r="E279" s="36">
        <v>24</v>
      </c>
      <c r="F279" s="15" t="str">
        <f t="shared" si="4"/>
        <v>1210-149729-44746</v>
      </c>
    </row>
    <row r="280" spans="1:6" ht="14.25" customHeight="1" x14ac:dyDescent="0.25">
      <c r="A280" s="15" t="s">
        <v>4107</v>
      </c>
      <c r="B280" s="36">
        <v>1220</v>
      </c>
      <c r="C280" s="36">
        <v>149729</v>
      </c>
      <c r="D280" s="37">
        <v>44739</v>
      </c>
      <c r="E280" s="36">
        <v>25</v>
      </c>
      <c r="F280" s="15" t="str">
        <f t="shared" si="4"/>
        <v>1220-149729-44739</v>
      </c>
    </row>
    <row r="281" spans="1:6" ht="14.25" customHeight="1" x14ac:dyDescent="0.25">
      <c r="A281" s="15" t="s">
        <v>3657</v>
      </c>
      <c r="B281" s="36">
        <v>1218</v>
      </c>
      <c r="C281" s="36">
        <v>149729</v>
      </c>
      <c r="D281" s="37">
        <v>44739</v>
      </c>
      <c r="E281" s="36">
        <v>34</v>
      </c>
      <c r="F281" s="15" t="str">
        <f t="shared" si="4"/>
        <v>1218-149729-44739</v>
      </c>
    </row>
    <row r="282" spans="1:6" ht="14.25" customHeight="1" x14ac:dyDescent="0.25">
      <c r="A282" s="15" t="s">
        <v>3422</v>
      </c>
      <c r="B282" s="36">
        <v>1216</v>
      </c>
      <c r="C282" s="36">
        <v>149729</v>
      </c>
      <c r="D282" s="37">
        <v>44739</v>
      </c>
      <c r="E282" s="36">
        <v>40</v>
      </c>
      <c r="F282" s="15" t="str">
        <f t="shared" si="4"/>
        <v>1216-149729-44739</v>
      </c>
    </row>
    <row r="283" spans="1:6" ht="14.25" customHeight="1" x14ac:dyDescent="0.25">
      <c r="A283" s="15" t="s">
        <v>1451</v>
      </c>
      <c r="B283" s="36">
        <v>1206</v>
      </c>
      <c r="C283" s="36">
        <v>149729</v>
      </c>
      <c r="D283" s="37">
        <v>44739</v>
      </c>
      <c r="E283" s="36">
        <v>24</v>
      </c>
      <c r="F283" s="15" t="str">
        <f t="shared" si="4"/>
        <v>1206-149729-44739</v>
      </c>
    </row>
    <row r="284" spans="1:6" ht="14.25" customHeight="1" x14ac:dyDescent="0.25">
      <c r="A284" s="15" t="s">
        <v>1210</v>
      </c>
      <c r="B284" s="36">
        <v>1205</v>
      </c>
      <c r="C284" s="36">
        <v>149729</v>
      </c>
      <c r="D284" s="37">
        <v>44739</v>
      </c>
      <c r="E284" s="36">
        <v>34</v>
      </c>
      <c r="F284" s="15" t="str">
        <f t="shared" si="4"/>
        <v>1205-149729-44739</v>
      </c>
    </row>
    <row r="285" spans="1:6" ht="14.25" customHeight="1" x14ac:dyDescent="0.25">
      <c r="A285" s="15" t="s">
        <v>970</v>
      </c>
      <c r="B285" s="36">
        <v>1204</v>
      </c>
      <c r="C285" s="36">
        <v>149729</v>
      </c>
      <c r="D285" s="37">
        <v>44739</v>
      </c>
      <c r="E285" s="36">
        <v>33</v>
      </c>
      <c r="F285" s="15" t="str">
        <f t="shared" si="4"/>
        <v>1204-149729-44739</v>
      </c>
    </row>
    <row r="286" spans="1:6" ht="14.25" customHeight="1" x14ac:dyDescent="0.25">
      <c r="A286" s="15" t="s">
        <v>487</v>
      </c>
      <c r="B286" s="36">
        <v>1202</v>
      </c>
      <c r="C286" s="36">
        <v>149729</v>
      </c>
      <c r="D286" s="37">
        <v>44739</v>
      </c>
      <c r="E286" s="36">
        <v>28</v>
      </c>
      <c r="F286" s="15" t="str">
        <f t="shared" si="4"/>
        <v>1202-149729-44739</v>
      </c>
    </row>
    <row r="287" spans="1:6" ht="14.25" customHeight="1" x14ac:dyDescent="0.25">
      <c r="A287" s="15" t="s">
        <v>246</v>
      </c>
      <c r="B287" s="36">
        <v>1201</v>
      </c>
      <c r="C287" s="36">
        <v>149729</v>
      </c>
      <c r="D287" s="37">
        <v>44739</v>
      </c>
      <c r="E287" s="36">
        <v>25</v>
      </c>
      <c r="F287" s="15" t="str">
        <f t="shared" si="4"/>
        <v>1201-149729-44739</v>
      </c>
    </row>
    <row r="288" spans="1:6" ht="14.25" customHeight="1" x14ac:dyDescent="0.25">
      <c r="A288" s="15" t="s">
        <v>4101</v>
      </c>
      <c r="B288" s="36">
        <v>1220</v>
      </c>
      <c r="C288" s="36">
        <v>142194</v>
      </c>
      <c r="D288" s="37">
        <v>44753</v>
      </c>
      <c r="E288" s="36">
        <v>39</v>
      </c>
      <c r="F288" s="15" t="str">
        <f t="shared" si="4"/>
        <v>1220-142194-44753</v>
      </c>
    </row>
    <row r="289" spans="1:6" ht="14.25" customHeight="1" x14ac:dyDescent="0.25">
      <c r="A289" s="15" t="s">
        <v>2495</v>
      </c>
      <c r="B289" s="36">
        <v>1211</v>
      </c>
      <c r="C289" s="36">
        <v>142194</v>
      </c>
      <c r="D289" s="37">
        <v>44753</v>
      </c>
      <c r="E289" s="36">
        <v>33</v>
      </c>
      <c r="F289" s="15" t="str">
        <f t="shared" si="4"/>
        <v>1211-142194-44753</v>
      </c>
    </row>
    <row r="290" spans="1:6" ht="14.25" customHeight="1" x14ac:dyDescent="0.25">
      <c r="A290" s="15" t="s">
        <v>2049</v>
      </c>
      <c r="B290" s="36">
        <v>1209</v>
      </c>
      <c r="C290" s="36">
        <v>142194</v>
      </c>
      <c r="D290" s="37">
        <v>44753</v>
      </c>
      <c r="E290" s="36">
        <v>38</v>
      </c>
      <c r="F290" s="15" t="str">
        <f t="shared" si="4"/>
        <v>1209-142194-44753</v>
      </c>
    </row>
    <row r="291" spans="1:6" ht="14.25" customHeight="1" x14ac:dyDescent="0.25">
      <c r="A291" s="15" t="s">
        <v>722</v>
      </c>
      <c r="B291" s="36">
        <v>1203</v>
      </c>
      <c r="C291" s="36">
        <v>142194</v>
      </c>
      <c r="D291" s="37">
        <v>44753</v>
      </c>
      <c r="E291" s="36">
        <v>39</v>
      </c>
      <c r="F291" s="15" t="str">
        <f t="shared" si="4"/>
        <v>1203-142194-44753</v>
      </c>
    </row>
    <row r="292" spans="1:6" ht="14.25" customHeight="1" x14ac:dyDescent="0.25">
      <c r="A292" s="15" t="s">
        <v>481</v>
      </c>
      <c r="B292" s="36">
        <v>1202</v>
      </c>
      <c r="C292" s="36">
        <v>142194</v>
      </c>
      <c r="D292" s="37">
        <v>44753</v>
      </c>
      <c r="E292" s="36">
        <v>18</v>
      </c>
      <c r="F292" s="15" t="str">
        <f t="shared" si="4"/>
        <v>1202-142194-44753</v>
      </c>
    </row>
    <row r="293" spans="1:6" ht="14.25" customHeight="1" x14ac:dyDescent="0.25">
      <c r="A293" s="15" t="s">
        <v>2929</v>
      </c>
      <c r="B293" s="36">
        <v>1213</v>
      </c>
      <c r="C293" s="36">
        <v>142194</v>
      </c>
      <c r="D293" s="37">
        <v>44746</v>
      </c>
      <c r="E293" s="36">
        <v>35</v>
      </c>
      <c r="F293" s="15" t="str">
        <f t="shared" si="4"/>
        <v>1213-142194-44746</v>
      </c>
    </row>
    <row r="294" spans="1:6" ht="14.25" customHeight="1" x14ac:dyDescent="0.25">
      <c r="A294" s="15" t="s">
        <v>2702</v>
      </c>
      <c r="B294" s="36">
        <v>1212</v>
      </c>
      <c r="C294" s="36">
        <v>142194</v>
      </c>
      <c r="D294" s="37">
        <v>44746</v>
      </c>
      <c r="E294" s="36">
        <v>37</v>
      </c>
      <c r="F294" s="15" t="str">
        <f t="shared" si="4"/>
        <v>1212-142194-44746</v>
      </c>
    </row>
    <row r="295" spans="1:6" ht="14.25" customHeight="1" x14ac:dyDescent="0.25">
      <c r="A295" s="15" t="s">
        <v>1203</v>
      </c>
      <c r="B295" s="36">
        <v>1205</v>
      </c>
      <c r="C295" s="36">
        <v>142194</v>
      </c>
      <c r="D295" s="37">
        <v>44746</v>
      </c>
      <c r="E295" s="36">
        <v>40</v>
      </c>
      <c r="F295" s="15" t="str">
        <f t="shared" si="4"/>
        <v>1205-142194-44746</v>
      </c>
    </row>
    <row r="296" spans="1:6" ht="14.25" customHeight="1" x14ac:dyDescent="0.25">
      <c r="A296" s="15" t="s">
        <v>963</v>
      </c>
      <c r="B296" s="36">
        <v>1204</v>
      </c>
      <c r="C296" s="36">
        <v>142194</v>
      </c>
      <c r="D296" s="37">
        <v>44746</v>
      </c>
      <c r="E296" s="36">
        <v>29</v>
      </c>
      <c r="F296" s="15" t="str">
        <f t="shared" si="4"/>
        <v>1204-142194-44746</v>
      </c>
    </row>
    <row r="297" spans="1:6" ht="14.25" customHeight="1" x14ac:dyDescent="0.25">
      <c r="A297" s="15" t="s">
        <v>3649</v>
      </c>
      <c r="B297" s="36">
        <v>1218</v>
      </c>
      <c r="C297" s="36">
        <v>142194</v>
      </c>
      <c r="D297" s="37">
        <v>44739</v>
      </c>
      <c r="E297" s="36">
        <v>37</v>
      </c>
      <c r="F297" s="15" t="str">
        <f t="shared" si="4"/>
        <v>1218-142194-44739</v>
      </c>
    </row>
    <row r="298" spans="1:6" ht="14.25" customHeight="1" x14ac:dyDescent="0.25">
      <c r="A298" s="15" t="s">
        <v>3414</v>
      </c>
      <c r="B298" s="36">
        <v>1216</v>
      </c>
      <c r="C298" s="36">
        <v>142194</v>
      </c>
      <c r="D298" s="37">
        <v>44739</v>
      </c>
      <c r="E298" s="36">
        <v>21</v>
      </c>
      <c r="F298" s="15" t="str">
        <f t="shared" si="4"/>
        <v>1216-142194-44739</v>
      </c>
    </row>
    <row r="299" spans="1:6" ht="14.25" customHeight="1" x14ac:dyDescent="0.25">
      <c r="A299" s="15" t="s">
        <v>2250</v>
      </c>
      <c r="B299" s="36">
        <v>1210</v>
      </c>
      <c r="C299" s="36">
        <v>142194</v>
      </c>
      <c r="D299" s="37">
        <v>44739</v>
      </c>
      <c r="E299" s="36">
        <v>18</v>
      </c>
      <c r="F299" s="15" t="str">
        <f t="shared" si="4"/>
        <v>1210-142194-44739</v>
      </c>
    </row>
    <row r="300" spans="1:6" ht="14.25" customHeight="1" x14ac:dyDescent="0.25">
      <c r="A300" s="15" t="s">
        <v>1877</v>
      </c>
      <c r="B300" s="36">
        <v>1208</v>
      </c>
      <c r="C300" s="36">
        <v>142194</v>
      </c>
      <c r="D300" s="37">
        <v>44739</v>
      </c>
      <c r="E300" s="36">
        <v>36</v>
      </c>
      <c r="F300" s="15" t="str">
        <f t="shared" si="4"/>
        <v>1208-142194-44739</v>
      </c>
    </row>
    <row r="301" spans="1:6" ht="14.25" customHeight="1" x14ac:dyDescent="0.25">
      <c r="A301" s="15" t="s">
        <v>1685</v>
      </c>
      <c r="B301" s="36">
        <v>1207</v>
      </c>
      <c r="C301" s="36">
        <v>142194</v>
      </c>
      <c r="D301" s="37">
        <v>44739</v>
      </c>
      <c r="E301" s="36">
        <v>15</v>
      </c>
      <c r="F301" s="15" t="str">
        <f t="shared" si="4"/>
        <v>1207-142194-44739</v>
      </c>
    </row>
    <row r="302" spans="1:6" ht="14.25" customHeight="1" x14ac:dyDescent="0.25">
      <c r="A302" s="15" t="s">
        <v>4093</v>
      </c>
      <c r="B302" s="36">
        <v>1220</v>
      </c>
      <c r="C302" s="36">
        <v>141967</v>
      </c>
      <c r="D302" s="37">
        <v>44753</v>
      </c>
      <c r="E302" s="36">
        <v>33</v>
      </c>
      <c r="F302" s="15" t="str">
        <f t="shared" si="4"/>
        <v>1220-141967-44753</v>
      </c>
    </row>
    <row r="303" spans="1:6" ht="14.25" customHeight="1" x14ac:dyDescent="0.25">
      <c r="A303" s="15" t="s">
        <v>2922</v>
      </c>
      <c r="B303" s="36">
        <v>1213</v>
      </c>
      <c r="C303" s="36">
        <v>141967</v>
      </c>
      <c r="D303" s="37">
        <v>44753</v>
      </c>
      <c r="E303" s="36">
        <v>37</v>
      </c>
      <c r="F303" s="15" t="str">
        <f t="shared" si="4"/>
        <v>1213-141967-44753</v>
      </c>
    </row>
    <row r="304" spans="1:6" ht="14.25" customHeight="1" x14ac:dyDescent="0.25">
      <c r="A304" s="15" t="s">
        <v>2487</v>
      </c>
      <c r="B304" s="36">
        <v>1211</v>
      </c>
      <c r="C304" s="36">
        <v>141967</v>
      </c>
      <c r="D304" s="37">
        <v>44753</v>
      </c>
      <c r="E304" s="36">
        <v>30</v>
      </c>
      <c r="F304" s="15" t="str">
        <f t="shared" si="4"/>
        <v>1211-141967-44753</v>
      </c>
    </row>
    <row r="305" spans="1:6" ht="14.25" customHeight="1" x14ac:dyDescent="0.25">
      <c r="A305" s="15" t="s">
        <v>2041</v>
      </c>
      <c r="B305" s="36">
        <v>1209</v>
      </c>
      <c r="C305" s="36">
        <v>141967</v>
      </c>
      <c r="D305" s="37">
        <v>44753</v>
      </c>
      <c r="E305" s="36">
        <v>25</v>
      </c>
      <c r="F305" s="15" t="str">
        <f t="shared" si="4"/>
        <v>1209-141967-44753</v>
      </c>
    </row>
    <row r="306" spans="1:6" ht="14.25" customHeight="1" x14ac:dyDescent="0.25">
      <c r="A306" s="15" t="s">
        <v>1437</v>
      </c>
      <c r="B306" s="36">
        <v>1206</v>
      </c>
      <c r="C306" s="36">
        <v>141967</v>
      </c>
      <c r="D306" s="37">
        <v>44753</v>
      </c>
      <c r="E306" s="36">
        <v>28</v>
      </c>
      <c r="F306" s="15" t="str">
        <f t="shared" si="4"/>
        <v>1206-141967-44753</v>
      </c>
    </row>
    <row r="307" spans="1:6" ht="14.25" customHeight="1" x14ac:dyDescent="0.25">
      <c r="A307" s="15" t="s">
        <v>714</v>
      </c>
      <c r="B307" s="36">
        <v>1203</v>
      </c>
      <c r="C307" s="36">
        <v>141967</v>
      </c>
      <c r="D307" s="37">
        <v>44753</v>
      </c>
      <c r="E307" s="36">
        <v>25</v>
      </c>
      <c r="F307" s="15" t="str">
        <f t="shared" si="4"/>
        <v>1203-141967-44753</v>
      </c>
    </row>
    <row r="308" spans="1:6" ht="14.25" customHeight="1" x14ac:dyDescent="0.25">
      <c r="A308" s="15" t="s">
        <v>3866</v>
      </c>
      <c r="B308" s="36">
        <v>1219</v>
      </c>
      <c r="C308" s="36">
        <v>141967</v>
      </c>
      <c r="D308" s="37">
        <v>44746</v>
      </c>
      <c r="E308" s="36">
        <v>29</v>
      </c>
      <c r="F308" s="15" t="str">
        <f t="shared" si="4"/>
        <v>1219-141967-44746</v>
      </c>
    </row>
    <row r="309" spans="1:6" ht="14.25" customHeight="1" x14ac:dyDescent="0.25">
      <c r="A309" s="15" t="s">
        <v>3407</v>
      </c>
      <c r="B309" s="36">
        <v>1216</v>
      </c>
      <c r="C309" s="36">
        <v>141967</v>
      </c>
      <c r="D309" s="37">
        <v>44746</v>
      </c>
      <c r="E309" s="36">
        <v>25</v>
      </c>
      <c r="F309" s="15" t="str">
        <f t="shared" si="4"/>
        <v>1216-141967-44746</v>
      </c>
    </row>
    <row r="310" spans="1:6" ht="14.25" customHeight="1" x14ac:dyDescent="0.25">
      <c r="A310" s="15" t="s">
        <v>2243</v>
      </c>
      <c r="B310" s="36">
        <v>1210</v>
      </c>
      <c r="C310" s="36">
        <v>141967</v>
      </c>
      <c r="D310" s="37">
        <v>44746</v>
      </c>
      <c r="E310" s="36">
        <v>36</v>
      </c>
      <c r="F310" s="15" t="str">
        <f t="shared" si="4"/>
        <v>1210-141967-44746</v>
      </c>
    </row>
    <row r="311" spans="1:6" ht="14.25" customHeight="1" x14ac:dyDescent="0.25">
      <c r="A311" s="15" t="s">
        <v>1870</v>
      </c>
      <c r="B311" s="36">
        <v>1208</v>
      </c>
      <c r="C311" s="36">
        <v>141967</v>
      </c>
      <c r="D311" s="37">
        <v>44746</v>
      </c>
      <c r="E311" s="36">
        <v>34</v>
      </c>
      <c r="F311" s="15" t="str">
        <f t="shared" si="4"/>
        <v>1208-141967-44746</v>
      </c>
    </row>
    <row r="312" spans="1:6" ht="14.25" customHeight="1" x14ac:dyDescent="0.25">
      <c r="A312" s="15" t="s">
        <v>1195</v>
      </c>
      <c r="B312" s="36">
        <v>1205</v>
      </c>
      <c r="C312" s="36">
        <v>141967</v>
      </c>
      <c r="D312" s="37">
        <v>44746</v>
      </c>
      <c r="E312" s="36">
        <v>28</v>
      </c>
      <c r="F312" s="15" t="str">
        <f t="shared" si="4"/>
        <v>1205-141967-44746</v>
      </c>
    </row>
    <row r="313" spans="1:6" ht="14.25" customHeight="1" x14ac:dyDescent="0.25">
      <c r="A313" s="15" t="s">
        <v>472</v>
      </c>
      <c r="B313" s="36">
        <v>1202</v>
      </c>
      <c r="C313" s="36">
        <v>141967</v>
      </c>
      <c r="D313" s="37">
        <v>44746</v>
      </c>
      <c r="E313" s="36">
        <v>30</v>
      </c>
      <c r="F313" s="15" t="str">
        <f t="shared" si="4"/>
        <v>1202-141967-44746</v>
      </c>
    </row>
    <row r="314" spans="1:6" ht="14.25" customHeight="1" x14ac:dyDescent="0.25">
      <c r="A314" s="15" t="s">
        <v>3641</v>
      </c>
      <c r="B314" s="36">
        <v>1218</v>
      </c>
      <c r="C314" s="36">
        <v>141967</v>
      </c>
      <c r="D314" s="37">
        <v>44739</v>
      </c>
      <c r="E314" s="36">
        <v>29</v>
      </c>
      <c r="F314" s="15" t="str">
        <f t="shared" si="4"/>
        <v>1218-141967-44739</v>
      </c>
    </row>
    <row r="315" spans="1:6" ht="14.25" customHeight="1" x14ac:dyDescent="0.25">
      <c r="A315" s="15" t="s">
        <v>3163</v>
      </c>
      <c r="B315" s="36">
        <v>1214</v>
      </c>
      <c r="C315" s="36">
        <v>141967</v>
      </c>
      <c r="D315" s="37">
        <v>44739</v>
      </c>
      <c r="E315" s="36">
        <v>39</v>
      </c>
      <c r="F315" s="15" t="str">
        <f t="shared" si="4"/>
        <v>1214-141967-44739</v>
      </c>
    </row>
    <row r="316" spans="1:6" ht="14.25" customHeight="1" x14ac:dyDescent="0.25">
      <c r="A316" s="15" t="s">
        <v>1677</v>
      </c>
      <c r="B316" s="36">
        <v>1207</v>
      </c>
      <c r="C316" s="36">
        <v>141967</v>
      </c>
      <c r="D316" s="37">
        <v>44739</v>
      </c>
      <c r="E316" s="36">
        <v>37</v>
      </c>
      <c r="F316" s="15" t="str">
        <f t="shared" si="4"/>
        <v>1207-141967-44739</v>
      </c>
    </row>
    <row r="317" spans="1:6" ht="14.25" customHeight="1" x14ac:dyDescent="0.25">
      <c r="A317" s="15" t="s">
        <v>230</v>
      </c>
      <c r="B317" s="36">
        <v>1201</v>
      </c>
      <c r="C317" s="36">
        <v>141967</v>
      </c>
      <c r="D317" s="37">
        <v>44739</v>
      </c>
      <c r="E317" s="36">
        <v>27</v>
      </c>
      <c r="F317" s="15" t="str">
        <f t="shared" si="4"/>
        <v>1201-141967-44739</v>
      </c>
    </row>
    <row r="318" spans="1:6" ht="14.25" customHeight="1" x14ac:dyDescent="0.25">
      <c r="A318" s="15" t="s">
        <v>3157</v>
      </c>
      <c r="B318" s="36">
        <v>1214</v>
      </c>
      <c r="C318" s="36">
        <v>141846</v>
      </c>
      <c r="D318" s="37">
        <v>44753</v>
      </c>
      <c r="E318" s="36">
        <v>33</v>
      </c>
      <c r="F318" s="15" t="str">
        <f t="shared" si="4"/>
        <v>1214-141846-44753</v>
      </c>
    </row>
    <row r="319" spans="1:6" ht="14.25" customHeight="1" x14ac:dyDescent="0.25">
      <c r="A319" s="15" t="s">
        <v>2479</v>
      </c>
      <c r="B319" s="36">
        <v>1211</v>
      </c>
      <c r="C319" s="36">
        <v>141846</v>
      </c>
      <c r="D319" s="37">
        <v>44753</v>
      </c>
      <c r="E319" s="36">
        <v>34</v>
      </c>
      <c r="F319" s="15" t="str">
        <f t="shared" si="4"/>
        <v>1211-141846-44753</v>
      </c>
    </row>
    <row r="320" spans="1:6" ht="14.25" customHeight="1" x14ac:dyDescent="0.25">
      <c r="A320" s="15" t="s">
        <v>1671</v>
      </c>
      <c r="B320" s="36">
        <v>1207</v>
      </c>
      <c r="C320" s="36">
        <v>141846</v>
      </c>
      <c r="D320" s="37">
        <v>44753</v>
      </c>
      <c r="E320" s="36">
        <v>30</v>
      </c>
      <c r="F320" s="15" t="str">
        <f t="shared" si="4"/>
        <v>1207-141846-44753</v>
      </c>
    </row>
    <row r="321" spans="1:6" ht="14.25" customHeight="1" x14ac:dyDescent="0.25">
      <c r="A321" s="15" t="s">
        <v>2913</v>
      </c>
      <c r="B321" s="36">
        <v>1213</v>
      </c>
      <c r="C321" s="36">
        <v>141846</v>
      </c>
      <c r="D321" s="37">
        <v>44746</v>
      </c>
      <c r="E321" s="36">
        <v>35</v>
      </c>
      <c r="F321" s="15" t="str">
        <f t="shared" si="4"/>
        <v>1213-141846-44746</v>
      </c>
    </row>
    <row r="322" spans="1:6" ht="14.25" customHeight="1" x14ac:dyDescent="0.25">
      <c r="A322" s="15" t="s">
        <v>705</v>
      </c>
      <c r="B322" s="36">
        <v>1203</v>
      </c>
      <c r="C322" s="36">
        <v>141846</v>
      </c>
      <c r="D322" s="37">
        <v>44746</v>
      </c>
      <c r="E322" s="36">
        <v>29</v>
      </c>
      <c r="F322" s="15" t="str">
        <f t="shared" si="4"/>
        <v>1203-141846-44746</v>
      </c>
    </row>
    <row r="323" spans="1:6" ht="14.25" customHeight="1" x14ac:dyDescent="0.25">
      <c r="A323" s="15" t="s">
        <v>4083</v>
      </c>
      <c r="B323" s="36">
        <v>1220</v>
      </c>
      <c r="C323" s="36">
        <v>141846</v>
      </c>
      <c r="D323" s="37">
        <v>44739</v>
      </c>
      <c r="E323" s="36">
        <v>29</v>
      </c>
      <c r="F323" s="15" t="str">
        <f t="shared" ref="F323:F385" si="5">B323&amp;"-"&amp;C323&amp;"-"&amp;INT(D323)</f>
        <v>1220-141846-44739</v>
      </c>
    </row>
    <row r="324" spans="1:6" ht="14.25" customHeight="1" x14ac:dyDescent="0.25">
      <c r="A324" s="15" t="s">
        <v>3857</v>
      </c>
      <c r="B324" s="36">
        <v>1219</v>
      </c>
      <c r="C324" s="36">
        <v>141846</v>
      </c>
      <c r="D324" s="37">
        <v>44739</v>
      </c>
      <c r="E324" s="36">
        <v>30</v>
      </c>
      <c r="F324" s="15" t="str">
        <f t="shared" si="5"/>
        <v>1219-141846-44739</v>
      </c>
    </row>
    <row r="325" spans="1:6" ht="14.25" customHeight="1" x14ac:dyDescent="0.25">
      <c r="A325" s="15" t="s">
        <v>1427</v>
      </c>
      <c r="B325" s="36">
        <v>1206</v>
      </c>
      <c r="C325" s="36">
        <v>141846</v>
      </c>
      <c r="D325" s="37">
        <v>44739</v>
      </c>
      <c r="E325" s="36">
        <v>30</v>
      </c>
      <c r="F325" s="15" t="str">
        <f t="shared" si="5"/>
        <v>1206-141846-44739</v>
      </c>
    </row>
    <row r="326" spans="1:6" ht="14.25" customHeight="1" x14ac:dyDescent="0.25">
      <c r="A326" s="15" t="s">
        <v>463</v>
      </c>
      <c r="B326" s="36">
        <v>1202</v>
      </c>
      <c r="C326" s="36">
        <v>141846</v>
      </c>
      <c r="D326" s="37">
        <v>44739</v>
      </c>
      <c r="E326" s="36">
        <v>29</v>
      </c>
      <c r="F326" s="15" t="str">
        <f t="shared" si="5"/>
        <v>1202-141846-44739</v>
      </c>
    </row>
    <row r="327" spans="1:6" ht="14.25" customHeight="1" x14ac:dyDescent="0.25">
      <c r="A327" s="15" t="s">
        <v>222</v>
      </c>
      <c r="B327" s="36">
        <v>1201</v>
      </c>
      <c r="C327" s="36">
        <v>141846</v>
      </c>
      <c r="D327" s="37">
        <v>44739</v>
      </c>
      <c r="E327" s="36">
        <v>31</v>
      </c>
      <c r="F327" s="15" t="str">
        <f t="shared" si="5"/>
        <v>1201-141846-44739</v>
      </c>
    </row>
    <row r="328" spans="1:6" ht="14.25" customHeight="1" x14ac:dyDescent="0.25">
      <c r="A328" s="15" t="s">
        <v>3626</v>
      </c>
      <c r="B328" s="36">
        <v>1218</v>
      </c>
      <c r="C328" s="36">
        <v>141791</v>
      </c>
      <c r="D328" s="37">
        <v>44746</v>
      </c>
      <c r="E328" s="36">
        <v>17</v>
      </c>
      <c r="F328" s="15" t="str">
        <f t="shared" si="5"/>
        <v>1218-141791-44746</v>
      </c>
    </row>
    <row r="329" spans="1:6" ht="14.25" customHeight="1" x14ac:dyDescent="0.25">
      <c r="A329" s="15" t="s">
        <v>3391</v>
      </c>
      <c r="B329" s="36">
        <v>1216</v>
      </c>
      <c r="C329" s="36">
        <v>141791</v>
      </c>
      <c r="D329" s="37">
        <v>44746</v>
      </c>
      <c r="E329" s="36">
        <v>40</v>
      </c>
      <c r="F329" s="15" t="str">
        <f t="shared" si="5"/>
        <v>1216-141791-44746</v>
      </c>
    </row>
    <row r="330" spans="1:6" ht="14.25" customHeight="1" x14ac:dyDescent="0.25">
      <c r="A330" s="15" t="s">
        <v>2905</v>
      </c>
      <c r="B330" s="36">
        <v>1213</v>
      </c>
      <c r="C330" s="36">
        <v>141791</v>
      </c>
      <c r="D330" s="37">
        <v>44746</v>
      </c>
      <c r="E330" s="36">
        <v>10</v>
      </c>
      <c r="F330" s="15" t="str">
        <f t="shared" si="5"/>
        <v>1213-141791-44746</v>
      </c>
    </row>
    <row r="331" spans="1:6" ht="14.25" customHeight="1" x14ac:dyDescent="0.25">
      <c r="A331" s="15" t="s">
        <v>2032</v>
      </c>
      <c r="B331" s="36">
        <v>1209</v>
      </c>
      <c r="C331" s="36">
        <v>141791</v>
      </c>
      <c r="D331" s="37">
        <v>44746</v>
      </c>
      <c r="E331" s="36">
        <v>29</v>
      </c>
      <c r="F331" s="15" t="str">
        <f t="shared" si="5"/>
        <v>1209-141791-44746</v>
      </c>
    </row>
    <row r="332" spans="1:6" ht="14.25" customHeight="1" x14ac:dyDescent="0.25">
      <c r="A332" s="15" t="s">
        <v>939</v>
      </c>
      <c r="B332" s="36">
        <v>1204</v>
      </c>
      <c r="C332" s="36">
        <v>141791</v>
      </c>
      <c r="D332" s="37">
        <v>44746</v>
      </c>
      <c r="E332" s="36">
        <v>40</v>
      </c>
      <c r="F332" s="15" t="str">
        <f t="shared" si="5"/>
        <v>1204-141791-44746</v>
      </c>
    </row>
    <row r="333" spans="1:6" ht="14.25" customHeight="1" x14ac:dyDescent="0.25">
      <c r="A333" s="15" t="s">
        <v>697</v>
      </c>
      <c r="B333" s="36">
        <v>1203</v>
      </c>
      <c r="C333" s="36">
        <v>141791</v>
      </c>
      <c r="D333" s="37">
        <v>44746</v>
      </c>
      <c r="E333" s="36">
        <v>24</v>
      </c>
      <c r="F333" s="15" t="str">
        <f t="shared" si="5"/>
        <v>1203-141791-44746</v>
      </c>
    </row>
    <row r="334" spans="1:6" ht="14.25" customHeight="1" x14ac:dyDescent="0.25">
      <c r="A334" s="15" t="s">
        <v>3147</v>
      </c>
      <c r="B334" s="36">
        <v>1214</v>
      </c>
      <c r="C334" s="36">
        <v>141791</v>
      </c>
      <c r="D334" s="37">
        <v>44739</v>
      </c>
      <c r="E334" s="36">
        <v>33</v>
      </c>
      <c r="F334" s="15" t="str">
        <f t="shared" si="5"/>
        <v>1214-141791-44739</v>
      </c>
    </row>
    <row r="335" spans="1:6" ht="14.25" customHeight="1" x14ac:dyDescent="0.25">
      <c r="A335" s="15" t="s">
        <v>2469</v>
      </c>
      <c r="B335" s="36">
        <v>1211</v>
      </c>
      <c r="C335" s="36">
        <v>141791</v>
      </c>
      <c r="D335" s="37">
        <v>44739</v>
      </c>
      <c r="E335" s="36">
        <v>28</v>
      </c>
      <c r="F335" s="15" t="str">
        <f t="shared" si="5"/>
        <v>1211-141791-44739</v>
      </c>
    </row>
    <row r="336" spans="1:6" ht="14.25" customHeight="1" x14ac:dyDescent="0.25">
      <c r="A336" s="15" t="s">
        <v>2226</v>
      </c>
      <c r="B336" s="36">
        <v>1210</v>
      </c>
      <c r="C336" s="36">
        <v>141791</v>
      </c>
      <c r="D336" s="37">
        <v>44739</v>
      </c>
      <c r="E336" s="36">
        <v>32</v>
      </c>
      <c r="F336" s="15" t="str">
        <f t="shared" si="5"/>
        <v>1210-141791-44739</v>
      </c>
    </row>
    <row r="337" spans="1:6" ht="14.25" customHeight="1" x14ac:dyDescent="0.25">
      <c r="A337" s="15" t="s">
        <v>1661</v>
      </c>
      <c r="B337" s="36">
        <v>1207</v>
      </c>
      <c r="C337" s="36">
        <v>141791</v>
      </c>
      <c r="D337" s="37">
        <v>44739</v>
      </c>
      <c r="E337" s="36">
        <v>38</v>
      </c>
      <c r="F337" s="15" t="str">
        <f t="shared" si="5"/>
        <v>1207-141791-44739</v>
      </c>
    </row>
    <row r="338" spans="1:6" ht="14.25" customHeight="1" x14ac:dyDescent="0.25">
      <c r="A338" s="15" t="s">
        <v>1419</v>
      </c>
      <c r="B338" s="36">
        <v>1206</v>
      </c>
      <c r="C338" s="36">
        <v>141791</v>
      </c>
      <c r="D338" s="37">
        <v>44739</v>
      </c>
      <c r="E338" s="36">
        <v>15</v>
      </c>
      <c r="F338" s="15" t="str">
        <f t="shared" si="5"/>
        <v>1206-141791-44739</v>
      </c>
    </row>
    <row r="339" spans="1:6" ht="14.25" customHeight="1" x14ac:dyDescent="0.25">
      <c r="A339" s="15" t="s">
        <v>214</v>
      </c>
      <c r="B339" s="36">
        <v>1201</v>
      </c>
      <c r="C339" s="36">
        <v>141791</v>
      </c>
      <c r="D339" s="37">
        <v>44739</v>
      </c>
      <c r="E339" s="36">
        <v>28</v>
      </c>
      <c r="F339" s="15" t="str">
        <f t="shared" si="5"/>
        <v>1201-141791-44739</v>
      </c>
    </row>
    <row r="340" spans="1:6" ht="14.25" customHeight="1" x14ac:dyDescent="0.25">
      <c r="A340" s="15" t="s">
        <v>3141</v>
      </c>
      <c r="B340" s="36">
        <v>1214</v>
      </c>
      <c r="C340" s="36">
        <v>141626</v>
      </c>
      <c r="D340" s="37">
        <v>44753</v>
      </c>
      <c r="E340" s="36">
        <v>22</v>
      </c>
      <c r="F340" s="15" t="str">
        <f t="shared" si="5"/>
        <v>1214-141626-44753</v>
      </c>
    </row>
    <row r="341" spans="1:6" ht="14.25" customHeight="1" x14ac:dyDescent="0.25">
      <c r="A341" s="15" t="s">
        <v>1413</v>
      </c>
      <c r="B341" s="36">
        <v>1206</v>
      </c>
      <c r="C341" s="36">
        <v>141626</v>
      </c>
      <c r="D341" s="37">
        <v>44753</v>
      </c>
      <c r="E341" s="36">
        <v>40</v>
      </c>
      <c r="F341" s="15" t="str">
        <f t="shared" si="5"/>
        <v>1206-141626-44753</v>
      </c>
    </row>
    <row r="342" spans="1:6" ht="14.25" customHeight="1" x14ac:dyDescent="0.25">
      <c r="A342" s="15" t="s">
        <v>208</v>
      </c>
      <c r="B342" s="36">
        <v>1201</v>
      </c>
      <c r="C342" s="36">
        <v>141626</v>
      </c>
      <c r="D342" s="37">
        <v>44753</v>
      </c>
      <c r="E342" s="36">
        <v>36</v>
      </c>
      <c r="F342" s="15" t="str">
        <f t="shared" si="5"/>
        <v>1201-141626-44753</v>
      </c>
    </row>
    <row r="343" spans="1:6" ht="14.25" customHeight="1" x14ac:dyDescent="0.25">
      <c r="A343" s="15" t="s">
        <v>1862</v>
      </c>
      <c r="B343" s="36">
        <v>1208</v>
      </c>
      <c r="C343" s="36">
        <v>141626</v>
      </c>
      <c r="D343" s="37">
        <v>44746</v>
      </c>
      <c r="E343" s="36">
        <v>37</v>
      </c>
      <c r="F343" s="15" t="str">
        <f t="shared" si="5"/>
        <v>1208-141626-44746</v>
      </c>
    </row>
    <row r="344" spans="1:6" ht="14.25" customHeight="1" x14ac:dyDescent="0.25">
      <c r="A344" s="15" t="s">
        <v>1654</v>
      </c>
      <c r="B344" s="36">
        <v>1207</v>
      </c>
      <c r="C344" s="36">
        <v>141626</v>
      </c>
      <c r="D344" s="37">
        <v>44746</v>
      </c>
      <c r="E344" s="36">
        <v>16</v>
      </c>
      <c r="F344" s="15" t="str">
        <f t="shared" si="5"/>
        <v>1207-141626-44746</v>
      </c>
    </row>
    <row r="345" spans="1:6" ht="14.25" customHeight="1" x14ac:dyDescent="0.25">
      <c r="A345" s="15" t="s">
        <v>1171</v>
      </c>
      <c r="B345" s="36">
        <v>1205</v>
      </c>
      <c r="C345" s="36">
        <v>141626</v>
      </c>
      <c r="D345" s="37">
        <v>44746</v>
      </c>
      <c r="E345" s="36">
        <v>39</v>
      </c>
      <c r="F345" s="15" t="str">
        <f t="shared" si="5"/>
        <v>1205-141626-44746</v>
      </c>
    </row>
    <row r="346" spans="1:6" ht="14.25" customHeight="1" x14ac:dyDescent="0.25">
      <c r="A346" s="15" t="s">
        <v>689</v>
      </c>
      <c r="B346" s="36">
        <v>1203</v>
      </c>
      <c r="C346" s="36">
        <v>141626</v>
      </c>
      <c r="D346" s="37">
        <v>44746</v>
      </c>
      <c r="E346" s="36">
        <v>36</v>
      </c>
      <c r="F346" s="15" t="str">
        <f t="shared" si="5"/>
        <v>1203-141626-44746</v>
      </c>
    </row>
    <row r="347" spans="1:6" ht="14.25" customHeight="1" x14ac:dyDescent="0.25">
      <c r="A347" s="15" t="s">
        <v>4067</v>
      </c>
      <c r="B347" s="36">
        <v>1220</v>
      </c>
      <c r="C347" s="36">
        <v>141626</v>
      </c>
      <c r="D347" s="37">
        <v>44739</v>
      </c>
      <c r="E347" s="36">
        <v>35</v>
      </c>
      <c r="F347" s="15" t="str">
        <f t="shared" si="5"/>
        <v>1220-141626-44739</v>
      </c>
    </row>
    <row r="348" spans="1:6" ht="14.25" customHeight="1" x14ac:dyDescent="0.25">
      <c r="A348" s="15" t="s">
        <v>3382</v>
      </c>
      <c r="B348" s="36">
        <v>1216</v>
      </c>
      <c r="C348" s="36">
        <v>141626</v>
      </c>
      <c r="D348" s="37">
        <v>44739</v>
      </c>
      <c r="E348" s="36">
        <v>25</v>
      </c>
      <c r="F348" s="15" t="str">
        <f t="shared" si="5"/>
        <v>1216-141626-44739</v>
      </c>
    </row>
    <row r="349" spans="1:6" ht="14.25" customHeight="1" x14ac:dyDescent="0.25">
      <c r="A349" s="15" t="s">
        <v>2896</v>
      </c>
      <c r="B349" s="36">
        <v>1213</v>
      </c>
      <c r="C349" s="36">
        <v>141626</v>
      </c>
      <c r="D349" s="37">
        <v>44739</v>
      </c>
      <c r="E349" s="36">
        <v>40</v>
      </c>
      <c r="F349" s="15" t="str">
        <f t="shared" si="5"/>
        <v>1213-141626-44739</v>
      </c>
    </row>
    <row r="350" spans="1:6" ht="14.25" customHeight="1" x14ac:dyDescent="0.25">
      <c r="A350" s="15" t="s">
        <v>2218</v>
      </c>
      <c r="B350" s="36">
        <v>1210</v>
      </c>
      <c r="C350" s="36">
        <v>141626</v>
      </c>
      <c r="D350" s="37">
        <v>44739</v>
      </c>
      <c r="E350" s="36">
        <v>33</v>
      </c>
      <c r="F350" s="15" t="str">
        <f t="shared" si="5"/>
        <v>1210-141626-44739</v>
      </c>
    </row>
    <row r="351" spans="1:6" ht="14.25" customHeight="1" x14ac:dyDescent="0.25">
      <c r="A351" s="15" t="s">
        <v>2023</v>
      </c>
      <c r="B351" s="36">
        <v>1209</v>
      </c>
      <c r="C351" s="36">
        <v>141626</v>
      </c>
      <c r="D351" s="37">
        <v>44739</v>
      </c>
      <c r="E351" s="36">
        <v>37</v>
      </c>
      <c r="F351" s="15" t="str">
        <f t="shared" si="5"/>
        <v>1209-141626-44739</v>
      </c>
    </row>
    <row r="352" spans="1:6" ht="14.25" customHeight="1" x14ac:dyDescent="0.25">
      <c r="A352" s="15" t="s">
        <v>3611</v>
      </c>
      <c r="B352" s="36">
        <v>1218</v>
      </c>
      <c r="C352" s="36">
        <v>141622</v>
      </c>
      <c r="D352" s="37">
        <v>44753</v>
      </c>
      <c r="E352" s="36">
        <v>35</v>
      </c>
      <c r="F352" s="15" t="str">
        <f t="shared" si="5"/>
        <v>1218-141622-44753</v>
      </c>
    </row>
    <row r="353" spans="1:6" ht="14.25" customHeight="1" x14ac:dyDescent="0.25">
      <c r="A353" s="15" t="s">
        <v>2455</v>
      </c>
      <c r="B353" s="36">
        <v>1211</v>
      </c>
      <c r="C353" s="36">
        <v>141622</v>
      </c>
      <c r="D353" s="37">
        <v>44753</v>
      </c>
      <c r="E353" s="36">
        <v>21</v>
      </c>
      <c r="F353" s="15" t="str">
        <f t="shared" si="5"/>
        <v>1211-141622-44753</v>
      </c>
    </row>
    <row r="354" spans="1:6" ht="14.25" customHeight="1" x14ac:dyDescent="0.25">
      <c r="A354" s="15" t="s">
        <v>441</v>
      </c>
      <c r="B354" s="36">
        <v>1202</v>
      </c>
      <c r="C354" s="36">
        <v>141622</v>
      </c>
      <c r="D354" s="37">
        <v>44753</v>
      </c>
      <c r="E354" s="36">
        <v>31</v>
      </c>
      <c r="F354" s="15" t="str">
        <f t="shared" si="5"/>
        <v>1202-141622-44753</v>
      </c>
    </row>
    <row r="355" spans="1:6" ht="14.25" customHeight="1" x14ac:dyDescent="0.25">
      <c r="A355" s="15" t="s">
        <v>4060</v>
      </c>
      <c r="B355" s="36">
        <v>1220</v>
      </c>
      <c r="C355" s="36">
        <v>141622</v>
      </c>
      <c r="D355" s="37">
        <v>44746</v>
      </c>
      <c r="E355" s="36">
        <v>34</v>
      </c>
      <c r="F355" s="15" t="str">
        <f t="shared" si="5"/>
        <v>1220-141622-44746</v>
      </c>
    </row>
    <row r="356" spans="1:6" ht="14.25" customHeight="1" x14ac:dyDescent="0.25">
      <c r="A356" s="15" t="s">
        <v>3375</v>
      </c>
      <c r="B356" s="36">
        <v>1216</v>
      </c>
      <c r="C356" s="36">
        <v>141622</v>
      </c>
      <c r="D356" s="37">
        <v>44746</v>
      </c>
      <c r="E356" s="36">
        <v>33</v>
      </c>
      <c r="F356" s="15" t="str">
        <f t="shared" si="5"/>
        <v>1216-141622-44746</v>
      </c>
    </row>
    <row r="357" spans="1:6" ht="14.25" customHeight="1" x14ac:dyDescent="0.25">
      <c r="A357" s="15" t="s">
        <v>1404</v>
      </c>
      <c r="B357" s="36">
        <v>1206</v>
      </c>
      <c r="C357" s="36">
        <v>141622</v>
      </c>
      <c r="D357" s="37">
        <v>44746</v>
      </c>
      <c r="E357" s="36">
        <v>15</v>
      </c>
      <c r="F357" s="15" t="str">
        <f t="shared" si="5"/>
        <v>1206-141622-44746</v>
      </c>
    </row>
    <row r="358" spans="1:6" ht="14.25" customHeight="1" x14ac:dyDescent="0.25">
      <c r="A358" s="15" t="s">
        <v>2210</v>
      </c>
      <c r="B358" s="36">
        <v>1210</v>
      </c>
      <c r="C358" s="36">
        <v>141622</v>
      </c>
      <c r="D358" s="37">
        <v>44739</v>
      </c>
      <c r="E358" s="36">
        <v>36</v>
      </c>
      <c r="F358" s="15" t="str">
        <f t="shared" si="5"/>
        <v>1210-141622-44739</v>
      </c>
    </row>
    <row r="359" spans="1:6" ht="14.25" customHeight="1" x14ac:dyDescent="0.25">
      <c r="A359" s="15" t="s">
        <v>3125</v>
      </c>
      <c r="B359" s="36">
        <v>1214</v>
      </c>
      <c r="C359" s="36">
        <v>129208</v>
      </c>
      <c r="D359" s="37">
        <v>44753</v>
      </c>
      <c r="E359" s="36">
        <v>19</v>
      </c>
      <c r="F359" s="15" t="str">
        <f t="shared" si="5"/>
        <v>1214-129208-44753</v>
      </c>
    </row>
    <row r="360" spans="1:6" ht="14.25" customHeight="1" x14ac:dyDescent="0.25">
      <c r="A360" s="15" t="s">
        <v>2204</v>
      </c>
      <c r="B360" s="36">
        <v>1210</v>
      </c>
      <c r="C360" s="36">
        <v>129208</v>
      </c>
      <c r="D360" s="37">
        <v>44753</v>
      </c>
      <c r="E360" s="36">
        <v>28</v>
      </c>
      <c r="F360" s="15" t="str">
        <f t="shared" si="5"/>
        <v>1210-129208-44753</v>
      </c>
    </row>
    <row r="361" spans="1:6" ht="14.25" customHeight="1" x14ac:dyDescent="0.25">
      <c r="A361" s="15" t="s">
        <v>1639</v>
      </c>
      <c r="B361" s="36">
        <v>1207</v>
      </c>
      <c r="C361" s="36">
        <v>129208</v>
      </c>
      <c r="D361" s="37">
        <v>44753</v>
      </c>
      <c r="E361" s="36">
        <v>18</v>
      </c>
      <c r="F361" s="15" t="str">
        <f t="shared" si="5"/>
        <v>1207-129208-44753</v>
      </c>
    </row>
    <row r="362" spans="1:6" ht="14.25" customHeight="1" x14ac:dyDescent="0.25">
      <c r="A362" s="15" t="s">
        <v>1156</v>
      </c>
      <c r="B362" s="36">
        <v>1205</v>
      </c>
      <c r="C362" s="36">
        <v>129208</v>
      </c>
      <c r="D362" s="37">
        <v>44753</v>
      </c>
      <c r="E362" s="36">
        <v>10</v>
      </c>
      <c r="F362" s="15" t="str">
        <f t="shared" si="5"/>
        <v>1205-129208-44753</v>
      </c>
    </row>
    <row r="363" spans="1:6" ht="14.25" customHeight="1" x14ac:dyDescent="0.25">
      <c r="A363" s="15" t="s">
        <v>916</v>
      </c>
      <c r="B363" s="36">
        <v>1204</v>
      </c>
      <c r="C363" s="36">
        <v>129208</v>
      </c>
      <c r="D363" s="37">
        <v>44753</v>
      </c>
      <c r="E363" s="36">
        <v>31</v>
      </c>
      <c r="F363" s="15" t="str">
        <f t="shared" si="5"/>
        <v>1204-129208-44753</v>
      </c>
    </row>
    <row r="364" spans="1:6" ht="14.25" customHeight="1" x14ac:dyDescent="0.25">
      <c r="A364" s="15" t="s">
        <v>674</v>
      </c>
      <c r="B364" s="36">
        <v>1203</v>
      </c>
      <c r="C364" s="36">
        <v>129208</v>
      </c>
      <c r="D364" s="37">
        <v>44753</v>
      </c>
      <c r="E364" s="36">
        <v>14</v>
      </c>
      <c r="F364" s="15" t="str">
        <f t="shared" si="5"/>
        <v>1203-129208-44753</v>
      </c>
    </row>
    <row r="365" spans="1:6" ht="14.25" customHeight="1" x14ac:dyDescent="0.25">
      <c r="A365" s="15" t="s">
        <v>3602</v>
      </c>
      <c r="B365" s="36">
        <v>1218</v>
      </c>
      <c r="C365" s="36">
        <v>129208</v>
      </c>
      <c r="D365" s="37">
        <v>44746</v>
      </c>
      <c r="E365" s="36">
        <v>12</v>
      </c>
      <c r="F365" s="15" t="str">
        <f t="shared" si="5"/>
        <v>1218-129208-44746</v>
      </c>
    </row>
    <row r="366" spans="1:6" ht="14.25" customHeight="1" x14ac:dyDescent="0.25">
      <c r="A366" s="15" t="s">
        <v>2881</v>
      </c>
      <c r="B366" s="36">
        <v>1213</v>
      </c>
      <c r="C366" s="36">
        <v>129208</v>
      </c>
      <c r="D366" s="37">
        <v>44746</v>
      </c>
      <c r="E366" s="36">
        <v>10</v>
      </c>
      <c r="F366" s="15" t="str">
        <f t="shared" si="5"/>
        <v>1213-129208-44746</v>
      </c>
    </row>
    <row r="367" spans="1:6" ht="14.25" customHeight="1" x14ac:dyDescent="0.25">
      <c r="A367" s="15" t="s">
        <v>1396</v>
      </c>
      <c r="B367" s="36">
        <v>1206</v>
      </c>
      <c r="C367" s="36">
        <v>129208</v>
      </c>
      <c r="D367" s="37">
        <v>44746</v>
      </c>
      <c r="E367" s="36">
        <v>16</v>
      </c>
      <c r="F367" s="15" t="str">
        <f t="shared" si="5"/>
        <v>1206-129208-44746</v>
      </c>
    </row>
    <row r="368" spans="1:6" ht="14.25" customHeight="1" x14ac:dyDescent="0.25">
      <c r="A368" s="15" t="s">
        <v>191</v>
      </c>
      <c r="B368" s="36">
        <v>1201</v>
      </c>
      <c r="C368" s="36">
        <v>129208</v>
      </c>
      <c r="D368" s="37">
        <v>44746</v>
      </c>
      <c r="E368" s="36">
        <v>20</v>
      </c>
      <c r="F368" s="15" t="str">
        <f t="shared" si="5"/>
        <v>1201-129208-44746</v>
      </c>
    </row>
    <row r="369" spans="1:6" ht="14.25" customHeight="1" x14ac:dyDescent="0.25">
      <c r="A369" s="15" t="s">
        <v>4051</v>
      </c>
      <c r="B369" s="36">
        <v>1220</v>
      </c>
      <c r="C369" s="36">
        <v>129208</v>
      </c>
      <c r="D369" s="37">
        <v>44739</v>
      </c>
      <c r="E369" s="36">
        <v>27</v>
      </c>
      <c r="F369" s="15" t="str">
        <f t="shared" si="5"/>
        <v>1220-129208-44739</v>
      </c>
    </row>
    <row r="370" spans="1:6" ht="14.25" customHeight="1" x14ac:dyDescent="0.25">
      <c r="A370" s="15" t="s">
        <v>3833</v>
      </c>
      <c r="B370" s="36">
        <v>1219</v>
      </c>
      <c r="C370" s="36">
        <v>129208</v>
      </c>
      <c r="D370" s="37">
        <v>44739</v>
      </c>
      <c r="E370" s="36">
        <v>26</v>
      </c>
      <c r="F370" s="15" t="str">
        <f t="shared" si="5"/>
        <v>1219-129208-44739</v>
      </c>
    </row>
    <row r="371" spans="1:6" ht="14.25" customHeight="1" x14ac:dyDescent="0.25">
      <c r="A371" s="15" t="s">
        <v>3366</v>
      </c>
      <c r="B371" s="36">
        <v>1216</v>
      </c>
      <c r="C371" s="36">
        <v>129208</v>
      </c>
      <c r="D371" s="37">
        <v>44739</v>
      </c>
      <c r="E371" s="36">
        <v>17</v>
      </c>
      <c r="F371" s="15" t="str">
        <f t="shared" si="5"/>
        <v>1216-129208-44739</v>
      </c>
    </row>
    <row r="372" spans="1:6" ht="14.25" customHeight="1" x14ac:dyDescent="0.25">
      <c r="A372" s="15" t="s">
        <v>431</v>
      </c>
      <c r="B372" s="36">
        <v>1202</v>
      </c>
      <c r="C372" s="36">
        <v>129208</v>
      </c>
      <c r="D372" s="37">
        <v>44739</v>
      </c>
      <c r="E372" s="36">
        <v>38</v>
      </c>
      <c r="F372" s="15" t="str">
        <f t="shared" si="5"/>
        <v>1202-129208-44739</v>
      </c>
    </row>
    <row r="373" spans="1:6" ht="14.25" customHeight="1" x14ac:dyDescent="0.25">
      <c r="A373" s="15" t="s">
        <v>3594</v>
      </c>
      <c r="B373" s="36">
        <v>1218</v>
      </c>
      <c r="C373" s="36">
        <v>115600</v>
      </c>
      <c r="D373" s="37">
        <v>44753</v>
      </c>
      <c r="E373" s="36">
        <v>27</v>
      </c>
      <c r="F373" s="15" t="str">
        <f t="shared" si="5"/>
        <v>1218-115600-44753</v>
      </c>
    </row>
    <row r="374" spans="1:6" ht="14.25" customHeight="1" x14ac:dyDescent="0.25">
      <c r="A374" s="15" t="s">
        <v>2196</v>
      </c>
      <c r="B374" s="36">
        <v>1210</v>
      </c>
      <c r="C374" s="36">
        <v>115600</v>
      </c>
      <c r="D374" s="37">
        <v>44753</v>
      </c>
      <c r="E374" s="36">
        <v>29</v>
      </c>
      <c r="F374" s="15" t="str">
        <f t="shared" si="5"/>
        <v>1210-115600-44753</v>
      </c>
    </row>
    <row r="375" spans="1:6" ht="14.25" customHeight="1" x14ac:dyDescent="0.25">
      <c r="A375" s="15" t="s">
        <v>665</v>
      </c>
      <c r="B375" s="36">
        <v>1203</v>
      </c>
      <c r="C375" s="36">
        <v>115600</v>
      </c>
      <c r="D375" s="37">
        <v>44753</v>
      </c>
      <c r="E375" s="36">
        <v>36</v>
      </c>
      <c r="F375" s="15" t="str">
        <f t="shared" si="5"/>
        <v>1203-115600-44753</v>
      </c>
    </row>
    <row r="376" spans="1:6" ht="14.25" customHeight="1" x14ac:dyDescent="0.25">
      <c r="A376" s="15" t="s">
        <v>184</v>
      </c>
      <c r="B376" s="36">
        <v>1201</v>
      </c>
      <c r="C376" s="36">
        <v>115600</v>
      </c>
      <c r="D376" s="37">
        <v>44753</v>
      </c>
      <c r="E376" s="36">
        <v>18</v>
      </c>
      <c r="F376" s="15" t="str">
        <f t="shared" si="5"/>
        <v>1201-115600-44753</v>
      </c>
    </row>
    <row r="377" spans="1:6" ht="14.25" customHeight="1" x14ac:dyDescent="0.25">
      <c r="A377" s="15" t="s">
        <v>4043</v>
      </c>
      <c r="B377" s="36">
        <v>1220</v>
      </c>
      <c r="C377" s="36">
        <v>115600</v>
      </c>
      <c r="D377" s="37">
        <v>44746</v>
      </c>
      <c r="E377" s="36">
        <v>27</v>
      </c>
      <c r="F377" s="15" t="str">
        <f t="shared" si="5"/>
        <v>1220-115600-44746</v>
      </c>
    </row>
    <row r="378" spans="1:6" ht="14.25" customHeight="1" x14ac:dyDescent="0.25">
      <c r="A378" s="15" t="s">
        <v>3826</v>
      </c>
      <c r="B378" s="36">
        <v>1219</v>
      </c>
      <c r="C378" s="36">
        <v>115600</v>
      </c>
      <c r="D378" s="37">
        <v>44746</v>
      </c>
      <c r="E378" s="36">
        <v>26</v>
      </c>
      <c r="F378" s="15" t="str">
        <f t="shared" si="5"/>
        <v>1219-115600-44746</v>
      </c>
    </row>
    <row r="379" spans="1:6" ht="14.25" customHeight="1" x14ac:dyDescent="0.25">
      <c r="A379" s="15" t="s">
        <v>3115</v>
      </c>
      <c r="B379" s="36">
        <v>1214</v>
      </c>
      <c r="C379" s="36">
        <v>115600</v>
      </c>
      <c r="D379" s="37">
        <v>44746</v>
      </c>
      <c r="E379" s="36">
        <v>27</v>
      </c>
      <c r="F379" s="15" t="str">
        <f t="shared" si="5"/>
        <v>1214-115600-44746</v>
      </c>
    </row>
    <row r="380" spans="1:6" ht="14.25" customHeight="1" x14ac:dyDescent="0.25">
      <c r="A380" s="15" t="s">
        <v>2873</v>
      </c>
      <c r="B380" s="36">
        <v>1213</v>
      </c>
      <c r="C380" s="36">
        <v>115600</v>
      </c>
      <c r="D380" s="37">
        <v>44746</v>
      </c>
      <c r="E380" s="36">
        <v>37</v>
      </c>
      <c r="F380" s="15" t="str">
        <f t="shared" si="5"/>
        <v>1213-115600-44746</v>
      </c>
    </row>
    <row r="381" spans="1:6" ht="14.25" customHeight="1" x14ac:dyDescent="0.25">
      <c r="A381" s="15" t="s">
        <v>2000</v>
      </c>
      <c r="B381" s="36">
        <v>1209</v>
      </c>
      <c r="C381" s="36">
        <v>115600</v>
      </c>
      <c r="D381" s="37">
        <v>44746</v>
      </c>
      <c r="E381" s="36">
        <v>18</v>
      </c>
      <c r="F381" s="15" t="str">
        <f t="shared" si="5"/>
        <v>1209-115600-44746</v>
      </c>
    </row>
    <row r="382" spans="1:6" ht="14.25" customHeight="1" x14ac:dyDescent="0.25">
      <c r="A382" s="15" t="s">
        <v>906</v>
      </c>
      <c r="B382" s="36">
        <v>1204</v>
      </c>
      <c r="C382" s="36">
        <v>115600</v>
      </c>
      <c r="D382" s="37">
        <v>44746</v>
      </c>
      <c r="E382" s="36">
        <v>29</v>
      </c>
      <c r="F382" s="15" t="str">
        <f t="shared" si="5"/>
        <v>1204-115600-44746</v>
      </c>
    </row>
    <row r="383" spans="1:6" ht="14.25" customHeight="1" x14ac:dyDescent="0.25">
      <c r="A383" s="15" t="s">
        <v>2436</v>
      </c>
      <c r="B383" s="36">
        <v>1211</v>
      </c>
      <c r="C383" s="36">
        <v>115600</v>
      </c>
      <c r="D383" s="37">
        <v>44739</v>
      </c>
      <c r="E383" s="36">
        <v>39</v>
      </c>
      <c r="F383" s="15" t="str">
        <f t="shared" si="5"/>
        <v>1211-115600-44739</v>
      </c>
    </row>
    <row r="384" spans="1:6" ht="14.25" customHeight="1" x14ac:dyDescent="0.25">
      <c r="A384" s="15" t="s">
        <v>1387</v>
      </c>
      <c r="B384" s="36">
        <v>1206</v>
      </c>
      <c r="C384" s="36">
        <v>115600</v>
      </c>
      <c r="D384" s="37">
        <v>44739</v>
      </c>
      <c r="E384" s="36">
        <v>29</v>
      </c>
      <c r="F384" s="15" t="str">
        <f t="shared" si="5"/>
        <v>1206-115600-44739</v>
      </c>
    </row>
    <row r="385" spans="1:6" ht="14.25" customHeight="1" x14ac:dyDescent="0.25">
      <c r="A385" s="15" t="s">
        <v>423</v>
      </c>
      <c r="B385" s="36">
        <v>1202</v>
      </c>
      <c r="C385" s="36">
        <v>115600</v>
      </c>
      <c r="D385" s="37">
        <v>44739</v>
      </c>
      <c r="E385" s="36">
        <v>29</v>
      </c>
      <c r="F385" s="15" t="str">
        <f t="shared" si="5"/>
        <v>1202-115600-44739</v>
      </c>
    </row>
    <row r="386" spans="1:6" ht="14.25" customHeight="1" x14ac:dyDescent="0.25">
      <c r="B386" s="17"/>
      <c r="C386" s="17"/>
      <c r="D386" s="28"/>
      <c r="E386" s="17"/>
    </row>
    <row r="387" spans="1:6" ht="14.25" customHeight="1" x14ac:dyDescent="0.25">
      <c r="B387" s="17"/>
      <c r="C387" s="17"/>
      <c r="D387" s="28"/>
      <c r="E387" s="17"/>
    </row>
    <row r="388" spans="1:6" ht="14.25" customHeight="1" x14ac:dyDescent="0.25">
      <c r="B388" s="17"/>
      <c r="C388" s="17"/>
      <c r="D388" s="28"/>
      <c r="E388" s="17"/>
    </row>
    <row r="389" spans="1:6" ht="14.25" customHeight="1" x14ac:dyDescent="0.25">
      <c r="B389" s="17"/>
      <c r="C389" s="17"/>
      <c r="D389" s="28"/>
      <c r="E389" s="17"/>
    </row>
    <row r="390" spans="1:6" ht="14.25" customHeight="1" x14ac:dyDescent="0.25">
      <c r="B390" s="17"/>
      <c r="C390" s="17"/>
      <c r="D390" s="28"/>
      <c r="E390" s="17"/>
    </row>
    <row r="391" spans="1:6" ht="14.25" customHeight="1" x14ac:dyDescent="0.25">
      <c r="B391" s="17"/>
      <c r="C391" s="17"/>
      <c r="D391" s="28"/>
      <c r="E391" s="17"/>
    </row>
    <row r="392" spans="1:6" ht="14.25" customHeight="1" x14ac:dyDescent="0.25">
      <c r="B392" s="17"/>
      <c r="C392" s="17"/>
      <c r="D392" s="28"/>
      <c r="E392" s="17"/>
    </row>
    <row r="393" spans="1:6" ht="14.25" customHeight="1" x14ac:dyDescent="0.25">
      <c r="B393" s="17"/>
      <c r="C393" s="17"/>
      <c r="D393" s="28"/>
      <c r="E393" s="17"/>
    </row>
    <row r="394" spans="1:6" ht="14.25" customHeight="1" x14ac:dyDescent="0.25">
      <c r="B394" s="17"/>
      <c r="C394" s="17"/>
      <c r="D394" s="28"/>
      <c r="E394" s="17"/>
    </row>
    <row r="395" spans="1:6" ht="14.25" customHeight="1" x14ac:dyDescent="0.25">
      <c r="B395" s="17"/>
      <c r="C395" s="17"/>
      <c r="D395" s="28"/>
      <c r="E395" s="17"/>
    </row>
    <row r="396" spans="1:6" ht="14.25" customHeight="1" x14ac:dyDescent="0.25">
      <c r="B396" s="17"/>
      <c r="C396" s="17"/>
      <c r="D396" s="28"/>
      <c r="E396" s="17"/>
    </row>
    <row r="397" spans="1:6" ht="14.25" customHeight="1" x14ac:dyDescent="0.25">
      <c r="B397" s="17"/>
      <c r="C397" s="17"/>
      <c r="D397" s="28"/>
      <c r="E397" s="17"/>
    </row>
    <row r="398" spans="1:6" ht="14.25" customHeight="1" x14ac:dyDescent="0.25">
      <c r="B398" s="17"/>
      <c r="C398" s="17"/>
      <c r="D398" s="28"/>
      <c r="E398" s="17"/>
    </row>
    <row r="399" spans="1:6" ht="14.25" customHeight="1" x14ac:dyDescent="0.25">
      <c r="B399" s="17"/>
      <c r="C399" s="17"/>
      <c r="D399" s="28"/>
      <c r="E399" s="17"/>
    </row>
    <row r="400" spans="1:6" ht="14.25" customHeight="1" x14ac:dyDescent="0.25">
      <c r="B400" s="17"/>
      <c r="C400" s="17"/>
      <c r="D400" s="28"/>
      <c r="E400" s="17"/>
    </row>
    <row r="401" spans="2:5" ht="14.25" customHeight="1" x14ac:dyDescent="0.25">
      <c r="B401" s="17"/>
      <c r="C401" s="17"/>
      <c r="D401" s="28"/>
      <c r="E401" s="17"/>
    </row>
    <row r="402" spans="2:5" ht="14.25" customHeight="1" x14ac:dyDescent="0.25">
      <c r="B402" s="17"/>
      <c r="C402" s="17"/>
      <c r="D402" s="28"/>
      <c r="E402" s="17"/>
    </row>
    <row r="403" spans="2:5" ht="14.25" customHeight="1" x14ac:dyDescent="0.25">
      <c r="B403" s="17"/>
      <c r="C403" s="17"/>
      <c r="D403" s="28"/>
      <c r="E403" s="17"/>
    </row>
    <row r="404" spans="2:5" ht="14.25" customHeight="1" x14ac:dyDescent="0.25">
      <c r="B404" s="17"/>
      <c r="C404" s="17"/>
      <c r="D404" s="28"/>
      <c r="E404" s="17"/>
    </row>
    <row r="405" spans="2:5" ht="14.25" customHeight="1" x14ac:dyDescent="0.25">
      <c r="B405" s="17"/>
      <c r="C405" s="17"/>
      <c r="D405" s="28"/>
      <c r="E405" s="17"/>
    </row>
    <row r="406" spans="2:5" ht="14.25" customHeight="1" x14ac:dyDescent="0.25">
      <c r="B406" s="17"/>
      <c r="C406" s="17"/>
      <c r="D406" s="28"/>
      <c r="E406" s="17"/>
    </row>
    <row r="407" spans="2:5" ht="14.25" customHeight="1" x14ac:dyDescent="0.25">
      <c r="B407" s="17"/>
      <c r="C407" s="17"/>
      <c r="D407" s="28"/>
      <c r="E407" s="17"/>
    </row>
    <row r="408" spans="2:5" ht="14.25" customHeight="1" x14ac:dyDescent="0.25">
      <c r="B408" s="17"/>
      <c r="C408" s="17"/>
      <c r="D408" s="28"/>
      <c r="E408" s="17"/>
    </row>
    <row r="409" spans="2:5" ht="14.25" customHeight="1" x14ac:dyDescent="0.25">
      <c r="B409" s="17"/>
      <c r="C409" s="17"/>
      <c r="D409" s="28"/>
      <c r="E409" s="17"/>
    </row>
    <row r="410" spans="2:5" ht="14.25" customHeight="1" x14ac:dyDescent="0.25">
      <c r="B410" s="17"/>
      <c r="C410" s="17"/>
      <c r="D410" s="28"/>
      <c r="E410" s="17"/>
    </row>
    <row r="411" spans="2:5" ht="14.25" customHeight="1" x14ac:dyDescent="0.25">
      <c r="B411" s="17"/>
      <c r="C411" s="17"/>
      <c r="D411" s="28"/>
      <c r="E411" s="17"/>
    </row>
    <row r="412" spans="2:5" ht="14.25" customHeight="1" x14ac:dyDescent="0.25">
      <c r="B412" s="17"/>
      <c r="C412" s="17"/>
      <c r="D412" s="28"/>
      <c r="E412" s="17"/>
    </row>
    <row r="413" spans="2:5" ht="14.25" customHeight="1" x14ac:dyDescent="0.25">
      <c r="B413" s="17"/>
      <c r="C413" s="17"/>
      <c r="D413" s="28"/>
      <c r="E413" s="17"/>
    </row>
    <row r="414" spans="2:5" ht="14.25" customHeight="1" x14ac:dyDescent="0.25">
      <c r="B414" s="17"/>
      <c r="C414" s="17"/>
      <c r="D414" s="28"/>
      <c r="E414" s="17"/>
    </row>
    <row r="415" spans="2:5" ht="14.25" customHeight="1" x14ac:dyDescent="0.25">
      <c r="B415" s="17"/>
      <c r="C415" s="17"/>
      <c r="D415" s="28"/>
      <c r="E415" s="17"/>
    </row>
    <row r="416" spans="2:5" ht="14.25" customHeight="1" x14ac:dyDescent="0.25">
      <c r="B416" s="17"/>
      <c r="C416" s="17"/>
      <c r="D416" s="28"/>
      <c r="E416" s="17"/>
    </row>
    <row r="417" spans="2:5" ht="14.25" customHeight="1" x14ac:dyDescent="0.25">
      <c r="B417" s="17"/>
      <c r="C417" s="17"/>
      <c r="D417" s="28"/>
      <c r="E417" s="17"/>
    </row>
    <row r="418" spans="2:5" ht="14.25" customHeight="1" x14ac:dyDescent="0.25">
      <c r="B418" s="17"/>
      <c r="C418" s="17"/>
      <c r="D418" s="28"/>
      <c r="E418" s="17"/>
    </row>
    <row r="419" spans="2:5" ht="14.25" customHeight="1" x14ac:dyDescent="0.25">
      <c r="B419" s="17"/>
      <c r="C419" s="17"/>
      <c r="D419" s="28"/>
      <c r="E419" s="17"/>
    </row>
    <row r="420" spans="2:5" ht="14.25" customHeight="1" x14ac:dyDescent="0.25">
      <c r="B420" s="17"/>
      <c r="C420" s="17"/>
      <c r="D420" s="28"/>
      <c r="E420" s="17"/>
    </row>
    <row r="421" spans="2:5" ht="14.25" customHeight="1" x14ac:dyDescent="0.25">
      <c r="B421" s="17"/>
      <c r="C421" s="17"/>
      <c r="D421" s="28"/>
      <c r="E421" s="17"/>
    </row>
    <row r="422" spans="2:5" ht="14.25" customHeight="1" x14ac:dyDescent="0.25">
      <c r="B422" s="17"/>
      <c r="C422" s="17"/>
      <c r="D422" s="28"/>
      <c r="E422" s="17"/>
    </row>
    <row r="423" spans="2:5" ht="14.25" customHeight="1" x14ac:dyDescent="0.25">
      <c r="B423" s="17"/>
      <c r="C423" s="17"/>
      <c r="D423" s="28"/>
      <c r="E423" s="17"/>
    </row>
    <row r="424" spans="2:5" ht="14.25" customHeight="1" x14ac:dyDescent="0.25">
      <c r="B424" s="17"/>
      <c r="C424" s="17"/>
      <c r="D424" s="28"/>
      <c r="E424" s="17"/>
    </row>
    <row r="425" spans="2:5" ht="14.25" customHeight="1" x14ac:dyDescent="0.25">
      <c r="B425" s="17"/>
      <c r="C425" s="17"/>
      <c r="D425" s="28"/>
      <c r="E425" s="17"/>
    </row>
    <row r="426" spans="2:5" ht="14.25" customHeight="1" x14ac:dyDescent="0.25">
      <c r="B426" s="17"/>
      <c r="C426" s="17"/>
      <c r="D426" s="28"/>
      <c r="E426" s="17"/>
    </row>
    <row r="427" spans="2:5" ht="14.25" customHeight="1" x14ac:dyDescent="0.25">
      <c r="B427" s="17"/>
      <c r="C427" s="17"/>
      <c r="D427" s="28"/>
      <c r="E427" s="17"/>
    </row>
    <row r="428" spans="2:5" ht="14.25" customHeight="1" x14ac:dyDescent="0.25">
      <c r="B428" s="17"/>
      <c r="C428" s="17"/>
      <c r="D428" s="28"/>
      <c r="E428" s="17"/>
    </row>
    <row r="429" spans="2:5" ht="14.25" customHeight="1" x14ac:dyDescent="0.25">
      <c r="B429" s="17"/>
      <c r="C429" s="17"/>
      <c r="D429" s="28"/>
      <c r="E429" s="17"/>
    </row>
    <row r="430" spans="2:5" ht="14.25" customHeight="1" x14ac:dyDescent="0.25">
      <c r="B430" s="17"/>
      <c r="C430" s="17"/>
      <c r="D430" s="28"/>
      <c r="E430" s="17"/>
    </row>
    <row r="431" spans="2:5" ht="14.25" customHeight="1" x14ac:dyDescent="0.25">
      <c r="B431" s="17"/>
      <c r="C431" s="17"/>
      <c r="D431" s="28"/>
      <c r="E431" s="17"/>
    </row>
    <row r="432" spans="2:5" ht="14.25" customHeight="1" x14ac:dyDescent="0.25">
      <c r="B432" s="17"/>
      <c r="C432" s="17"/>
      <c r="D432" s="28"/>
      <c r="E432" s="17"/>
    </row>
    <row r="433" spans="2:5" ht="14.25" customHeight="1" x14ac:dyDescent="0.25">
      <c r="B433" s="17"/>
      <c r="C433" s="17"/>
      <c r="D433" s="28"/>
      <c r="E433" s="17"/>
    </row>
    <row r="434" spans="2:5" ht="14.25" customHeight="1" x14ac:dyDescent="0.25">
      <c r="B434" s="17"/>
      <c r="C434" s="17"/>
      <c r="D434" s="28"/>
      <c r="E434" s="17"/>
    </row>
    <row r="435" spans="2:5" ht="14.25" customHeight="1" x14ac:dyDescent="0.25">
      <c r="B435" s="17"/>
      <c r="C435" s="17"/>
      <c r="D435" s="28"/>
      <c r="E435" s="17"/>
    </row>
    <row r="436" spans="2:5" ht="14.25" customHeight="1" x14ac:dyDescent="0.25">
      <c r="B436" s="17"/>
      <c r="C436" s="17"/>
      <c r="D436" s="28"/>
      <c r="E436" s="17"/>
    </row>
    <row r="437" spans="2:5" ht="14.25" customHeight="1" x14ac:dyDescent="0.25">
      <c r="B437" s="17"/>
      <c r="C437" s="17"/>
      <c r="D437" s="28"/>
      <c r="E437" s="17"/>
    </row>
    <row r="438" spans="2:5" ht="14.25" customHeight="1" x14ac:dyDescent="0.25">
      <c r="B438" s="17"/>
      <c r="C438" s="17"/>
      <c r="D438" s="28"/>
      <c r="E438" s="17"/>
    </row>
    <row r="439" spans="2:5" ht="14.25" customHeight="1" x14ac:dyDescent="0.25">
      <c r="B439" s="17"/>
      <c r="C439" s="17"/>
      <c r="D439" s="28"/>
      <c r="E439" s="17"/>
    </row>
    <row r="440" spans="2:5" ht="14.25" customHeight="1" x14ac:dyDescent="0.25">
      <c r="B440" s="17"/>
      <c r="C440" s="17"/>
      <c r="D440" s="28"/>
      <c r="E440" s="17"/>
    </row>
    <row r="441" spans="2:5" ht="14.25" customHeight="1" x14ac:dyDescent="0.25">
      <c r="B441" s="17"/>
      <c r="C441" s="17"/>
      <c r="D441" s="28"/>
      <c r="E441" s="17"/>
    </row>
    <row r="442" spans="2:5" ht="14.25" customHeight="1" x14ac:dyDescent="0.25">
      <c r="B442" s="17"/>
      <c r="C442" s="17"/>
      <c r="D442" s="28"/>
      <c r="E442" s="17"/>
    </row>
    <row r="443" spans="2:5" ht="14.25" customHeight="1" x14ac:dyDescent="0.25">
      <c r="B443" s="17"/>
      <c r="C443" s="17"/>
      <c r="D443" s="28"/>
      <c r="E443" s="17"/>
    </row>
    <row r="444" spans="2:5" ht="14.25" customHeight="1" x14ac:dyDescent="0.25">
      <c r="B444" s="17"/>
      <c r="C444" s="17"/>
      <c r="D444" s="28"/>
      <c r="E444" s="17"/>
    </row>
    <row r="445" spans="2:5" ht="14.25" customHeight="1" x14ac:dyDescent="0.25">
      <c r="B445" s="17"/>
      <c r="C445" s="17"/>
      <c r="D445" s="28"/>
      <c r="E445" s="17"/>
    </row>
    <row r="446" spans="2:5" ht="14.25" customHeight="1" x14ac:dyDescent="0.25">
      <c r="B446" s="17"/>
      <c r="C446" s="17"/>
      <c r="D446" s="28"/>
      <c r="E446" s="17"/>
    </row>
    <row r="447" spans="2:5" ht="14.25" customHeight="1" x14ac:dyDescent="0.25">
      <c r="B447" s="17"/>
      <c r="C447" s="17"/>
      <c r="D447" s="28"/>
      <c r="E447" s="17"/>
    </row>
    <row r="448" spans="2:5" ht="14.25" customHeight="1" x14ac:dyDescent="0.25">
      <c r="B448" s="17"/>
      <c r="C448" s="17"/>
      <c r="D448" s="28"/>
      <c r="E448" s="17"/>
    </row>
    <row r="449" spans="2:5" ht="14.25" customHeight="1" x14ac:dyDescent="0.25">
      <c r="B449" s="17"/>
      <c r="C449" s="17"/>
      <c r="D449" s="28"/>
      <c r="E449" s="17"/>
    </row>
    <row r="450" spans="2:5" ht="14.25" customHeight="1" x14ac:dyDescent="0.25">
      <c r="B450" s="17"/>
      <c r="C450" s="17"/>
      <c r="D450" s="28"/>
      <c r="E450" s="17"/>
    </row>
    <row r="451" spans="2:5" ht="14.25" customHeight="1" x14ac:dyDescent="0.25">
      <c r="B451" s="17"/>
      <c r="C451" s="17"/>
      <c r="D451" s="28"/>
      <c r="E451" s="17"/>
    </row>
    <row r="452" spans="2:5" ht="14.25" customHeight="1" x14ac:dyDescent="0.25">
      <c r="B452" s="17"/>
      <c r="C452" s="17"/>
      <c r="D452" s="28"/>
      <c r="E452" s="17"/>
    </row>
    <row r="453" spans="2:5" ht="14.25" customHeight="1" x14ac:dyDescent="0.25">
      <c r="B453" s="17"/>
      <c r="C453" s="17"/>
      <c r="D453" s="28"/>
      <c r="E453" s="17"/>
    </row>
    <row r="454" spans="2:5" ht="14.25" customHeight="1" x14ac:dyDescent="0.25">
      <c r="B454" s="17"/>
      <c r="C454" s="17"/>
      <c r="D454" s="28"/>
      <c r="E454" s="17"/>
    </row>
    <row r="455" spans="2:5" ht="14.25" customHeight="1" x14ac:dyDescent="0.25">
      <c r="B455" s="17"/>
      <c r="C455" s="17"/>
      <c r="D455" s="28"/>
      <c r="E455" s="17"/>
    </row>
    <row r="456" spans="2:5" ht="14.25" customHeight="1" x14ac:dyDescent="0.25">
      <c r="B456" s="17"/>
      <c r="C456" s="17"/>
      <c r="D456" s="28"/>
      <c r="E456" s="17"/>
    </row>
    <row r="457" spans="2:5" ht="14.25" customHeight="1" x14ac:dyDescent="0.25">
      <c r="B457" s="17"/>
      <c r="C457" s="17"/>
      <c r="D457" s="28"/>
      <c r="E457" s="17"/>
    </row>
    <row r="458" spans="2:5" ht="14.25" customHeight="1" x14ac:dyDescent="0.25">
      <c r="B458" s="17"/>
      <c r="C458" s="17"/>
      <c r="D458" s="28"/>
      <c r="E458" s="17"/>
    </row>
    <row r="459" spans="2:5" ht="14.25" customHeight="1" x14ac:dyDescent="0.25">
      <c r="B459" s="17"/>
      <c r="C459" s="17"/>
      <c r="D459" s="28"/>
      <c r="E459" s="17"/>
    </row>
    <row r="460" spans="2:5" ht="14.25" customHeight="1" x14ac:dyDescent="0.25">
      <c r="B460" s="17"/>
      <c r="C460" s="17"/>
      <c r="D460" s="28"/>
      <c r="E460" s="17"/>
    </row>
    <row r="461" spans="2:5" ht="14.25" customHeight="1" x14ac:dyDescent="0.25">
      <c r="B461" s="17"/>
      <c r="C461" s="17"/>
      <c r="D461" s="28"/>
      <c r="E461" s="17"/>
    </row>
    <row r="462" spans="2:5" ht="14.25" customHeight="1" x14ac:dyDescent="0.25">
      <c r="B462" s="17"/>
      <c r="C462" s="17"/>
      <c r="D462" s="28"/>
      <c r="E462" s="17"/>
    </row>
    <row r="463" spans="2:5" ht="14.25" customHeight="1" x14ac:dyDescent="0.25">
      <c r="B463" s="17"/>
      <c r="C463" s="17"/>
      <c r="D463" s="28"/>
      <c r="E463" s="17"/>
    </row>
    <row r="464" spans="2:5" ht="14.25" customHeight="1" x14ac:dyDescent="0.25">
      <c r="B464" s="17"/>
      <c r="C464" s="17"/>
      <c r="D464" s="28"/>
      <c r="E464" s="17"/>
    </row>
    <row r="465" spans="2:5" ht="14.25" customHeight="1" x14ac:dyDescent="0.25">
      <c r="B465" s="17"/>
      <c r="C465" s="17"/>
      <c r="D465" s="28"/>
      <c r="E465" s="17"/>
    </row>
    <row r="466" spans="2:5" ht="14.25" customHeight="1" x14ac:dyDescent="0.25">
      <c r="B466" s="17"/>
      <c r="C466" s="17"/>
      <c r="D466" s="28"/>
      <c r="E466" s="17"/>
    </row>
    <row r="467" spans="2:5" ht="14.25" customHeight="1" x14ac:dyDescent="0.25">
      <c r="B467" s="17"/>
      <c r="C467" s="17"/>
      <c r="D467" s="28"/>
      <c r="E467" s="17"/>
    </row>
    <row r="468" spans="2:5" ht="14.25" customHeight="1" x14ac:dyDescent="0.25">
      <c r="B468" s="17"/>
      <c r="C468" s="17"/>
      <c r="D468" s="28"/>
      <c r="E468" s="17"/>
    </row>
    <row r="469" spans="2:5" ht="14.25" customHeight="1" x14ac:dyDescent="0.25">
      <c r="B469" s="17"/>
      <c r="C469" s="17"/>
      <c r="D469" s="28"/>
      <c r="E469" s="17"/>
    </row>
    <row r="470" spans="2:5" ht="14.25" customHeight="1" x14ac:dyDescent="0.25">
      <c r="B470" s="17"/>
      <c r="C470" s="17"/>
      <c r="D470" s="28"/>
      <c r="E470" s="17"/>
    </row>
    <row r="471" spans="2:5" ht="14.25" customHeight="1" x14ac:dyDescent="0.25">
      <c r="B471" s="17"/>
      <c r="C471" s="17"/>
      <c r="D471" s="28"/>
      <c r="E471" s="17"/>
    </row>
    <row r="472" spans="2:5" ht="14.25" customHeight="1" x14ac:dyDescent="0.25">
      <c r="B472" s="17"/>
      <c r="C472" s="17"/>
      <c r="D472" s="28"/>
      <c r="E472" s="17"/>
    </row>
    <row r="473" spans="2:5" ht="14.25" customHeight="1" x14ac:dyDescent="0.25">
      <c r="B473" s="17"/>
      <c r="C473" s="17"/>
      <c r="D473" s="28"/>
      <c r="E473" s="17"/>
    </row>
    <row r="474" spans="2:5" ht="14.25" customHeight="1" x14ac:dyDescent="0.25">
      <c r="B474" s="17"/>
      <c r="C474" s="17"/>
      <c r="D474" s="28"/>
      <c r="E474" s="17"/>
    </row>
    <row r="475" spans="2:5" ht="14.25" customHeight="1" x14ac:dyDescent="0.25">
      <c r="B475" s="17"/>
      <c r="C475" s="17"/>
      <c r="D475" s="28"/>
      <c r="E475" s="17"/>
    </row>
    <row r="476" spans="2:5" ht="14.25" customHeight="1" x14ac:dyDescent="0.25">
      <c r="B476" s="17"/>
      <c r="C476" s="17"/>
      <c r="D476" s="28"/>
      <c r="E476" s="17"/>
    </row>
    <row r="477" spans="2:5" ht="14.25" customHeight="1" x14ac:dyDescent="0.25">
      <c r="B477" s="17"/>
      <c r="C477" s="17"/>
      <c r="D477" s="28"/>
      <c r="E477" s="17"/>
    </row>
    <row r="478" spans="2:5" ht="14.25" customHeight="1" x14ac:dyDescent="0.25">
      <c r="B478" s="17"/>
      <c r="C478" s="17"/>
      <c r="D478" s="28"/>
      <c r="E478" s="17"/>
    </row>
    <row r="479" spans="2:5" ht="14.25" customHeight="1" x14ac:dyDescent="0.25">
      <c r="B479" s="17"/>
      <c r="C479" s="17"/>
      <c r="D479" s="28"/>
      <c r="E479" s="17"/>
    </row>
    <row r="480" spans="2:5" ht="14.25" customHeight="1" x14ac:dyDescent="0.25">
      <c r="B480" s="17"/>
      <c r="C480" s="17"/>
      <c r="D480" s="28"/>
      <c r="E480" s="17"/>
    </row>
    <row r="481" spans="2:5" ht="14.25" customHeight="1" x14ac:dyDescent="0.25">
      <c r="B481" s="17"/>
      <c r="C481" s="17"/>
      <c r="D481" s="28"/>
      <c r="E481" s="17"/>
    </row>
    <row r="482" spans="2:5" ht="14.25" customHeight="1" x14ac:dyDescent="0.25">
      <c r="B482" s="17"/>
      <c r="C482" s="17"/>
      <c r="D482" s="28"/>
      <c r="E482" s="17"/>
    </row>
    <row r="483" spans="2:5" ht="14.25" customHeight="1" x14ac:dyDescent="0.25">
      <c r="B483" s="17"/>
      <c r="C483" s="17"/>
      <c r="D483" s="28"/>
      <c r="E483" s="17"/>
    </row>
    <row r="484" spans="2:5" ht="14.25" customHeight="1" x14ac:dyDescent="0.25">
      <c r="B484" s="17"/>
      <c r="C484" s="17"/>
      <c r="D484" s="28"/>
      <c r="E484" s="17"/>
    </row>
    <row r="485" spans="2:5" ht="14.25" customHeight="1" x14ac:dyDescent="0.25">
      <c r="B485" s="17"/>
      <c r="C485" s="17"/>
      <c r="D485" s="28"/>
      <c r="E485" s="17"/>
    </row>
    <row r="486" spans="2:5" ht="14.25" customHeight="1" x14ac:dyDescent="0.25">
      <c r="B486" s="17"/>
      <c r="C486" s="17"/>
      <c r="D486" s="28"/>
      <c r="E486" s="17"/>
    </row>
    <row r="487" spans="2:5" ht="14.25" customHeight="1" x14ac:dyDescent="0.25">
      <c r="B487" s="17"/>
      <c r="C487" s="17"/>
      <c r="D487" s="28"/>
      <c r="E487" s="17"/>
    </row>
    <row r="488" spans="2:5" ht="14.25" customHeight="1" x14ac:dyDescent="0.25">
      <c r="B488" s="17"/>
      <c r="C488" s="17"/>
      <c r="D488" s="28"/>
      <c r="E488" s="17"/>
    </row>
    <row r="489" spans="2:5" ht="14.25" customHeight="1" x14ac:dyDescent="0.25">
      <c r="B489" s="17"/>
      <c r="C489" s="17"/>
      <c r="D489" s="28"/>
      <c r="E489" s="17"/>
    </row>
    <row r="490" spans="2:5" ht="14.25" customHeight="1" x14ac:dyDescent="0.25">
      <c r="B490" s="17"/>
      <c r="C490" s="17"/>
      <c r="D490" s="28"/>
      <c r="E490" s="17"/>
    </row>
    <row r="491" spans="2:5" ht="14.25" customHeight="1" x14ac:dyDescent="0.25">
      <c r="B491" s="17"/>
      <c r="C491" s="17"/>
      <c r="D491" s="28"/>
      <c r="E491" s="17"/>
    </row>
    <row r="492" spans="2:5" ht="14.25" customHeight="1" x14ac:dyDescent="0.25">
      <c r="B492" s="17"/>
      <c r="C492" s="17"/>
      <c r="D492" s="28"/>
      <c r="E492" s="17"/>
    </row>
    <row r="493" spans="2:5" ht="14.25" customHeight="1" x14ac:dyDescent="0.25">
      <c r="B493" s="17"/>
      <c r="C493" s="17"/>
      <c r="D493" s="28"/>
      <c r="E493" s="17"/>
    </row>
    <row r="494" spans="2:5" ht="14.25" customHeight="1" x14ac:dyDescent="0.25">
      <c r="B494" s="17"/>
      <c r="C494" s="17"/>
      <c r="D494" s="28"/>
      <c r="E494" s="17"/>
    </row>
    <row r="495" spans="2:5" ht="14.25" customHeight="1" x14ac:dyDescent="0.25">
      <c r="B495" s="17"/>
      <c r="C495" s="17"/>
      <c r="D495" s="28"/>
      <c r="E495" s="17"/>
    </row>
    <row r="496" spans="2:5" ht="14.25" customHeight="1" x14ac:dyDescent="0.25">
      <c r="B496" s="17"/>
      <c r="C496" s="17"/>
      <c r="D496" s="28"/>
      <c r="E496" s="17"/>
    </row>
    <row r="497" spans="2:5" ht="14.25" customHeight="1" x14ac:dyDescent="0.25">
      <c r="B497" s="17"/>
      <c r="C497" s="17"/>
      <c r="D497" s="28"/>
      <c r="E497" s="17"/>
    </row>
    <row r="498" spans="2:5" ht="14.25" customHeight="1" x14ac:dyDescent="0.25">
      <c r="B498" s="17"/>
      <c r="C498" s="17"/>
      <c r="D498" s="28"/>
      <c r="E498" s="17"/>
    </row>
    <row r="499" spans="2:5" ht="14.25" customHeight="1" x14ac:dyDescent="0.25">
      <c r="B499" s="17"/>
      <c r="C499" s="17"/>
      <c r="D499" s="28"/>
      <c r="E499" s="17"/>
    </row>
    <row r="500" spans="2:5" ht="14.25" customHeight="1" x14ac:dyDescent="0.25">
      <c r="B500" s="17"/>
      <c r="C500" s="17"/>
      <c r="D500" s="28"/>
      <c r="E500" s="17"/>
    </row>
    <row r="501" spans="2:5" ht="14.25" customHeight="1" x14ac:dyDescent="0.25">
      <c r="B501" s="17"/>
      <c r="C501" s="17"/>
      <c r="D501" s="28"/>
      <c r="E501" s="17"/>
    </row>
    <row r="502" spans="2:5" ht="14.25" customHeight="1" x14ac:dyDescent="0.25">
      <c r="B502" s="17"/>
      <c r="C502" s="17"/>
      <c r="D502" s="28"/>
      <c r="E502" s="17"/>
    </row>
    <row r="503" spans="2:5" ht="14.25" customHeight="1" x14ac:dyDescent="0.25">
      <c r="B503" s="17"/>
      <c r="C503" s="17"/>
      <c r="D503" s="28"/>
      <c r="E503" s="17"/>
    </row>
    <row r="504" spans="2:5" ht="14.25" customHeight="1" x14ac:dyDescent="0.25">
      <c r="B504" s="17"/>
      <c r="C504" s="17"/>
      <c r="D504" s="28"/>
      <c r="E504" s="17"/>
    </row>
    <row r="505" spans="2:5" ht="14.25" customHeight="1" x14ac:dyDescent="0.25">
      <c r="B505" s="17"/>
      <c r="C505" s="17"/>
      <c r="D505" s="28"/>
      <c r="E505" s="17"/>
    </row>
    <row r="506" spans="2:5" ht="14.25" customHeight="1" x14ac:dyDescent="0.25">
      <c r="B506" s="17"/>
      <c r="C506" s="17"/>
      <c r="D506" s="28"/>
      <c r="E506" s="17"/>
    </row>
    <row r="507" spans="2:5" ht="14.25" customHeight="1" x14ac:dyDescent="0.25">
      <c r="B507" s="17"/>
      <c r="C507" s="17"/>
      <c r="D507" s="28"/>
      <c r="E507" s="17"/>
    </row>
    <row r="508" spans="2:5" ht="14.25" customHeight="1" x14ac:dyDescent="0.25">
      <c r="B508" s="17"/>
      <c r="C508" s="17"/>
      <c r="D508" s="28"/>
      <c r="E508" s="17"/>
    </row>
    <row r="509" spans="2:5" ht="14.25" customHeight="1" x14ac:dyDescent="0.25">
      <c r="B509" s="17"/>
      <c r="C509" s="17"/>
      <c r="D509" s="28"/>
      <c r="E509" s="17"/>
    </row>
    <row r="510" spans="2:5" ht="14.25" customHeight="1" x14ac:dyDescent="0.25">
      <c r="B510" s="17"/>
      <c r="C510" s="17"/>
      <c r="D510" s="28"/>
      <c r="E510" s="17"/>
    </row>
    <row r="511" spans="2:5" ht="14.25" customHeight="1" x14ac:dyDescent="0.25">
      <c r="B511" s="17"/>
      <c r="C511" s="17"/>
      <c r="D511" s="28"/>
      <c r="E511" s="17"/>
    </row>
    <row r="512" spans="2:5" ht="14.25" customHeight="1" x14ac:dyDescent="0.25">
      <c r="B512" s="17"/>
      <c r="C512" s="17"/>
      <c r="D512" s="28"/>
      <c r="E512" s="17"/>
    </row>
    <row r="513" spans="2:5" ht="14.25" customHeight="1" x14ac:dyDescent="0.25">
      <c r="B513" s="17"/>
      <c r="C513" s="17"/>
      <c r="D513" s="28"/>
      <c r="E513" s="17"/>
    </row>
    <row r="514" spans="2:5" ht="14.25" customHeight="1" x14ac:dyDescent="0.25">
      <c r="B514" s="17"/>
      <c r="C514" s="17"/>
      <c r="D514" s="28"/>
      <c r="E514" s="17"/>
    </row>
    <row r="515" spans="2:5" ht="14.25" customHeight="1" x14ac:dyDescent="0.25">
      <c r="B515" s="17"/>
      <c r="C515" s="17"/>
      <c r="D515" s="28"/>
      <c r="E515" s="17"/>
    </row>
    <row r="516" spans="2:5" ht="14.25" customHeight="1" x14ac:dyDescent="0.25">
      <c r="B516" s="17"/>
      <c r="C516" s="17"/>
      <c r="D516" s="28"/>
      <c r="E516" s="17"/>
    </row>
    <row r="517" spans="2:5" ht="14.25" customHeight="1" x14ac:dyDescent="0.25">
      <c r="B517" s="17"/>
      <c r="C517" s="17"/>
      <c r="D517" s="28"/>
      <c r="E517" s="17"/>
    </row>
    <row r="518" spans="2:5" ht="14.25" customHeight="1" x14ac:dyDescent="0.25">
      <c r="B518" s="17"/>
      <c r="C518" s="17"/>
      <c r="D518" s="28"/>
      <c r="E518" s="17"/>
    </row>
    <row r="519" spans="2:5" ht="14.25" customHeight="1" x14ac:dyDescent="0.25">
      <c r="B519" s="17"/>
      <c r="C519" s="17"/>
      <c r="D519" s="28"/>
      <c r="E519" s="17"/>
    </row>
    <row r="520" spans="2:5" ht="14.25" customHeight="1" x14ac:dyDescent="0.25">
      <c r="B520" s="17"/>
      <c r="C520" s="17"/>
      <c r="D520" s="28"/>
      <c r="E520" s="17"/>
    </row>
    <row r="521" spans="2:5" ht="14.25" customHeight="1" x14ac:dyDescent="0.25">
      <c r="B521" s="17"/>
      <c r="C521" s="17"/>
      <c r="D521" s="28"/>
      <c r="E521" s="17"/>
    </row>
    <row r="522" spans="2:5" ht="14.25" customHeight="1" x14ac:dyDescent="0.25">
      <c r="B522" s="17"/>
      <c r="C522" s="17"/>
      <c r="D522" s="28"/>
      <c r="E522" s="17"/>
    </row>
    <row r="523" spans="2:5" ht="14.25" customHeight="1" x14ac:dyDescent="0.25">
      <c r="B523" s="17"/>
      <c r="C523" s="17"/>
      <c r="D523" s="28"/>
      <c r="E523" s="17"/>
    </row>
    <row r="524" spans="2:5" ht="14.25" customHeight="1" x14ac:dyDescent="0.25">
      <c r="B524" s="17"/>
      <c r="C524" s="17"/>
      <c r="D524" s="28"/>
      <c r="E524" s="17"/>
    </row>
    <row r="525" spans="2:5" ht="14.25" customHeight="1" x14ac:dyDescent="0.25">
      <c r="B525" s="17"/>
      <c r="C525" s="17"/>
      <c r="D525" s="28"/>
      <c r="E525" s="17"/>
    </row>
    <row r="526" spans="2:5" ht="14.25" customHeight="1" x14ac:dyDescent="0.25">
      <c r="B526" s="17"/>
      <c r="C526" s="17"/>
      <c r="D526" s="28"/>
      <c r="E526" s="17"/>
    </row>
    <row r="527" spans="2:5" ht="14.25" customHeight="1" x14ac:dyDescent="0.25">
      <c r="B527" s="17"/>
      <c r="C527" s="17"/>
      <c r="D527" s="28"/>
      <c r="E527" s="17"/>
    </row>
    <row r="528" spans="2:5" ht="14.25" customHeight="1" x14ac:dyDescent="0.25">
      <c r="B528" s="17"/>
      <c r="C528" s="17"/>
      <c r="D528" s="28"/>
      <c r="E528" s="17"/>
    </row>
    <row r="529" spans="2:5" ht="14.25" customHeight="1" x14ac:dyDescent="0.25">
      <c r="B529" s="17"/>
      <c r="C529" s="17"/>
      <c r="D529" s="28"/>
      <c r="E529" s="17"/>
    </row>
    <row r="530" spans="2:5" ht="14.25" customHeight="1" x14ac:dyDescent="0.25">
      <c r="B530" s="17"/>
      <c r="C530" s="17"/>
      <c r="D530" s="28"/>
      <c r="E530" s="17"/>
    </row>
    <row r="531" spans="2:5" ht="14.25" customHeight="1" x14ac:dyDescent="0.25">
      <c r="B531" s="17"/>
      <c r="C531" s="17"/>
      <c r="D531" s="28"/>
      <c r="E531" s="17"/>
    </row>
    <row r="532" spans="2:5" ht="14.25" customHeight="1" x14ac:dyDescent="0.25">
      <c r="B532" s="17"/>
      <c r="C532" s="17"/>
      <c r="D532" s="28"/>
      <c r="E532" s="17"/>
    </row>
    <row r="533" spans="2:5" ht="14.25" customHeight="1" x14ac:dyDescent="0.25">
      <c r="B533" s="17"/>
      <c r="C533" s="17"/>
      <c r="D533" s="28"/>
      <c r="E533" s="17"/>
    </row>
    <row r="534" spans="2:5" ht="14.25" customHeight="1" x14ac:dyDescent="0.25">
      <c r="B534" s="17"/>
      <c r="C534" s="17"/>
      <c r="D534" s="28"/>
      <c r="E534" s="17"/>
    </row>
    <row r="535" spans="2:5" ht="14.25" customHeight="1" x14ac:dyDescent="0.25">
      <c r="B535" s="17"/>
      <c r="C535" s="17"/>
      <c r="D535" s="28"/>
      <c r="E535" s="17"/>
    </row>
    <row r="536" spans="2:5" ht="14.25" customHeight="1" x14ac:dyDescent="0.25">
      <c r="B536" s="17"/>
      <c r="C536" s="17"/>
      <c r="D536" s="28"/>
      <c r="E536" s="17"/>
    </row>
    <row r="537" spans="2:5" ht="14.25" customHeight="1" x14ac:dyDescent="0.25">
      <c r="B537" s="17"/>
      <c r="C537" s="17"/>
      <c r="D537" s="28"/>
      <c r="E537" s="17"/>
    </row>
    <row r="538" spans="2:5" ht="14.25" customHeight="1" x14ac:dyDescent="0.25">
      <c r="B538" s="17"/>
      <c r="C538" s="17"/>
      <c r="D538" s="28"/>
      <c r="E538" s="17"/>
    </row>
    <row r="539" spans="2:5" ht="14.25" customHeight="1" x14ac:dyDescent="0.25">
      <c r="B539" s="17"/>
      <c r="C539" s="17"/>
      <c r="D539" s="28"/>
      <c r="E539" s="17"/>
    </row>
    <row r="540" spans="2:5" ht="14.25" customHeight="1" x14ac:dyDescent="0.25">
      <c r="B540" s="17"/>
      <c r="C540" s="17"/>
      <c r="D540" s="28"/>
      <c r="E540" s="17"/>
    </row>
    <row r="541" spans="2:5" ht="14.25" customHeight="1" x14ac:dyDescent="0.25">
      <c r="B541" s="17"/>
      <c r="C541" s="17"/>
      <c r="D541" s="28"/>
      <c r="E541" s="17"/>
    </row>
    <row r="542" spans="2:5" ht="14.25" customHeight="1" x14ac:dyDescent="0.25">
      <c r="B542" s="17"/>
      <c r="C542" s="17"/>
      <c r="D542" s="28"/>
      <c r="E542" s="17"/>
    </row>
    <row r="543" spans="2:5" ht="14.25" customHeight="1" x14ac:dyDescent="0.25">
      <c r="B543" s="17"/>
      <c r="C543" s="17"/>
      <c r="D543" s="28"/>
      <c r="E543" s="17"/>
    </row>
    <row r="544" spans="2:5" ht="14.25" customHeight="1" x14ac:dyDescent="0.25">
      <c r="B544" s="17"/>
      <c r="C544" s="17"/>
      <c r="D544" s="28"/>
      <c r="E544" s="17"/>
    </row>
    <row r="545" spans="2:5" ht="14.25" customHeight="1" x14ac:dyDescent="0.25">
      <c r="B545" s="17"/>
      <c r="C545" s="17"/>
      <c r="D545" s="28"/>
      <c r="E545" s="17"/>
    </row>
    <row r="546" spans="2:5" ht="14.25" customHeight="1" x14ac:dyDescent="0.25">
      <c r="B546" s="17"/>
      <c r="C546" s="17"/>
      <c r="D546" s="28"/>
      <c r="E546" s="17"/>
    </row>
    <row r="547" spans="2:5" ht="14.25" customHeight="1" x14ac:dyDescent="0.25">
      <c r="B547" s="17"/>
      <c r="C547" s="17"/>
      <c r="D547" s="28"/>
      <c r="E547" s="17"/>
    </row>
    <row r="548" spans="2:5" ht="14.25" customHeight="1" x14ac:dyDescent="0.25">
      <c r="B548" s="17"/>
      <c r="C548" s="17"/>
      <c r="D548" s="28"/>
      <c r="E548" s="17"/>
    </row>
    <row r="549" spans="2:5" ht="14.25" customHeight="1" x14ac:dyDescent="0.25">
      <c r="B549" s="17"/>
      <c r="C549" s="17"/>
      <c r="D549" s="28"/>
      <c r="E549" s="17"/>
    </row>
    <row r="550" spans="2:5" ht="14.25" customHeight="1" x14ac:dyDescent="0.25">
      <c r="B550" s="17"/>
      <c r="C550" s="17"/>
      <c r="D550" s="28"/>
      <c r="E550" s="17"/>
    </row>
    <row r="551" spans="2:5" ht="14.25" customHeight="1" x14ac:dyDescent="0.25">
      <c r="B551" s="17"/>
      <c r="C551" s="17"/>
      <c r="D551" s="28"/>
      <c r="E551" s="17"/>
    </row>
    <row r="552" spans="2:5" ht="14.25" customHeight="1" x14ac:dyDescent="0.25">
      <c r="B552" s="17"/>
      <c r="C552" s="17"/>
      <c r="D552" s="28"/>
      <c r="E552" s="17"/>
    </row>
    <row r="553" spans="2:5" ht="14.25" customHeight="1" x14ac:dyDescent="0.25">
      <c r="B553" s="17"/>
      <c r="C553" s="17"/>
      <c r="D553" s="28"/>
      <c r="E553" s="17"/>
    </row>
    <row r="554" spans="2:5" ht="14.25" customHeight="1" x14ac:dyDescent="0.25">
      <c r="B554" s="17"/>
      <c r="C554" s="17"/>
      <c r="D554" s="28"/>
      <c r="E554" s="17"/>
    </row>
    <row r="555" spans="2:5" ht="14.25" customHeight="1" x14ac:dyDescent="0.25">
      <c r="B555" s="17"/>
      <c r="C555" s="17"/>
      <c r="D555" s="28"/>
      <c r="E555" s="17"/>
    </row>
    <row r="556" spans="2:5" ht="14.25" customHeight="1" x14ac:dyDescent="0.25">
      <c r="B556" s="17"/>
      <c r="C556" s="17"/>
      <c r="D556" s="28"/>
      <c r="E556" s="17"/>
    </row>
    <row r="557" spans="2:5" ht="14.25" customHeight="1" x14ac:dyDescent="0.25">
      <c r="B557" s="17"/>
      <c r="C557" s="17"/>
      <c r="D557" s="28"/>
      <c r="E557" s="17"/>
    </row>
    <row r="558" spans="2:5" ht="14.25" customHeight="1" x14ac:dyDescent="0.25">
      <c r="B558" s="17"/>
      <c r="C558" s="17"/>
      <c r="D558" s="28"/>
      <c r="E558" s="17"/>
    </row>
    <row r="559" spans="2:5" ht="14.25" customHeight="1" x14ac:dyDescent="0.25">
      <c r="B559" s="17"/>
      <c r="C559" s="17"/>
      <c r="D559" s="28"/>
      <c r="E559" s="17"/>
    </row>
    <row r="560" spans="2:5" ht="14.25" customHeight="1" x14ac:dyDescent="0.25">
      <c r="B560" s="17"/>
      <c r="C560" s="17"/>
      <c r="D560" s="28"/>
      <c r="E560" s="17"/>
    </row>
    <row r="561" spans="2:5" ht="14.25" customHeight="1" x14ac:dyDescent="0.25">
      <c r="B561" s="17"/>
      <c r="C561" s="17"/>
      <c r="D561" s="28"/>
      <c r="E561" s="17"/>
    </row>
    <row r="562" spans="2:5" ht="14.25" customHeight="1" x14ac:dyDescent="0.25">
      <c r="B562" s="17"/>
      <c r="C562" s="17"/>
      <c r="D562" s="28"/>
      <c r="E562" s="17"/>
    </row>
    <row r="563" spans="2:5" ht="14.25" customHeight="1" x14ac:dyDescent="0.25">
      <c r="B563" s="17"/>
      <c r="C563" s="17"/>
      <c r="D563" s="28"/>
      <c r="E563" s="17"/>
    </row>
    <row r="564" spans="2:5" ht="14.25" customHeight="1" x14ac:dyDescent="0.25">
      <c r="B564" s="17"/>
      <c r="C564" s="17"/>
      <c r="D564" s="28"/>
      <c r="E564" s="17"/>
    </row>
    <row r="565" spans="2:5" ht="14.25" customHeight="1" x14ac:dyDescent="0.25">
      <c r="B565" s="17"/>
      <c r="C565" s="17"/>
      <c r="D565" s="28"/>
      <c r="E565" s="17"/>
    </row>
    <row r="566" spans="2:5" ht="14.25" customHeight="1" x14ac:dyDescent="0.25">
      <c r="B566" s="17"/>
      <c r="C566" s="17"/>
      <c r="D566" s="28"/>
      <c r="E566" s="17"/>
    </row>
    <row r="567" spans="2:5" ht="14.25" customHeight="1" x14ac:dyDescent="0.25">
      <c r="B567" s="17"/>
      <c r="C567" s="17"/>
      <c r="D567" s="28"/>
      <c r="E567" s="17"/>
    </row>
    <row r="568" spans="2:5" ht="14.25" customHeight="1" x14ac:dyDescent="0.25">
      <c r="B568" s="17"/>
      <c r="C568" s="17"/>
      <c r="D568" s="28"/>
      <c r="E568" s="17"/>
    </row>
    <row r="569" spans="2:5" ht="14.25" customHeight="1" x14ac:dyDescent="0.25">
      <c r="B569" s="17"/>
      <c r="C569" s="17"/>
      <c r="D569" s="28"/>
      <c r="E569" s="17"/>
    </row>
    <row r="570" spans="2:5" ht="14.25" customHeight="1" x14ac:dyDescent="0.25">
      <c r="B570" s="17"/>
      <c r="C570" s="17"/>
      <c r="D570" s="28"/>
      <c r="E570" s="17"/>
    </row>
    <row r="571" spans="2:5" ht="14.25" customHeight="1" x14ac:dyDescent="0.25">
      <c r="B571" s="17"/>
      <c r="C571" s="17"/>
      <c r="D571" s="28"/>
      <c r="E571" s="17"/>
    </row>
    <row r="572" spans="2:5" ht="14.25" customHeight="1" x14ac:dyDescent="0.25">
      <c r="B572" s="17"/>
      <c r="C572" s="17"/>
      <c r="D572" s="28"/>
      <c r="E572" s="17"/>
    </row>
    <row r="573" spans="2:5" ht="14.25" customHeight="1" x14ac:dyDescent="0.25">
      <c r="B573" s="17"/>
      <c r="C573" s="17"/>
      <c r="D573" s="28"/>
      <c r="E573" s="17"/>
    </row>
    <row r="574" spans="2:5" ht="14.25" customHeight="1" x14ac:dyDescent="0.25">
      <c r="B574" s="17"/>
      <c r="C574" s="17"/>
      <c r="D574" s="28"/>
      <c r="E574" s="17"/>
    </row>
    <row r="575" spans="2:5" ht="14.25" customHeight="1" x14ac:dyDescent="0.25">
      <c r="B575" s="17"/>
      <c r="C575" s="17"/>
      <c r="D575" s="28"/>
      <c r="E575" s="17"/>
    </row>
    <row r="576" spans="2:5" ht="14.25" customHeight="1" x14ac:dyDescent="0.25">
      <c r="B576" s="17"/>
      <c r="C576" s="17"/>
      <c r="D576" s="28"/>
      <c r="E576" s="17"/>
    </row>
    <row r="577" spans="2:5" ht="14.25" customHeight="1" x14ac:dyDescent="0.25">
      <c r="B577" s="17"/>
      <c r="C577" s="17"/>
      <c r="D577" s="28"/>
      <c r="E577" s="17"/>
    </row>
    <row r="578" spans="2:5" ht="14.25" customHeight="1" x14ac:dyDescent="0.25">
      <c r="B578" s="17"/>
      <c r="C578" s="17"/>
      <c r="D578" s="28"/>
      <c r="E578" s="17"/>
    </row>
    <row r="579" spans="2:5" ht="14.25" customHeight="1" x14ac:dyDescent="0.25">
      <c r="B579" s="17"/>
      <c r="C579" s="17"/>
      <c r="D579" s="28"/>
      <c r="E579" s="17"/>
    </row>
    <row r="580" spans="2:5" ht="14.25" customHeight="1" x14ac:dyDescent="0.25">
      <c r="B580" s="17"/>
      <c r="C580" s="17"/>
      <c r="D580" s="28"/>
      <c r="E580" s="17"/>
    </row>
    <row r="581" spans="2:5" ht="14.25" customHeight="1" x14ac:dyDescent="0.25">
      <c r="B581" s="17"/>
      <c r="C581" s="17"/>
      <c r="D581" s="28"/>
      <c r="E581" s="17"/>
    </row>
    <row r="582" spans="2:5" ht="14.25" customHeight="1" x14ac:dyDescent="0.25">
      <c r="B582" s="17"/>
      <c r="C582" s="17"/>
      <c r="D582" s="28"/>
      <c r="E582" s="17"/>
    </row>
    <row r="583" spans="2:5" ht="14.25" customHeight="1" x14ac:dyDescent="0.25">
      <c r="B583" s="17"/>
      <c r="C583" s="17"/>
      <c r="D583" s="28"/>
      <c r="E583" s="17"/>
    </row>
    <row r="584" spans="2:5" ht="14.25" customHeight="1" x14ac:dyDescent="0.25">
      <c r="B584" s="17"/>
      <c r="C584" s="17"/>
      <c r="D584" s="28"/>
      <c r="E584" s="17"/>
    </row>
    <row r="585" spans="2:5" ht="14.25" customHeight="1" x14ac:dyDescent="0.25">
      <c r="B585" s="17"/>
      <c r="C585" s="17"/>
      <c r="D585" s="28"/>
      <c r="E585" s="17"/>
    </row>
    <row r="586" spans="2:5" ht="14.25" customHeight="1" x14ac:dyDescent="0.25"/>
    <row r="587" spans="2:5" ht="14.25" customHeight="1" x14ac:dyDescent="0.25"/>
    <row r="588" spans="2:5" ht="14.25" customHeight="1" x14ac:dyDescent="0.25"/>
    <row r="589" spans="2:5" ht="14.25" customHeight="1" x14ac:dyDescent="0.25"/>
    <row r="590" spans="2:5" ht="14.25" customHeight="1" x14ac:dyDescent="0.25"/>
    <row r="591" spans="2:5" ht="14.25" customHeight="1" x14ac:dyDescent="0.25"/>
    <row r="592" spans="2:5"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F385" xr:uid="{49FF4FE3-36D3-4CA2-83B4-D8D518616037}"/>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3637B-FD68-40F7-9680-F97AD4D144B8}">
  <sheetPr>
    <tabColor rgb="FFD9E2F3"/>
  </sheetPr>
  <dimension ref="A1:E1000"/>
  <sheetViews>
    <sheetView workbookViewId="0"/>
  </sheetViews>
  <sheetFormatPr baseColWidth="10" defaultColWidth="14.42578125" defaultRowHeight="15" customHeight="1" x14ac:dyDescent="0.25"/>
  <cols>
    <col min="1" max="1" width="14.85546875" style="15" customWidth="1"/>
    <col min="2" max="2" width="10.42578125" style="15" customWidth="1"/>
    <col min="3" max="3" width="11.5703125" style="15" customWidth="1"/>
    <col min="4" max="4" width="15.7109375" style="15" customWidth="1"/>
    <col min="5" max="5" width="18.140625" style="15" customWidth="1"/>
    <col min="6" max="27" width="8.7109375" style="15" customWidth="1"/>
    <col min="28" max="16384" width="14.42578125" style="15"/>
  </cols>
  <sheetData>
    <row r="1" spans="1:5" ht="14.25" customHeight="1" x14ac:dyDescent="0.25">
      <c r="A1" s="33" t="s">
        <v>103</v>
      </c>
      <c r="B1" s="32" t="s">
        <v>5</v>
      </c>
      <c r="C1" s="32" t="s">
        <v>4</v>
      </c>
      <c r="D1" s="32" t="s">
        <v>102</v>
      </c>
      <c r="E1" s="33" t="s">
        <v>103</v>
      </c>
    </row>
    <row r="2" spans="1:5" ht="14.25" customHeight="1" x14ac:dyDescent="0.25">
      <c r="A2" s="15" t="s">
        <v>4243</v>
      </c>
      <c r="B2" s="16">
        <v>1201</v>
      </c>
      <c r="C2" s="16">
        <v>115600</v>
      </c>
      <c r="D2" s="16">
        <v>64</v>
      </c>
      <c r="E2" s="15" t="str">
        <f>B2&amp;"-"&amp;C2</f>
        <v>1201-115600</v>
      </c>
    </row>
    <row r="3" spans="1:5" ht="14.25" customHeight="1" x14ac:dyDescent="0.25">
      <c r="A3" s="15" t="s">
        <v>4244</v>
      </c>
      <c r="B3" s="16">
        <v>1201</v>
      </c>
      <c r="C3" s="16">
        <v>129208</v>
      </c>
      <c r="D3" s="17">
        <v>108</v>
      </c>
      <c r="E3" s="15" t="str">
        <f t="shared" ref="E3:E66" si="0">B3&amp;"-"&amp;C3</f>
        <v>1201-129208</v>
      </c>
    </row>
    <row r="4" spans="1:5" ht="14.25" customHeight="1" x14ac:dyDescent="0.25">
      <c r="A4" s="15" t="s">
        <v>4245</v>
      </c>
      <c r="B4" s="16">
        <v>1201</v>
      </c>
      <c r="C4" s="16">
        <v>300380</v>
      </c>
      <c r="D4" s="17">
        <v>76</v>
      </c>
      <c r="E4" s="15" t="str">
        <f t="shared" si="0"/>
        <v>1201-300380</v>
      </c>
    </row>
    <row r="5" spans="1:5" ht="14.25" customHeight="1" x14ac:dyDescent="0.25">
      <c r="A5" s="15" t="s">
        <v>4246</v>
      </c>
      <c r="B5" s="16">
        <v>1201</v>
      </c>
      <c r="C5" s="16">
        <v>23393</v>
      </c>
      <c r="D5" s="17">
        <v>114</v>
      </c>
      <c r="E5" s="15" t="str">
        <f t="shared" si="0"/>
        <v>1201-23393</v>
      </c>
    </row>
    <row r="6" spans="1:5" ht="14.25" customHeight="1" x14ac:dyDescent="0.25">
      <c r="A6" s="15" t="s">
        <v>4247</v>
      </c>
      <c r="B6" s="16">
        <v>1201</v>
      </c>
      <c r="C6" s="16">
        <v>26764</v>
      </c>
      <c r="D6" s="17">
        <v>98</v>
      </c>
      <c r="E6" s="15" t="str">
        <f t="shared" si="0"/>
        <v>1201-26764</v>
      </c>
    </row>
    <row r="7" spans="1:5" ht="14.25" customHeight="1" x14ac:dyDescent="0.25">
      <c r="A7" s="15" t="s">
        <v>4248</v>
      </c>
      <c r="B7" s="16">
        <v>1201</v>
      </c>
      <c r="C7" s="16">
        <v>53934</v>
      </c>
      <c r="D7" s="17">
        <v>88</v>
      </c>
      <c r="E7" s="15" t="str">
        <f t="shared" si="0"/>
        <v>1201-53934</v>
      </c>
    </row>
    <row r="8" spans="1:5" ht="14.25" customHeight="1" x14ac:dyDescent="0.25">
      <c r="A8" s="15" t="s">
        <v>4249</v>
      </c>
      <c r="B8" s="16">
        <v>1201</v>
      </c>
      <c r="C8" s="16">
        <v>78699</v>
      </c>
      <c r="D8" s="17">
        <v>80</v>
      </c>
      <c r="E8" s="15" t="str">
        <f t="shared" si="0"/>
        <v>1201-78699</v>
      </c>
    </row>
    <row r="9" spans="1:5" ht="14.25" customHeight="1" x14ac:dyDescent="0.25">
      <c r="A9" s="15" t="s">
        <v>4250</v>
      </c>
      <c r="B9" s="16">
        <v>1201</v>
      </c>
      <c r="C9" s="16">
        <v>78869</v>
      </c>
      <c r="D9" s="17">
        <v>112</v>
      </c>
      <c r="E9" s="15" t="str">
        <f t="shared" si="0"/>
        <v>1201-78869</v>
      </c>
    </row>
    <row r="10" spans="1:5" ht="14.25" customHeight="1" x14ac:dyDescent="0.25">
      <c r="A10" s="15" t="s">
        <v>4251</v>
      </c>
      <c r="B10" s="16">
        <v>1201</v>
      </c>
      <c r="C10" s="16">
        <v>141622</v>
      </c>
      <c r="D10" s="17">
        <v>108</v>
      </c>
      <c r="E10" s="15" t="str">
        <f t="shared" si="0"/>
        <v>1201-141622</v>
      </c>
    </row>
    <row r="11" spans="1:5" ht="14.25" customHeight="1" x14ac:dyDescent="0.25">
      <c r="A11" s="15" t="s">
        <v>4252</v>
      </c>
      <c r="B11" s="16">
        <v>1201</v>
      </c>
      <c r="C11" s="16">
        <v>141626</v>
      </c>
      <c r="D11" s="17">
        <v>90</v>
      </c>
      <c r="E11" s="15" t="str">
        <f t="shared" si="0"/>
        <v>1201-141626</v>
      </c>
    </row>
    <row r="12" spans="1:5" ht="14.25" customHeight="1" x14ac:dyDescent="0.25">
      <c r="A12" s="15" t="s">
        <v>4253</v>
      </c>
      <c r="B12" s="16">
        <v>1201</v>
      </c>
      <c r="C12" s="16">
        <v>141791</v>
      </c>
      <c r="D12" s="17">
        <v>68</v>
      </c>
      <c r="E12" s="15" t="str">
        <f t="shared" si="0"/>
        <v>1201-141791</v>
      </c>
    </row>
    <row r="13" spans="1:5" ht="14.25" customHeight="1" x14ac:dyDescent="0.25">
      <c r="A13" s="15" t="s">
        <v>4254</v>
      </c>
      <c r="B13" s="16">
        <v>1201</v>
      </c>
      <c r="C13" s="16">
        <v>141846</v>
      </c>
      <c r="D13" s="17">
        <v>74</v>
      </c>
      <c r="E13" s="15" t="str">
        <f t="shared" si="0"/>
        <v>1201-141846</v>
      </c>
    </row>
    <row r="14" spans="1:5" ht="14.25" customHeight="1" x14ac:dyDescent="0.25">
      <c r="A14" s="15" t="s">
        <v>4255</v>
      </c>
      <c r="B14" s="16">
        <v>1201</v>
      </c>
      <c r="C14" s="16">
        <v>141967</v>
      </c>
      <c r="D14" s="17">
        <v>114</v>
      </c>
      <c r="E14" s="15" t="str">
        <f t="shared" si="0"/>
        <v>1201-141967</v>
      </c>
    </row>
    <row r="15" spans="1:5" ht="14.25" customHeight="1" x14ac:dyDescent="0.25">
      <c r="A15" s="15" t="s">
        <v>4256</v>
      </c>
      <c r="B15" s="16">
        <v>1201</v>
      </c>
      <c r="C15" s="16">
        <v>142194</v>
      </c>
      <c r="D15" s="17">
        <v>120</v>
      </c>
      <c r="E15" s="15" t="str">
        <f t="shared" si="0"/>
        <v>1201-142194</v>
      </c>
    </row>
    <row r="16" spans="1:5" ht="14.25" customHeight="1" x14ac:dyDescent="0.25">
      <c r="A16" s="15" t="s">
        <v>4257</v>
      </c>
      <c r="B16" s="16">
        <v>1201</v>
      </c>
      <c r="C16" s="16">
        <v>149729</v>
      </c>
      <c r="D16" s="17">
        <v>94</v>
      </c>
      <c r="E16" s="15" t="str">
        <f t="shared" si="0"/>
        <v>1201-149729</v>
      </c>
    </row>
    <row r="17" spans="1:5" ht="14.25" customHeight="1" x14ac:dyDescent="0.25">
      <c r="A17" s="15" t="s">
        <v>4258</v>
      </c>
      <c r="B17" s="16">
        <v>1201</v>
      </c>
      <c r="C17" s="16">
        <v>149779</v>
      </c>
      <c r="D17" s="17">
        <v>72</v>
      </c>
      <c r="E17" s="15" t="str">
        <f t="shared" si="0"/>
        <v>1201-149779</v>
      </c>
    </row>
    <row r="18" spans="1:5" ht="14.25" customHeight="1" x14ac:dyDescent="0.25">
      <c r="A18" s="15" t="s">
        <v>4259</v>
      </c>
      <c r="B18" s="16">
        <v>1201</v>
      </c>
      <c r="C18" s="16">
        <v>189933</v>
      </c>
      <c r="D18" s="17">
        <v>82</v>
      </c>
      <c r="E18" s="15" t="str">
        <f t="shared" si="0"/>
        <v>1201-189933</v>
      </c>
    </row>
    <row r="19" spans="1:5" ht="14.25" customHeight="1" x14ac:dyDescent="0.25">
      <c r="A19" s="15" t="s">
        <v>4260</v>
      </c>
      <c r="B19" s="16">
        <v>1201</v>
      </c>
      <c r="C19" s="16">
        <v>202577</v>
      </c>
      <c r="D19" s="17">
        <v>88</v>
      </c>
      <c r="E19" s="15" t="str">
        <f t="shared" si="0"/>
        <v>1201-202577</v>
      </c>
    </row>
    <row r="20" spans="1:5" ht="14.25" customHeight="1" x14ac:dyDescent="0.25">
      <c r="A20" s="15" t="s">
        <v>4261</v>
      </c>
      <c r="B20" s="16">
        <v>1201</v>
      </c>
      <c r="C20" s="16">
        <v>234334</v>
      </c>
      <c r="D20" s="17">
        <v>60</v>
      </c>
      <c r="E20" s="15" t="str">
        <f t="shared" si="0"/>
        <v>1201-234334</v>
      </c>
    </row>
    <row r="21" spans="1:5" ht="14.25" customHeight="1" x14ac:dyDescent="0.25">
      <c r="A21" s="15" t="s">
        <v>4262</v>
      </c>
      <c r="B21" s="16">
        <v>1201</v>
      </c>
      <c r="C21" s="16">
        <v>249444</v>
      </c>
      <c r="D21" s="17">
        <v>86</v>
      </c>
      <c r="E21" s="15" t="str">
        <f t="shared" si="0"/>
        <v>1201-249444</v>
      </c>
    </row>
    <row r="22" spans="1:5" ht="14.25" customHeight="1" x14ac:dyDescent="0.25">
      <c r="A22" s="15" t="s">
        <v>4263</v>
      </c>
      <c r="B22" s="16">
        <v>1201</v>
      </c>
      <c r="C22" s="16">
        <v>249795</v>
      </c>
      <c r="D22" s="17">
        <v>116</v>
      </c>
      <c r="E22" s="15" t="str">
        <f t="shared" si="0"/>
        <v>1201-249795</v>
      </c>
    </row>
    <row r="23" spans="1:5" ht="14.25" customHeight="1" x14ac:dyDescent="0.25">
      <c r="A23" s="15" t="s">
        <v>4264</v>
      </c>
      <c r="B23" s="16">
        <v>1201</v>
      </c>
      <c r="C23" s="16">
        <v>250979</v>
      </c>
      <c r="D23" s="17">
        <v>84</v>
      </c>
      <c r="E23" s="15" t="str">
        <f t="shared" si="0"/>
        <v>1201-250979</v>
      </c>
    </row>
    <row r="24" spans="1:5" ht="14.25" customHeight="1" x14ac:dyDescent="0.25">
      <c r="A24" s="15" t="s">
        <v>4265</v>
      </c>
      <c r="B24" s="16">
        <v>1201</v>
      </c>
      <c r="C24" s="16">
        <v>250981</v>
      </c>
      <c r="D24" s="17">
        <v>44</v>
      </c>
      <c r="E24" s="15" t="str">
        <f t="shared" si="0"/>
        <v>1201-250981</v>
      </c>
    </row>
    <row r="25" spans="1:5" ht="14.25" customHeight="1" x14ac:dyDescent="0.25">
      <c r="A25" s="15" t="s">
        <v>4266</v>
      </c>
      <c r="B25" s="16">
        <v>1201</v>
      </c>
      <c r="C25" s="16">
        <v>262294</v>
      </c>
      <c r="D25" s="17">
        <v>40</v>
      </c>
      <c r="E25" s="15" t="str">
        <f t="shared" si="0"/>
        <v>1201-262294</v>
      </c>
    </row>
    <row r="26" spans="1:5" ht="14.25" customHeight="1" x14ac:dyDescent="0.25">
      <c r="A26" s="15" t="s">
        <v>4267</v>
      </c>
      <c r="B26" s="16">
        <v>1201</v>
      </c>
      <c r="C26" s="16">
        <v>268831</v>
      </c>
      <c r="D26" s="17">
        <v>120</v>
      </c>
      <c r="E26" s="15" t="str">
        <f t="shared" si="0"/>
        <v>1201-268831</v>
      </c>
    </row>
    <row r="27" spans="1:5" ht="14.25" customHeight="1" x14ac:dyDescent="0.25">
      <c r="A27" s="15" t="s">
        <v>4268</v>
      </c>
      <c r="B27" s="16">
        <v>1201</v>
      </c>
      <c r="C27" s="16">
        <v>273701</v>
      </c>
      <c r="D27" s="17">
        <v>90</v>
      </c>
      <c r="E27" s="15" t="str">
        <f t="shared" si="0"/>
        <v>1201-273701</v>
      </c>
    </row>
    <row r="28" spans="1:5" ht="14.25" customHeight="1" x14ac:dyDescent="0.25">
      <c r="A28" s="15" t="s">
        <v>4269</v>
      </c>
      <c r="B28" s="16">
        <v>1201</v>
      </c>
      <c r="C28" s="16">
        <v>291726</v>
      </c>
      <c r="D28" s="17">
        <v>40</v>
      </c>
      <c r="E28" s="15" t="str">
        <f t="shared" si="0"/>
        <v>1201-291726</v>
      </c>
    </row>
    <row r="29" spans="1:5" ht="14.25" customHeight="1" x14ac:dyDescent="0.25">
      <c r="A29" s="15" t="s">
        <v>4270</v>
      </c>
      <c r="B29" s="16">
        <v>1201</v>
      </c>
      <c r="C29" s="16">
        <v>291728</v>
      </c>
      <c r="D29" s="17">
        <v>104</v>
      </c>
      <c r="E29" s="15" t="str">
        <f t="shared" si="0"/>
        <v>1201-291728</v>
      </c>
    </row>
    <row r="30" spans="1:5" ht="14.25" customHeight="1" x14ac:dyDescent="0.25">
      <c r="A30" s="15" t="s">
        <v>4271</v>
      </c>
      <c r="B30" s="16">
        <v>1201</v>
      </c>
      <c r="C30" s="16">
        <v>571521</v>
      </c>
      <c r="D30" s="17">
        <v>50</v>
      </c>
      <c r="E30" s="15" t="str">
        <f t="shared" si="0"/>
        <v>1201-571521</v>
      </c>
    </row>
    <row r="31" spans="1:5" ht="14.25" customHeight="1" x14ac:dyDescent="0.25">
      <c r="A31" s="15" t="s">
        <v>4272</v>
      </c>
      <c r="B31" s="16">
        <v>1201</v>
      </c>
      <c r="C31" s="16">
        <v>614993</v>
      </c>
      <c r="D31" s="17">
        <v>100</v>
      </c>
      <c r="E31" s="15" t="str">
        <f t="shared" si="0"/>
        <v>1201-614993</v>
      </c>
    </row>
    <row r="32" spans="1:5" ht="14.25" customHeight="1" x14ac:dyDescent="0.25">
      <c r="A32" s="15" t="s">
        <v>4273</v>
      </c>
      <c r="B32" s="16">
        <v>1202</v>
      </c>
      <c r="C32" s="16">
        <v>115600</v>
      </c>
      <c r="D32" s="17">
        <v>110</v>
      </c>
      <c r="E32" s="15" t="str">
        <f t="shared" si="0"/>
        <v>1202-115600</v>
      </c>
    </row>
    <row r="33" spans="1:5" ht="14.25" customHeight="1" x14ac:dyDescent="0.25">
      <c r="A33" s="15" t="s">
        <v>4274</v>
      </c>
      <c r="B33" s="16">
        <v>1202</v>
      </c>
      <c r="C33" s="16">
        <v>129208</v>
      </c>
      <c r="D33" s="17">
        <v>74</v>
      </c>
      <c r="E33" s="15" t="str">
        <f t="shared" si="0"/>
        <v>1202-129208</v>
      </c>
    </row>
    <row r="34" spans="1:5" ht="14.25" customHeight="1" x14ac:dyDescent="0.25">
      <c r="A34" s="15" t="s">
        <v>4275</v>
      </c>
      <c r="B34" s="16">
        <v>1202</v>
      </c>
      <c r="C34" s="16">
        <v>300380</v>
      </c>
      <c r="D34" s="17">
        <v>76</v>
      </c>
      <c r="E34" s="15" t="str">
        <f t="shared" si="0"/>
        <v>1202-300380</v>
      </c>
    </row>
    <row r="35" spans="1:5" ht="14.25" customHeight="1" x14ac:dyDescent="0.25">
      <c r="A35" s="15" t="s">
        <v>4276</v>
      </c>
      <c r="B35" s="16">
        <v>1202</v>
      </c>
      <c r="C35" s="16">
        <v>23393</v>
      </c>
      <c r="D35" s="17">
        <v>106</v>
      </c>
      <c r="E35" s="15" t="str">
        <f t="shared" si="0"/>
        <v>1202-23393</v>
      </c>
    </row>
    <row r="36" spans="1:5" ht="14.25" customHeight="1" x14ac:dyDescent="0.25">
      <c r="A36" s="15" t="s">
        <v>4277</v>
      </c>
      <c r="B36" s="16">
        <v>1202</v>
      </c>
      <c r="C36" s="16">
        <v>26764</v>
      </c>
      <c r="D36" s="17">
        <v>92</v>
      </c>
      <c r="E36" s="15" t="str">
        <f t="shared" si="0"/>
        <v>1202-26764</v>
      </c>
    </row>
    <row r="37" spans="1:5" ht="14.25" customHeight="1" x14ac:dyDescent="0.25">
      <c r="A37" s="15" t="s">
        <v>4278</v>
      </c>
      <c r="B37" s="16">
        <v>1202</v>
      </c>
      <c r="C37" s="16">
        <v>53934</v>
      </c>
      <c r="D37" s="17">
        <v>90</v>
      </c>
      <c r="E37" s="15" t="str">
        <f t="shared" si="0"/>
        <v>1202-53934</v>
      </c>
    </row>
    <row r="38" spans="1:5" ht="14.25" customHeight="1" x14ac:dyDescent="0.25">
      <c r="A38" s="15" t="s">
        <v>4279</v>
      </c>
      <c r="B38" s="16">
        <v>1202</v>
      </c>
      <c r="C38" s="16">
        <v>78699</v>
      </c>
      <c r="D38" s="17">
        <v>52</v>
      </c>
      <c r="E38" s="15" t="str">
        <f t="shared" si="0"/>
        <v>1202-78699</v>
      </c>
    </row>
    <row r="39" spans="1:5" ht="14.25" customHeight="1" x14ac:dyDescent="0.25">
      <c r="A39" s="15" t="s">
        <v>4280</v>
      </c>
      <c r="B39" s="16">
        <v>1202</v>
      </c>
      <c r="C39" s="16">
        <v>78869</v>
      </c>
      <c r="D39" s="17">
        <v>66</v>
      </c>
      <c r="E39" s="15" t="str">
        <f t="shared" si="0"/>
        <v>1202-78869</v>
      </c>
    </row>
    <row r="40" spans="1:5" ht="14.25" customHeight="1" x14ac:dyDescent="0.25">
      <c r="A40" s="15" t="s">
        <v>4281</v>
      </c>
      <c r="B40" s="16">
        <v>1202</v>
      </c>
      <c r="C40" s="16">
        <v>141622</v>
      </c>
      <c r="D40" s="17">
        <v>112</v>
      </c>
      <c r="E40" s="15" t="str">
        <f t="shared" si="0"/>
        <v>1202-141622</v>
      </c>
    </row>
    <row r="41" spans="1:5" ht="14.25" customHeight="1" x14ac:dyDescent="0.25">
      <c r="A41" s="15" t="s">
        <v>4282</v>
      </c>
      <c r="B41" s="16">
        <v>1202</v>
      </c>
      <c r="C41" s="16">
        <v>141626</v>
      </c>
      <c r="D41" s="17">
        <v>70</v>
      </c>
      <c r="E41" s="15" t="str">
        <f t="shared" si="0"/>
        <v>1202-141626</v>
      </c>
    </row>
    <row r="42" spans="1:5" ht="14.25" customHeight="1" x14ac:dyDescent="0.25">
      <c r="A42" s="15" t="s">
        <v>4283</v>
      </c>
      <c r="B42" s="16">
        <v>1202</v>
      </c>
      <c r="C42" s="16">
        <v>141791</v>
      </c>
      <c r="D42" s="17">
        <v>118</v>
      </c>
      <c r="E42" s="15" t="str">
        <f t="shared" si="0"/>
        <v>1202-141791</v>
      </c>
    </row>
    <row r="43" spans="1:5" ht="14.25" customHeight="1" x14ac:dyDescent="0.25">
      <c r="A43" s="15" t="s">
        <v>4284</v>
      </c>
      <c r="B43" s="16">
        <v>1202</v>
      </c>
      <c r="C43" s="16">
        <v>141846</v>
      </c>
      <c r="D43" s="17">
        <v>62</v>
      </c>
      <c r="E43" s="15" t="str">
        <f t="shared" si="0"/>
        <v>1202-141846</v>
      </c>
    </row>
    <row r="44" spans="1:5" ht="14.25" customHeight="1" x14ac:dyDescent="0.25">
      <c r="A44" s="15" t="s">
        <v>4285</v>
      </c>
      <c r="B44" s="16">
        <v>1202</v>
      </c>
      <c r="C44" s="16">
        <v>141967</v>
      </c>
      <c r="D44" s="17">
        <v>94</v>
      </c>
      <c r="E44" s="15" t="str">
        <f t="shared" si="0"/>
        <v>1202-141967</v>
      </c>
    </row>
    <row r="45" spans="1:5" ht="14.25" customHeight="1" x14ac:dyDescent="0.25">
      <c r="A45" s="15" t="s">
        <v>4286</v>
      </c>
      <c r="B45" s="16">
        <v>1202</v>
      </c>
      <c r="C45" s="16">
        <v>142194</v>
      </c>
      <c r="D45" s="17">
        <v>98</v>
      </c>
      <c r="E45" s="15" t="str">
        <f t="shared" si="0"/>
        <v>1202-142194</v>
      </c>
    </row>
    <row r="46" spans="1:5" ht="14.25" customHeight="1" x14ac:dyDescent="0.25">
      <c r="A46" s="15" t="s">
        <v>4287</v>
      </c>
      <c r="B46" s="16">
        <v>1202</v>
      </c>
      <c r="C46" s="16">
        <v>149729</v>
      </c>
      <c r="D46" s="17">
        <v>102</v>
      </c>
      <c r="E46" s="15" t="str">
        <f t="shared" si="0"/>
        <v>1202-149729</v>
      </c>
    </row>
    <row r="47" spans="1:5" ht="14.25" customHeight="1" x14ac:dyDescent="0.25">
      <c r="A47" s="15" t="s">
        <v>4288</v>
      </c>
      <c r="B47" s="16">
        <v>1202</v>
      </c>
      <c r="C47" s="16">
        <v>149779</v>
      </c>
      <c r="D47" s="17">
        <v>88</v>
      </c>
      <c r="E47" s="15" t="str">
        <f t="shared" si="0"/>
        <v>1202-149779</v>
      </c>
    </row>
    <row r="48" spans="1:5" ht="14.25" customHeight="1" x14ac:dyDescent="0.25">
      <c r="A48" s="15" t="s">
        <v>4289</v>
      </c>
      <c r="B48" s="16">
        <v>1202</v>
      </c>
      <c r="C48" s="16">
        <v>189933</v>
      </c>
      <c r="D48" s="17">
        <v>66</v>
      </c>
      <c r="E48" s="15" t="str">
        <f t="shared" si="0"/>
        <v>1202-189933</v>
      </c>
    </row>
    <row r="49" spans="1:5" ht="14.25" customHeight="1" x14ac:dyDescent="0.25">
      <c r="A49" s="15" t="s">
        <v>4290</v>
      </c>
      <c r="B49" s="16">
        <v>1202</v>
      </c>
      <c r="C49" s="16">
        <v>202577</v>
      </c>
      <c r="D49" s="17">
        <v>64</v>
      </c>
      <c r="E49" s="15" t="str">
        <f t="shared" si="0"/>
        <v>1202-202577</v>
      </c>
    </row>
    <row r="50" spans="1:5" ht="14.25" customHeight="1" x14ac:dyDescent="0.25">
      <c r="A50" s="15" t="s">
        <v>4291</v>
      </c>
      <c r="B50" s="16">
        <v>1202</v>
      </c>
      <c r="C50" s="16">
        <v>234334</v>
      </c>
      <c r="D50" s="17">
        <v>72</v>
      </c>
      <c r="E50" s="15" t="str">
        <f t="shared" si="0"/>
        <v>1202-234334</v>
      </c>
    </row>
    <row r="51" spans="1:5" ht="14.25" customHeight="1" x14ac:dyDescent="0.25">
      <c r="A51" s="15" t="s">
        <v>4292</v>
      </c>
      <c r="B51" s="16">
        <v>1202</v>
      </c>
      <c r="C51" s="16">
        <v>249444</v>
      </c>
      <c r="D51" s="17">
        <v>74</v>
      </c>
      <c r="E51" s="15" t="str">
        <f t="shared" si="0"/>
        <v>1202-249444</v>
      </c>
    </row>
    <row r="52" spans="1:5" ht="14.25" customHeight="1" x14ac:dyDescent="0.25">
      <c r="A52" s="15" t="s">
        <v>4293</v>
      </c>
      <c r="B52" s="16">
        <v>1202</v>
      </c>
      <c r="C52" s="16">
        <v>249795</v>
      </c>
      <c r="D52" s="17">
        <v>78</v>
      </c>
      <c r="E52" s="15" t="str">
        <f t="shared" si="0"/>
        <v>1202-249795</v>
      </c>
    </row>
    <row r="53" spans="1:5" ht="14.25" customHeight="1" x14ac:dyDescent="0.25">
      <c r="A53" s="15" t="s">
        <v>4294</v>
      </c>
      <c r="B53" s="16">
        <v>1202</v>
      </c>
      <c r="C53" s="16">
        <v>250979</v>
      </c>
      <c r="D53" s="17">
        <v>56</v>
      </c>
      <c r="E53" s="15" t="str">
        <f t="shared" si="0"/>
        <v>1202-250979</v>
      </c>
    </row>
    <row r="54" spans="1:5" ht="14.25" customHeight="1" x14ac:dyDescent="0.25">
      <c r="A54" s="15" t="s">
        <v>4295</v>
      </c>
      <c r="B54" s="16">
        <v>1202</v>
      </c>
      <c r="C54" s="16">
        <v>250981</v>
      </c>
      <c r="D54" s="17">
        <v>66</v>
      </c>
      <c r="E54" s="15" t="str">
        <f t="shared" si="0"/>
        <v>1202-250981</v>
      </c>
    </row>
    <row r="55" spans="1:5" ht="14.25" customHeight="1" x14ac:dyDescent="0.25">
      <c r="A55" s="15" t="s">
        <v>4296</v>
      </c>
      <c r="B55" s="16">
        <v>1202</v>
      </c>
      <c r="C55" s="16">
        <v>262294</v>
      </c>
      <c r="D55" s="17">
        <v>96</v>
      </c>
      <c r="E55" s="15" t="str">
        <f t="shared" si="0"/>
        <v>1202-262294</v>
      </c>
    </row>
    <row r="56" spans="1:5" ht="14.25" customHeight="1" x14ac:dyDescent="0.25">
      <c r="A56" s="15" t="s">
        <v>4297</v>
      </c>
      <c r="B56" s="16">
        <v>1202</v>
      </c>
      <c r="C56" s="16">
        <v>268831</v>
      </c>
      <c r="D56" s="17">
        <v>68</v>
      </c>
      <c r="E56" s="15" t="str">
        <f t="shared" si="0"/>
        <v>1202-268831</v>
      </c>
    </row>
    <row r="57" spans="1:5" ht="14.25" customHeight="1" x14ac:dyDescent="0.25">
      <c r="A57" s="15" t="s">
        <v>4298</v>
      </c>
      <c r="B57" s="16">
        <v>1202</v>
      </c>
      <c r="C57" s="16">
        <v>273701</v>
      </c>
      <c r="D57" s="17">
        <v>112</v>
      </c>
      <c r="E57" s="15" t="str">
        <f t="shared" si="0"/>
        <v>1202-273701</v>
      </c>
    </row>
    <row r="58" spans="1:5" ht="14.25" customHeight="1" x14ac:dyDescent="0.25">
      <c r="A58" s="15" t="s">
        <v>4299</v>
      </c>
      <c r="B58" s="16">
        <v>1202</v>
      </c>
      <c r="C58" s="16">
        <v>291726</v>
      </c>
      <c r="D58" s="17">
        <v>106</v>
      </c>
      <c r="E58" s="15" t="str">
        <f t="shared" si="0"/>
        <v>1202-291726</v>
      </c>
    </row>
    <row r="59" spans="1:5" ht="14.25" customHeight="1" x14ac:dyDescent="0.25">
      <c r="A59" s="15" t="s">
        <v>4300</v>
      </c>
      <c r="B59" s="16">
        <v>1202</v>
      </c>
      <c r="C59" s="16">
        <v>291728</v>
      </c>
      <c r="D59" s="17">
        <v>64</v>
      </c>
      <c r="E59" s="15" t="str">
        <f t="shared" si="0"/>
        <v>1202-291728</v>
      </c>
    </row>
    <row r="60" spans="1:5" ht="14.25" customHeight="1" x14ac:dyDescent="0.25">
      <c r="A60" s="15" t="s">
        <v>4301</v>
      </c>
      <c r="B60" s="16">
        <v>1202</v>
      </c>
      <c r="C60" s="16">
        <v>571521</v>
      </c>
      <c r="D60" s="17">
        <v>46</v>
      </c>
      <c r="E60" s="15" t="str">
        <f t="shared" si="0"/>
        <v>1202-571521</v>
      </c>
    </row>
    <row r="61" spans="1:5" ht="14.25" customHeight="1" x14ac:dyDescent="0.25">
      <c r="A61" s="15" t="s">
        <v>4302</v>
      </c>
      <c r="B61" s="16">
        <v>1202</v>
      </c>
      <c r="C61" s="16">
        <v>614993</v>
      </c>
      <c r="D61" s="17">
        <v>76</v>
      </c>
      <c r="E61" s="15" t="str">
        <f t="shared" si="0"/>
        <v>1202-614993</v>
      </c>
    </row>
    <row r="62" spans="1:5" ht="14.25" customHeight="1" x14ac:dyDescent="0.25">
      <c r="A62" s="15" t="s">
        <v>4303</v>
      </c>
      <c r="B62" s="16">
        <v>1203</v>
      </c>
      <c r="C62" s="16">
        <v>115600</v>
      </c>
      <c r="D62" s="17">
        <v>68</v>
      </c>
      <c r="E62" s="15" t="str">
        <f t="shared" si="0"/>
        <v>1203-115600</v>
      </c>
    </row>
    <row r="63" spans="1:5" ht="14.25" customHeight="1" x14ac:dyDescent="0.25">
      <c r="A63" s="15" t="s">
        <v>4304</v>
      </c>
      <c r="B63" s="16">
        <v>1203</v>
      </c>
      <c r="C63" s="16">
        <v>129208</v>
      </c>
      <c r="D63" s="17">
        <v>100</v>
      </c>
      <c r="E63" s="15" t="str">
        <f t="shared" si="0"/>
        <v>1203-129208</v>
      </c>
    </row>
    <row r="64" spans="1:5" ht="14.25" customHeight="1" x14ac:dyDescent="0.25">
      <c r="A64" s="15" t="s">
        <v>4305</v>
      </c>
      <c r="B64" s="16">
        <v>1203</v>
      </c>
      <c r="C64" s="16">
        <v>300380</v>
      </c>
      <c r="D64" s="17">
        <v>74</v>
      </c>
      <c r="E64" s="15" t="str">
        <f t="shared" si="0"/>
        <v>1203-300380</v>
      </c>
    </row>
    <row r="65" spans="1:5" ht="14.25" customHeight="1" x14ac:dyDescent="0.25">
      <c r="A65" s="15" t="s">
        <v>4306</v>
      </c>
      <c r="B65" s="16">
        <v>1203</v>
      </c>
      <c r="C65" s="16">
        <v>23393</v>
      </c>
      <c r="D65" s="17">
        <v>64</v>
      </c>
      <c r="E65" s="15" t="str">
        <f t="shared" si="0"/>
        <v>1203-23393</v>
      </c>
    </row>
    <row r="66" spans="1:5" ht="14.25" customHeight="1" x14ac:dyDescent="0.25">
      <c r="A66" s="15" t="s">
        <v>4307</v>
      </c>
      <c r="B66" s="16">
        <v>1203</v>
      </c>
      <c r="C66" s="16">
        <v>26764</v>
      </c>
      <c r="D66" s="17">
        <v>112</v>
      </c>
      <c r="E66" s="15" t="str">
        <f t="shared" si="0"/>
        <v>1203-26764</v>
      </c>
    </row>
    <row r="67" spans="1:5" ht="14.25" customHeight="1" x14ac:dyDescent="0.25">
      <c r="A67" s="15" t="s">
        <v>4308</v>
      </c>
      <c r="B67" s="16">
        <v>1203</v>
      </c>
      <c r="C67" s="16">
        <v>53934</v>
      </c>
      <c r="D67" s="17">
        <v>62</v>
      </c>
      <c r="E67" s="15" t="str">
        <f t="shared" ref="E67:E130" si="1">B67&amp;"-"&amp;C67</f>
        <v>1203-53934</v>
      </c>
    </row>
    <row r="68" spans="1:5" ht="14.25" customHeight="1" x14ac:dyDescent="0.25">
      <c r="A68" s="15" t="s">
        <v>4309</v>
      </c>
      <c r="B68" s="16">
        <v>1203</v>
      </c>
      <c r="C68" s="16">
        <v>78699</v>
      </c>
      <c r="D68" s="17">
        <v>50</v>
      </c>
      <c r="E68" s="15" t="str">
        <f t="shared" si="1"/>
        <v>1203-78699</v>
      </c>
    </row>
    <row r="69" spans="1:5" ht="14.25" customHeight="1" x14ac:dyDescent="0.25">
      <c r="A69" s="15" t="s">
        <v>4310</v>
      </c>
      <c r="B69" s="16">
        <v>1203</v>
      </c>
      <c r="C69" s="16">
        <v>78869</v>
      </c>
      <c r="D69" s="17">
        <v>100</v>
      </c>
      <c r="E69" s="15" t="str">
        <f t="shared" si="1"/>
        <v>1203-78869</v>
      </c>
    </row>
    <row r="70" spans="1:5" ht="14.25" customHeight="1" x14ac:dyDescent="0.25">
      <c r="A70" s="15" t="s">
        <v>4311</v>
      </c>
      <c r="B70" s="16">
        <v>1203</v>
      </c>
      <c r="C70" s="16">
        <v>141622</v>
      </c>
      <c r="D70" s="17">
        <v>104</v>
      </c>
      <c r="E70" s="15" t="str">
        <f t="shared" si="1"/>
        <v>1203-141622</v>
      </c>
    </row>
    <row r="71" spans="1:5" ht="14.25" customHeight="1" x14ac:dyDescent="0.25">
      <c r="A71" s="15" t="s">
        <v>4312</v>
      </c>
      <c r="B71" s="16">
        <v>1203</v>
      </c>
      <c r="C71" s="16">
        <v>141626</v>
      </c>
      <c r="D71" s="17">
        <v>112</v>
      </c>
      <c r="E71" s="15" t="str">
        <f t="shared" si="1"/>
        <v>1203-141626</v>
      </c>
    </row>
    <row r="72" spans="1:5" ht="14.25" customHeight="1" x14ac:dyDescent="0.25">
      <c r="A72" s="15" t="s">
        <v>4313</v>
      </c>
      <c r="B72" s="16">
        <v>1203</v>
      </c>
      <c r="C72" s="16">
        <v>141791</v>
      </c>
      <c r="D72" s="17">
        <v>76</v>
      </c>
      <c r="E72" s="15" t="str">
        <f t="shared" si="1"/>
        <v>1203-141791</v>
      </c>
    </row>
    <row r="73" spans="1:5" ht="14.25" customHeight="1" x14ac:dyDescent="0.25">
      <c r="A73" s="15" t="s">
        <v>4314</v>
      </c>
      <c r="B73" s="16">
        <v>1203</v>
      </c>
      <c r="C73" s="16">
        <v>141846</v>
      </c>
      <c r="D73" s="17">
        <v>108</v>
      </c>
      <c r="E73" s="15" t="str">
        <f t="shared" si="1"/>
        <v>1203-141846</v>
      </c>
    </row>
    <row r="74" spans="1:5" ht="14.25" customHeight="1" x14ac:dyDescent="0.25">
      <c r="A74" s="15" t="s">
        <v>4315</v>
      </c>
      <c r="B74" s="16">
        <v>1203</v>
      </c>
      <c r="C74" s="16">
        <v>141967</v>
      </c>
      <c r="D74" s="17">
        <v>40</v>
      </c>
      <c r="E74" s="15" t="str">
        <f t="shared" si="1"/>
        <v>1203-141967</v>
      </c>
    </row>
    <row r="75" spans="1:5" ht="14.25" customHeight="1" x14ac:dyDescent="0.25">
      <c r="A75" s="15" t="s">
        <v>4316</v>
      </c>
      <c r="B75" s="16">
        <v>1203</v>
      </c>
      <c r="C75" s="16">
        <v>142194</v>
      </c>
      <c r="D75" s="17">
        <v>120</v>
      </c>
      <c r="E75" s="15" t="str">
        <f t="shared" si="1"/>
        <v>1203-142194</v>
      </c>
    </row>
    <row r="76" spans="1:5" ht="14.25" customHeight="1" x14ac:dyDescent="0.25">
      <c r="A76" s="15" t="s">
        <v>4317</v>
      </c>
      <c r="B76" s="16">
        <v>1203</v>
      </c>
      <c r="C76" s="16">
        <v>149729</v>
      </c>
      <c r="D76" s="17">
        <v>102</v>
      </c>
      <c r="E76" s="15" t="str">
        <f t="shared" si="1"/>
        <v>1203-149729</v>
      </c>
    </row>
    <row r="77" spans="1:5" ht="14.25" customHeight="1" x14ac:dyDescent="0.25">
      <c r="A77" s="15" t="s">
        <v>4318</v>
      </c>
      <c r="B77" s="16">
        <v>1203</v>
      </c>
      <c r="C77" s="16">
        <v>149779</v>
      </c>
      <c r="D77" s="17">
        <v>40</v>
      </c>
      <c r="E77" s="15" t="str">
        <f t="shared" si="1"/>
        <v>1203-149779</v>
      </c>
    </row>
    <row r="78" spans="1:5" ht="14.25" customHeight="1" x14ac:dyDescent="0.25">
      <c r="A78" s="15" t="s">
        <v>4319</v>
      </c>
      <c r="B78" s="16">
        <v>1203</v>
      </c>
      <c r="C78" s="16">
        <v>189933</v>
      </c>
      <c r="D78" s="17">
        <v>42</v>
      </c>
      <c r="E78" s="15" t="str">
        <f t="shared" si="1"/>
        <v>1203-189933</v>
      </c>
    </row>
    <row r="79" spans="1:5" ht="14.25" customHeight="1" x14ac:dyDescent="0.25">
      <c r="A79" s="15" t="s">
        <v>4320</v>
      </c>
      <c r="B79" s="16">
        <v>1203</v>
      </c>
      <c r="C79" s="16">
        <v>202577</v>
      </c>
      <c r="D79" s="17">
        <v>94</v>
      </c>
      <c r="E79" s="15" t="str">
        <f t="shared" si="1"/>
        <v>1203-202577</v>
      </c>
    </row>
    <row r="80" spans="1:5" ht="14.25" customHeight="1" x14ac:dyDescent="0.25">
      <c r="A80" s="15" t="s">
        <v>4321</v>
      </c>
      <c r="B80" s="16">
        <v>1203</v>
      </c>
      <c r="C80" s="16">
        <v>234334</v>
      </c>
      <c r="D80" s="17">
        <v>102</v>
      </c>
      <c r="E80" s="15" t="str">
        <f t="shared" si="1"/>
        <v>1203-234334</v>
      </c>
    </row>
    <row r="81" spans="1:5" ht="14.25" customHeight="1" x14ac:dyDescent="0.25">
      <c r="A81" s="15" t="s">
        <v>4322</v>
      </c>
      <c r="B81" s="16">
        <v>1203</v>
      </c>
      <c r="C81" s="16">
        <v>249444</v>
      </c>
      <c r="D81" s="17">
        <v>46</v>
      </c>
      <c r="E81" s="15" t="str">
        <f t="shared" si="1"/>
        <v>1203-249444</v>
      </c>
    </row>
    <row r="82" spans="1:5" ht="14.25" customHeight="1" x14ac:dyDescent="0.25">
      <c r="A82" s="15" t="s">
        <v>4323</v>
      </c>
      <c r="B82" s="16">
        <v>1203</v>
      </c>
      <c r="C82" s="16">
        <v>249795</v>
      </c>
      <c r="D82" s="17">
        <v>84</v>
      </c>
      <c r="E82" s="15" t="str">
        <f t="shared" si="1"/>
        <v>1203-249795</v>
      </c>
    </row>
    <row r="83" spans="1:5" ht="14.25" customHeight="1" x14ac:dyDescent="0.25">
      <c r="A83" s="15" t="s">
        <v>4324</v>
      </c>
      <c r="B83" s="16">
        <v>1203</v>
      </c>
      <c r="C83" s="16">
        <v>250979</v>
      </c>
      <c r="D83" s="17">
        <v>64</v>
      </c>
      <c r="E83" s="15" t="str">
        <f t="shared" si="1"/>
        <v>1203-250979</v>
      </c>
    </row>
    <row r="84" spans="1:5" ht="14.25" customHeight="1" x14ac:dyDescent="0.25">
      <c r="A84" s="15" t="s">
        <v>4325</v>
      </c>
      <c r="B84" s="16">
        <v>1203</v>
      </c>
      <c r="C84" s="16">
        <v>250981</v>
      </c>
      <c r="D84" s="17">
        <v>116</v>
      </c>
      <c r="E84" s="15" t="str">
        <f t="shared" si="1"/>
        <v>1203-250981</v>
      </c>
    </row>
    <row r="85" spans="1:5" ht="14.25" customHeight="1" x14ac:dyDescent="0.25">
      <c r="A85" s="15" t="s">
        <v>4326</v>
      </c>
      <c r="B85" s="16">
        <v>1203</v>
      </c>
      <c r="C85" s="16">
        <v>262294</v>
      </c>
      <c r="D85" s="17">
        <v>118</v>
      </c>
      <c r="E85" s="15" t="str">
        <f t="shared" si="1"/>
        <v>1203-262294</v>
      </c>
    </row>
    <row r="86" spans="1:5" ht="14.25" customHeight="1" x14ac:dyDescent="0.25">
      <c r="A86" s="15" t="s">
        <v>4327</v>
      </c>
      <c r="B86" s="16">
        <v>1203</v>
      </c>
      <c r="C86" s="16">
        <v>268831</v>
      </c>
      <c r="D86" s="17">
        <v>72</v>
      </c>
      <c r="E86" s="15" t="str">
        <f t="shared" si="1"/>
        <v>1203-268831</v>
      </c>
    </row>
    <row r="87" spans="1:5" ht="14.25" customHeight="1" x14ac:dyDescent="0.25">
      <c r="A87" s="15" t="s">
        <v>4328</v>
      </c>
      <c r="B87" s="16">
        <v>1203</v>
      </c>
      <c r="C87" s="16">
        <v>273701</v>
      </c>
      <c r="D87" s="17">
        <v>92</v>
      </c>
      <c r="E87" s="15" t="str">
        <f t="shared" si="1"/>
        <v>1203-273701</v>
      </c>
    </row>
    <row r="88" spans="1:5" ht="14.25" customHeight="1" x14ac:dyDescent="0.25">
      <c r="A88" s="15" t="s">
        <v>4329</v>
      </c>
      <c r="B88" s="16">
        <v>1203</v>
      </c>
      <c r="C88" s="16">
        <v>291726</v>
      </c>
      <c r="D88" s="17">
        <v>104</v>
      </c>
      <c r="E88" s="15" t="str">
        <f t="shared" si="1"/>
        <v>1203-291726</v>
      </c>
    </row>
    <row r="89" spans="1:5" ht="14.25" customHeight="1" x14ac:dyDescent="0.25">
      <c r="A89" s="15" t="s">
        <v>4330</v>
      </c>
      <c r="B89" s="16">
        <v>1203</v>
      </c>
      <c r="C89" s="16">
        <v>291728</v>
      </c>
      <c r="D89" s="17">
        <v>86</v>
      </c>
      <c r="E89" s="15" t="str">
        <f t="shared" si="1"/>
        <v>1203-291728</v>
      </c>
    </row>
    <row r="90" spans="1:5" ht="14.25" customHeight="1" x14ac:dyDescent="0.25">
      <c r="A90" s="15" t="s">
        <v>4331</v>
      </c>
      <c r="B90" s="16">
        <v>1203</v>
      </c>
      <c r="C90" s="16">
        <v>571521</v>
      </c>
      <c r="D90" s="17">
        <v>106</v>
      </c>
      <c r="E90" s="15" t="str">
        <f t="shared" si="1"/>
        <v>1203-571521</v>
      </c>
    </row>
    <row r="91" spans="1:5" ht="14.25" customHeight="1" x14ac:dyDescent="0.25">
      <c r="A91" s="15" t="s">
        <v>4332</v>
      </c>
      <c r="B91" s="16">
        <v>1203</v>
      </c>
      <c r="C91" s="16">
        <v>614993</v>
      </c>
      <c r="D91" s="17">
        <v>90</v>
      </c>
      <c r="E91" s="15" t="str">
        <f t="shared" si="1"/>
        <v>1203-614993</v>
      </c>
    </row>
    <row r="92" spans="1:5" ht="14.25" customHeight="1" x14ac:dyDescent="0.25">
      <c r="A92" s="15" t="s">
        <v>4333</v>
      </c>
      <c r="B92" s="16">
        <v>1204</v>
      </c>
      <c r="C92" s="16">
        <v>115600</v>
      </c>
      <c r="D92" s="17">
        <v>62</v>
      </c>
      <c r="E92" s="15" t="str">
        <f t="shared" si="1"/>
        <v>1204-115600</v>
      </c>
    </row>
    <row r="93" spans="1:5" ht="14.25" customHeight="1" x14ac:dyDescent="0.25">
      <c r="A93" s="15" t="s">
        <v>4334</v>
      </c>
      <c r="B93" s="16">
        <v>1204</v>
      </c>
      <c r="C93" s="16">
        <v>129208</v>
      </c>
      <c r="D93" s="17">
        <v>116</v>
      </c>
      <c r="E93" s="15" t="str">
        <f t="shared" si="1"/>
        <v>1204-129208</v>
      </c>
    </row>
    <row r="94" spans="1:5" ht="14.25" customHeight="1" x14ac:dyDescent="0.25">
      <c r="A94" s="15" t="s">
        <v>4335</v>
      </c>
      <c r="B94" s="16">
        <v>1204</v>
      </c>
      <c r="C94" s="16">
        <v>300380</v>
      </c>
      <c r="D94" s="17">
        <v>108</v>
      </c>
      <c r="E94" s="15" t="str">
        <f t="shared" si="1"/>
        <v>1204-300380</v>
      </c>
    </row>
    <row r="95" spans="1:5" ht="14.25" customHeight="1" x14ac:dyDescent="0.25">
      <c r="A95" s="15" t="s">
        <v>4336</v>
      </c>
      <c r="B95" s="16">
        <v>1204</v>
      </c>
      <c r="C95" s="16">
        <v>23393</v>
      </c>
      <c r="D95" s="17">
        <v>98</v>
      </c>
      <c r="E95" s="15" t="str">
        <f t="shared" si="1"/>
        <v>1204-23393</v>
      </c>
    </row>
    <row r="96" spans="1:5" ht="14.25" customHeight="1" x14ac:dyDescent="0.25">
      <c r="A96" s="15" t="s">
        <v>4337</v>
      </c>
      <c r="B96" s="16">
        <v>1204</v>
      </c>
      <c r="C96" s="16">
        <v>26764</v>
      </c>
      <c r="D96" s="17">
        <v>106</v>
      </c>
      <c r="E96" s="15" t="str">
        <f t="shared" si="1"/>
        <v>1204-26764</v>
      </c>
    </row>
    <row r="97" spans="1:5" ht="14.25" customHeight="1" x14ac:dyDescent="0.25">
      <c r="A97" s="15" t="s">
        <v>4338</v>
      </c>
      <c r="B97" s="16">
        <v>1204</v>
      </c>
      <c r="C97" s="16">
        <v>53934</v>
      </c>
      <c r="D97" s="17">
        <v>110</v>
      </c>
      <c r="E97" s="15" t="str">
        <f t="shared" si="1"/>
        <v>1204-53934</v>
      </c>
    </row>
    <row r="98" spans="1:5" ht="14.25" customHeight="1" x14ac:dyDescent="0.25">
      <c r="A98" s="15" t="s">
        <v>4339</v>
      </c>
      <c r="B98" s="16">
        <v>1204</v>
      </c>
      <c r="C98" s="16">
        <v>78699</v>
      </c>
      <c r="D98" s="17">
        <v>80</v>
      </c>
      <c r="E98" s="15" t="str">
        <f t="shared" si="1"/>
        <v>1204-78699</v>
      </c>
    </row>
    <row r="99" spans="1:5" ht="14.25" customHeight="1" x14ac:dyDescent="0.25">
      <c r="A99" s="15" t="s">
        <v>4340</v>
      </c>
      <c r="B99" s="16">
        <v>1204</v>
      </c>
      <c r="C99" s="16">
        <v>78869</v>
      </c>
      <c r="D99" s="17">
        <v>120</v>
      </c>
      <c r="E99" s="15" t="str">
        <f t="shared" si="1"/>
        <v>1204-78869</v>
      </c>
    </row>
    <row r="100" spans="1:5" ht="14.25" customHeight="1" x14ac:dyDescent="0.25">
      <c r="A100" s="15" t="s">
        <v>4341</v>
      </c>
      <c r="B100" s="16">
        <v>1204</v>
      </c>
      <c r="C100" s="16">
        <v>141622</v>
      </c>
      <c r="D100" s="17">
        <v>74</v>
      </c>
      <c r="E100" s="15" t="str">
        <f t="shared" si="1"/>
        <v>1204-141622</v>
      </c>
    </row>
    <row r="101" spans="1:5" ht="14.25" customHeight="1" x14ac:dyDescent="0.25">
      <c r="A101" s="15" t="s">
        <v>4342</v>
      </c>
      <c r="B101" s="16">
        <v>1204</v>
      </c>
      <c r="C101" s="16">
        <v>141626</v>
      </c>
      <c r="D101" s="17">
        <v>118</v>
      </c>
      <c r="E101" s="15" t="str">
        <f t="shared" si="1"/>
        <v>1204-141626</v>
      </c>
    </row>
    <row r="102" spans="1:5" ht="14.25" customHeight="1" x14ac:dyDescent="0.25">
      <c r="A102" s="15" t="s">
        <v>4343</v>
      </c>
      <c r="B102" s="16">
        <v>1204</v>
      </c>
      <c r="C102" s="16">
        <v>141791</v>
      </c>
      <c r="D102" s="17">
        <v>64</v>
      </c>
      <c r="E102" s="15" t="str">
        <f t="shared" si="1"/>
        <v>1204-141791</v>
      </c>
    </row>
    <row r="103" spans="1:5" ht="14.25" customHeight="1" x14ac:dyDescent="0.25">
      <c r="A103" s="15" t="s">
        <v>4344</v>
      </c>
      <c r="B103" s="16">
        <v>1204</v>
      </c>
      <c r="C103" s="16">
        <v>141846</v>
      </c>
      <c r="D103" s="17">
        <v>88</v>
      </c>
      <c r="E103" s="15" t="str">
        <f t="shared" si="1"/>
        <v>1204-141846</v>
      </c>
    </row>
    <row r="104" spans="1:5" ht="14.25" customHeight="1" x14ac:dyDescent="0.25">
      <c r="A104" s="15" t="s">
        <v>4345</v>
      </c>
      <c r="B104" s="16">
        <v>1204</v>
      </c>
      <c r="C104" s="16">
        <v>141967</v>
      </c>
      <c r="D104" s="17">
        <v>100</v>
      </c>
      <c r="E104" s="15" t="str">
        <f t="shared" si="1"/>
        <v>1204-141967</v>
      </c>
    </row>
    <row r="105" spans="1:5" ht="14.25" customHeight="1" x14ac:dyDescent="0.25">
      <c r="A105" s="15" t="s">
        <v>4346</v>
      </c>
      <c r="B105" s="16">
        <v>1204</v>
      </c>
      <c r="C105" s="16">
        <v>142194</v>
      </c>
      <c r="D105" s="17">
        <v>62</v>
      </c>
      <c r="E105" s="15" t="str">
        <f t="shared" si="1"/>
        <v>1204-142194</v>
      </c>
    </row>
    <row r="106" spans="1:5" ht="14.25" customHeight="1" x14ac:dyDescent="0.25">
      <c r="A106" s="15" t="s">
        <v>4347</v>
      </c>
      <c r="B106" s="16">
        <v>1204</v>
      </c>
      <c r="C106" s="16">
        <v>149729</v>
      </c>
      <c r="D106" s="17">
        <v>64</v>
      </c>
      <c r="E106" s="15" t="str">
        <f t="shared" si="1"/>
        <v>1204-149729</v>
      </c>
    </row>
    <row r="107" spans="1:5" ht="14.25" customHeight="1" x14ac:dyDescent="0.25">
      <c r="A107" s="15" t="s">
        <v>4348</v>
      </c>
      <c r="B107" s="16">
        <v>1204</v>
      </c>
      <c r="C107" s="16">
        <v>149779</v>
      </c>
      <c r="D107" s="17">
        <v>56</v>
      </c>
      <c r="E107" s="15" t="str">
        <f t="shared" si="1"/>
        <v>1204-149779</v>
      </c>
    </row>
    <row r="108" spans="1:5" ht="14.25" customHeight="1" x14ac:dyDescent="0.25">
      <c r="A108" s="15" t="s">
        <v>4349</v>
      </c>
      <c r="B108" s="16">
        <v>1204</v>
      </c>
      <c r="C108" s="16">
        <v>189933</v>
      </c>
      <c r="D108" s="17">
        <v>72</v>
      </c>
      <c r="E108" s="15" t="str">
        <f t="shared" si="1"/>
        <v>1204-189933</v>
      </c>
    </row>
    <row r="109" spans="1:5" ht="14.25" customHeight="1" x14ac:dyDescent="0.25">
      <c r="A109" s="15" t="s">
        <v>4350</v>
      </c>
      <c r="B109" s="16">
        <v>1204</v>
      </c>
      <c r="C109" s="16">
        <v>202577</v>
      </c>
      <c r="D109" s="17">
        <v>104</v>
      </c>
      <c r="E109" s="15" t="str">
        <f t="shared" si="1"/>
        <v>1204-202577</v>
      </c>
    </row>
    <row r="110" spans="1:5" ht="14.25" customHeight="1" x14ac:dyDescent="0.25">
      <c r="A110" s="15" t="s">
        <v>4351</v>
      </c>
      <c r="B110" s="16">
        <v>1204</v>
      </c>
      <c r="C110" s="16">
        <v>234334</v>
      </c>
      <c r="D110" s="17">
        <v>64</v>
      </c>
      <c r="E110" s="15" t="str">
        <f t="shared" si="1"/>
        <v>1204-234334</v>
      </c>
    </row>
    <row r="111" spans="1:5" ht="14.25" customHeight="1" x14ac:dyDescent="0.25">
      <c r="A111" s="15" t="s">
        <v>4352</v>
      </c>
      <c r="B111" s="16">
        <v>1204</v>
      </c>
      <c r="C111" s="16">
        <v>249444</v>
      </c>
      <c r="D111" s="17">
        <v>84</v>
      </c>
      <c r="E111" s="15" t="str">
        <f t="shared" si="1"/>
        <v>1204-249444</v>
      </c>
    </row>
    <row r="112" spans="1:5" ht="14.25" customHeight="1" x14ac:dyDescent="0.25">
      <c r="A112" s="15" t="s">
        <v>4353</v>
      </c>
      <c r="B112" s="16">
        <v>1204</v>
      </c>
      <c r="C112" s="16">
        <v>249795</v>
      </c>
      <c r="D112" s="17">
        <v>78</v>
      </c>
      <c r="E112" s="15" t="str">
        <f t="shared" si="1"/>
        <v>1204-249795</v>
      </c>
    </row>
    <row r="113" spans="1:5" ht="14.25" customHeight="1" x14ac:dyDescent="0.25">
      <c r="A113" s="15" t="s">
        <v>4354</v>
      </c>
      <c r="B113" s="16">
        <v>1204</v>
      </c>
      <c r="C113" s="16">
        <v>250979</v>
      </c>
      <c r="D113" s="17">
        <v>90</v>
      </c>
      <c r="E113" s="15" t="str">
        <f t="shared" si="1"/>
        <v>1204-250979</v>
      </c>
    </row>
    <row r="114" spans="1:5" ht="14.25" customHeight="1" x14ac:dyDescent="0.25">
      <c r="A114" s="15" t="s">
        <v>4355</v>
      </c>
      <c r="B114" s="16">
        <v>1204</v>
      </c>
      <c r="C114" s="16">
        <v>250981</v>
      </c>
      <c r="D114" s="17">
        <v>50</v>
      </c>
      <c r="E114" s="15" t="str">
        <f t="shared" si="1"/>
        <v>1204-250981</v>
      </c>
    </row>
    <row r="115" spans="1:5" ht="14.25" customHeight="1" x14ac:dyDescent="0.25">
      <c r="A115" s="15" t="s">
        <v>4356</v>
      </c>
      <c r="B115" s="16">
        <v>1204</v>
      </c>
      <c r="C115" s="16">
        <v>262294</v>
      </c>
      <c r="D115" s="17">
        <v>46</v>
      </c>
      <c r="E115" s="15" t="str">
        <f t="shared" si="1"/>
        <v>1204-262294</v>
      </c>
    </row>
    <row r="116" spans="1:5" ht="14.25" customHeight="1" x14ac:dyDescent="0.25">
      <c r="A116" s="15" t="s">
        <v>4357</v>
      </c>
      <c r="B116" s="16">
        <v>1204</v>
      </c>
      <c r="C116" s="16">
        <v>268831</v>
      </c>
      <c r="D116" s="17">
        <v>62</v>
      </c>
      <c r="E116" s="15" t="str">
        <f t="shared" si="1"/>
        <v>1204-268831</v>
      </c>
    </row>
    <row r="117" spans="1:5" ht="14.25" customHeight="1" x14ac:dyDescent="0.25">
      <c r="A117" s="15" t="s">
        <v>4358</v>
      </c>
      <c r="B117" s="16">
        <v>1204</v>
      </c>
      <c r="C117" s="16">
        <v>273701</v>
      </c>
      <c r="D117" s="17">
        <v>56</v>
      </c>
      <c r="E117" s="15" t="str">
        <f t="shared" si="1"/>
        <v>1204-273701</v>
      </c>
    </row>
    <row r="118" spans="1:5" ht="14.25" customHeight="1" x14ac:dyDescent="0.25">
      <c r="A118" s="15" t="s">
        <v>4359</v>
      </c>
      <c r="B118" s="16">
        <v>1204</v>
      </c>
      <c r="C118" s="16">
        <v>291726</v>
      </c>
      <c r="D118" s="17">
        <v>118</v>
      </c>
      <c r="E118" s="15" t="str">
        <f t="shared" si="1"/>
        <v>1204-291726</v>
      </c>
    </row>
    <row r="119" spans="1:5" ht="14.25" customHeight="1" x14ac:dyDescent="0.25">
      <c r="A119" s="15" t="s">
        <v>4360</v>
      </c>
      <c r="B119" s="16">
        <v>1204</v>
      </c>
      <c r="C119" s="16">
        <v>291728</v>
      </c>
      <c r="D119" s="17">
        <v>48</v>
      </c>
      <c r="E119" s="15" t="str">
        <f t="shared" si="1"/>
        <v>1204-291728</v>
      </c>
    </row>
    <row r="120" spans="1:5" ht="14.25" customHeight="1" x14ac:dyDescent="0.25">
      <c r="A120" s="15" t="s">
        <v>4361</v>
      </c>
      <c r="B120" s="16">
        <v>1204</v>
      </c>
      <c r="C120" s="16">
        <v>571521</v>
      </c>
      <c r="D120" s="17">
        <v>90</v>
      </c>
      <c r="E120" s="15" t="str">
        <f t="shared" si="1"/>
        <v>1204-571521</v>
      </c>
    </row>
    <row r="121" spans="1:5" ht="14.25" customHeight="1" x14ac:dyDescent="0.25">
      <c r="A121" s="15" t="s">
        <v>4362</v>
      </c>
      <c r="B121" s="16">
        <v>1204</v>
      </c>
      <c r="C121" s="16">
        <v>614993</v>
      </c>
      <c r="D121" s="17">
        <v>90</v>
      </c>
      <c r="E121" s="15" t="str">
        <f t="shared" si="1"/>
        <v>1204-614993</v>
      </c>
    </row>
    <row r="122" spans="1:5" ht="14.25" customHeight="1" x14ac:dyDescent="0.25">
      <c r="A122" s="15" t="s">
        <v>4363</v>
      </c>
      <c r="B122" s="16">
        <v>1205</v>
      </c>
      <c r="C122" s="16">
        <v>115600</v>
      </c>
      <c r="D122" s="17">
        <v>86</v>
      </c>
      <c r="E122" s="15" t="str">
        <f t="shared" si="1"/>
        <v>1205-115600</v>
      </c>
    </row>
    <row r="123" spans="1:5" ht="14.25" customHeight="1" x14ac:dyDescent="0.25">
      <c r="A123" s="15" t="s">
        <v>4364</v>
      </c>
      <c r="B123" s="16">
        <v>1205</v>
      </c>
      <c r="C123" s="16">
        <v>129208</v>
      </c>
      <c r="D123" s="17">
        <v>118</v>
      </c>
      <c r="E123" s="15" t="str">
        <f t="shared" si="1"/>
        <v>1205-129208</v>
      </c>
    </row>
    <row r="124" spans="1:5" ht="14.25" customHeight="1" x14ac:dyDescent="0.25">
      <c r="A124" s="15" t="s">
        <v>4365</v>
      </c>
      <c r="B124" s="16">
        <v>1205</v>
      </c>
      <c r="C124" s="16">
        <v>300380</v>
      </c>
      <c r="D124" s="17">
        <v>94</v>
      </c>
      <c r="E124" s="15" t="str">
        <f t="shared" si="1"/>
        <v>1205-300380</v>
      </c>
    </row>
    <row r="125" spans="1:5" ht="14.25" customHeight="1" x14ac:dyDescent="0.25">
      <c r="A125" s="15" t="s">
        <v>4366</v>
      </c>
      <c r="B125" s="16">
        <v>1205</v>
      </c>
      <c r="C125" s="16">
        <v>23393</v>
      </c>
      <c r="D125" s="17">
        <v>98</v>
      </c>
      <c r="E125" s="15" t="str">
        <f t="shared" si="1"/>
        <v>1205-23393</v>
      </c>
    </row>
    <row r="126" spans="1:5" ht="14.25" customHeight="1" x14ac:dyDescent="0.25">
      <c r="A126" s="15" t="s">
        <v>4367</v>
      </c>
      <c r="B126" s="16">
        <v>1205</v>
      </c>
      <c r="C126" s="16">
        <v>26764</v>
      </c>
      <c r="D126" s="17">
        <v>96</v>
      </c>
      <c r="E126" s="15" t="str">
        <f t="shared" si="1"/>
        <v>1205-26764</v>
      </c>
    </row>
    <row r="127" spans="1:5" ht="14.25" customHeight="1" x14ac:dyDescent="0.25">
      <c r="A127" s="15" t="s">
        <v>4368</v>
      </c>
      <c r="B127" s="16">
        <v>1205</v>
      </c>
      <c r="C127" s="16">
        <v>53934</v>
      </c>
      <c r="D127" s="17">
        <v>58</v>
      </c>
      <c r="E127" s="15" t="str">
        <f t="shared" si="1"/>
        <v>1205-53934</v>
      </c>
    </row>
    <row r="128" spans="1:5" ht="14.25" customHeight="1" x14ac:dyDescent="0.25">
      <c r="A128" s="15" t="s">
        <v>4369</v>
      </c>
      <c r="B128" s="16">
        <v>1205</v>
      </c>
      <c r="C128" s="16">
        <v>78699</v>
      </c>
      <c r="D128" s="17">
        <v>94</v>
      </c>
      <c r="E128" s="15" t="str">
        <f t="shared" si="1"/>
        <v>1205-78699</v>
      </c>
    </row>
    <row r="129" spans="1:5" ht="14.25" customHeight="1" x14ac:dyDescent="0.25">
      <c r="A129" s="15" t="s">
        <v>4370</v>
      </c>
      <c r="B129" s="16">
        <v>1205</v>
      </c>
      <c r="C129" s="16">
        <v>78869</v>
      </c>
      <c r="D129" s="17">
        <v>114</v>
      </c>
      <c r="E129" s="15" t="str">
        <f t="shared" si="1"/>
        <v>1205-78869</v>
      </c>
    </row>
    <row r="130" spans="1:5" ht="14.25" customHeight="1" x14ac:dyDescent="0.25">
      <c r="A130" s="15" t="s">
        <v>4371</v>
      </c>
      <c r="B130" s="16">
        <v>1205</v>
      </c>
      <c r="C130" s="16">
        <v>141622</v>
      </c>
      <c r="D130" s="17">
        <v>52</v>
      </c>
      <c r="E130" s="15" t="str">
        <f t="shared" si="1"/>
        <v>1205-141622</v>
      </c>
    </row>
    <row r="131" spans="1:5" ht="14.25" customHeight="1" x14ac:dyDescent="0.25">
      <c r="A131" s="15" t="s">
        <v>4372</v>
      </c>
      <c r="B131" s="16">
        <v>1205</v>
      </c>
      <c r="C131" s="16">
        <v>141626</v>
      </c>
      <c r="D131" s="17">
        <v>110</v>
      </c>
      <c r="E131" s="15" t="str">
        <f t="shared" ref="E131:E194" si="2">B131&amp;"-"&amp;C131</f>
        <v>1205-141626</v>
      </c>
    </row>
    <row r="132" spans="1:5" ht="14.25" customHeight="1" x14ac:dyDescent="0.25">
      <c r="A132" s="15" t="s">
        <v>4373</v>
      </c>
      <c r="B132" s="16">
        <v>1205</v>
      </c>
      <c r="C132" s="16">
        <v>141791</v>
      </c>
      <c r="D132" s="17">
        <v>70</v>
      </c>
      <c r="E132" s="15" t="str">
        <f t="shared" si="2"/>
        <v>1205-141791</v>
      </c>
    </row>
    <row r="133" spans="1:5" ht="14.25" customHeight="1" x14ac:dyDescent="0.25">
      <c r="A133" s="15" t="s">
        <v>4374</v>
      </c>
      <c r="B133" s="16">
        <v>1205</v>
      </c>
      <c r="C133" s="16">
        <v>141846</v>
      </c>
      <c r="D133" s="17">
        <v>60</v>
      </c>
      <c r="E133" s="15" t="str">
        <f t="shared" si="2"/>
        <v>1205-141846</v>
      </c>
    </row>
    <row r="134" spans="1:5" ht="14.25" customHeight="1" x14ac:dyDescent="0.25">
      <c r="A134" s="15" t="s">
        <v>4375</v>
      </c>
      <c r="B134" s="16">
        <v>1205</v>
      </c>
      <c r="C134" s="16">
        <v>141967</v>
      </c>
      <c r="D134" s="17">
        <v>94</v>
      </c>
      <c r="E134" s="15" t="str">
        <f t="shared" si="2"/>
        <v>1205-141967</v>
      </c>
    </row>
    <row r="135" spans="1:5" ht="14.25" customHeight="1" x14ac:dyDescent="0.25">
      <c r="A135" s="15" t="s">
        <v>4376</v>
      </c>
      <c r="B135" s="16">
        <v>1205</v>
      </c>
      <c r="C135" s="16">
        <v>142194</v>
      </c>
      <c r="D135" s="17">
        <v>48</v>
      </c>
      <c r="E135" s="15" t="str">
        <f t="shared" si="2"/>
        <v>1205-142194</v>
      </c>
    </row>
    <row r="136" spans="1:5" ht="14.25" customHeight="1" x14ac:dyDescent="0.25">
      <c r="A136" s="15" t="s">
        <v>4377</v>
      </c>
      <c r="B136" s="16">
        <v>1205</v>
      </c>
      <c r="C136" s="16">
        <v>149729</v>
      </c>
      <c r="D136" s="17">
        <v>80</v>
      </c>
      <c r="E136" s="15" t="str">
        <f t="shared" si="2"/>
        <v>1205-149729</v>
      </c>
    </row>
    <row r="137" spans="1:5" ht="14.25" customHeight="1" x14ac:dyDescent="0.25">
      <c r="A137" s="15" t="s">
        <v>4378</v>
      </c>
      <c r="B137" s="16">
        <v>1205</v>
      </c>
      <c r="C137" s="16">
        <v>149779</v>
      </c>
      <c r="D137" s="17">
        <v>120</v>
      </c>
      <c r="E137" s="15" t="str">
        <f t="shared" si="2"/>
        <v>1205-149779</v>
      </c>
    </row>
    <row r="138" spans="1:5" ht="14.25" customHeight="1" x14ac:dyDescent="0.25">
      <c r="A138" s="15" t="s">
        <v>4379</v>
      </c>
      <c r="B138" s="16">
        <v>1205</v>
      </c>
      <c r="C138" s="16">
        <v>189933</v>
      </c>
      <c r="D138" s="17">
        <v>60</v>
      </c>
      <c r="E138" s="15" t="str">
        <f t="shared" si="2"/>
        <v>1205-189933</v>
      </c>
    </row>
    <row r="139" spans="1:5" ht="14.25" customHeight="1" x14ac:dyDescent="0.25">
      <c r="A139" s="15" t="s">
        <v>4380</v>
      </c>
      <c r="B139" s="16">
        <v>1205</v>
      </c>
      <c r="C139" s="16">
        <v>202577</v>
      </c>
      <c r="D139" s="17">
        <v>56</v>
      </c>
      <c r="E139" s="15" t="str">
        <f t="shared" si="2"/>
        <v>1205-202577</v>
      </c>
    </row>
    <row r="140" spans="1:5" ht="14.25" customHeight="1" x14ac:dyDescent="0.25">
      <c r="A140" s="15" t="s">
        <v>4381</v>
      </c>
      <c r="B140" s="16">
        <v>1205</v>
      </c>
      <c r="C140" s="16">
        <v>234334</v>
      </c>
      <c r="D140" s="17">
        <v>86</v>
      </c>
      <c r="E140" s="15" t="str">
        <f t="shared" si="2"/>
        <v>1205-234334</v>
      </c>
    </row>
    <row r="141" spans="1:5" ht="14.25" customHeight="1" x14ac:dyDescent="0.25">
      <c r="A141" s="15" t="s">
        <v>4382</v>
      </c>
      <c r="B141" s="16">
        <v>1205</v>
      </c>
      <c r="C141" s="16">
        <v>249444</v>
      </c>
      <c r="D141" s="17">
        <v>52</v>
      </c>
      <c r="E141" s="15" t="str">
        <f t="shared" si="2"/>
        <v>1205-249444</v>
      </c>
    </row>
    <row r="142" spans="1:5" ht="14.25" customHeight="1" x14ac:dyDescent="0.25">
      <c r="A142" s="15" t="s">
        <v>4383</v>
      </c>
      <c r="B142" s="16">
        <v>1205</v>
      </c>
      <c r="C142" s="16">
        <v>249795</v>
      </c>
      <c r="D142" s="17">
        <v>96</v>
      </c>
      <c r="E142" s="15" t="str">
        <f t="shared" si="2"/>
        <v>1205-249795</v>
      </c>
    </row>
    <row r="143" spans="1:5" ht="14.25" customHeight="1" x14ac:dyDescent="0.25">
      <c r="A143" s="15" t="s">
        <v>4384</v>
      </c>
      <c r="B143" s="16">
        <v>1205</v>
      </c>
      <c r="C143" s="16">
        <v>250979</v>
      </c>
      <c r="D143" s="17">
        <v>64</v>
      </c>
      <c r="E143" s="15" t="str">
        <f t="shared" si="2"/>
        <v>1205-250979</v>
      </c>
    </row>
    <row r="144" spans="1:5" ht="14.25" customHeight="1" x14ac:dyDescent="0.25">
      <c r="A144" s="15" t="s">
        <v>4385</v>
      </c>
      <c r="B144" s="16">
        <v>1205</v>
      </c>
      <c r="C144" s="16">
        <v>250981</v>
      </c>
      <c r="D144" s="17">
        <v>72</v>
      </c>
      <c r="E144" s="15" t="str">
        <f t="shared" si="2"/>
        <v>1205-250981</v>
      </c>
    </row>
    <row r="145" spans="1:5" ht="14.25" customHeight="1" x14ac:dyDescent="0.25">
      <c r="A145" s="15" t="s">
        <v>4386</v>
      </c>
      <c r="B145" s="16">
        <v>1205</v>
      </c>
      <c r="C145" s="16">
        <v>262294</v>
      </c>
      <c r="D145" s="17">
        <v>44</v>
      </c>
      <c r="E145" s="15" t="str">
        <f t="shared" si="2"/>
        <v>1205-262294</v>
      </c>
    </row>
    <row r="146" spans="1:5" ht="14.25" customHeight="1" x14ac:dyDescent="0.25">
      <c r="A146" s="15" t="s">
        <v>4387</v>
      </c>
      <c r="B146" s="16">
        <v>1205</v>
      </c>
      <c r="C146" s="16">
        <v>268831</v>
      </c>
      <c r="D146" s="17">
        <v>78</v>
      </c>
      <c r="E146" s="15" t="str">
        <f t="shared" si="2"/>
        <v>1205-268831</v>
      </c>
    </row>
    <row r="147" spans="1:5" ht="14.25" customHeight="1" x14ac:dyDescent="0.25">
      <c r="A147" s="15" t="s">
        <v>4388</v>
      </c>
      <c r="B147" s="16">
        <v>1205</v>
      </c>
      <c r="C147" s="16">
        <v>273701</v>
      </c>
      <c r="D147" s="17">
        <v>48</v>
      </c>
      <c r="E147" s="15" t="str">
        <f t="shared" si="2"/>
        <v>1205-273701</v>
      </c>
    </row>
    <row r="148" spans="1:5" ht="14.25" customHeight="1" x14ac:dyDescent="0.25">
      <c r="A148" s="15" t="s">
        <v>4389</v>
      </c>
      <c r="B148" s="16">
        <v>1205</v>
      </c>
      <c r="C148" s="16">
        <v>291726</v>
      </c>
      <c r="D148" s="17">
        <v>48</v>
      </c>
      <c r="E148" s="15" t="str">
        <f t="shared" si="2"/>
        <v>1205-291726</v>
      </c>
    </row>
    <row r="149" spans="1:5" ht="14.25" customHeight="1" x14ac:dyDescent="0.25">
      <c r="A149" s="15" t="s">
        <v>4390</v>
      </c>
      <c r="B149" s="16">
        <v>1205</v>
      </c>
      <c r="C149" s="16">
        <v>291728</v>
      </c>
      <c r="D149" s="17">
        <v>44</v>
      </c>
      <c r="E149" s="15" t="str">
        <f t="shared" si="2"/>
        <v>1205-291728</v>
      </c>
    </row>
    <row r="150" spans="1:5" ht="14.25" customHeight="1" x14ac:dyDescent="0.25">
      <c r="A150" s="15" t="s">
        <v>4391</v>
      </c>
      <c r="B150" s="16">
        <v>1205</v>
      </c>
      <c r="C150" s="16">
        <v>571521</v>
      </c>
      <c r="D150" s="17">
        <v>120</v>
      </c>
      <c r="E150" s="15" t="str">
        <f t="shared" si="2"/>
        <v>1205-571521</v>
      </c>
    </row>
    <row r="151" spans="1:5" ht="14.25" customHeight="1" x14ac:dyDescent="0.25">
      <c r="A151" s="15" t="s">
        <v>4392</v>
      </c>
      <c r="B151" s="16">
        <v>1205</v>
      </c>
      <c r="C151" s="16">
        <v>614993</v>
      </c>
      <c r="D151" s="17">
        <v>114</v>
      </c>
      <c r="E151" s="15" t="str">
        <f t="shared" si="2"/>
        <v>1205-614993</v>
      </c>
    </row>
    <row r="152" spans="1:5" ht="14.25" customHeight="1" x14ac:dyDescent="0.25">
      <c r="A152" s="15" t="s">
        <v>4393</v>
      </c>
      <c r="B152" s="16">
        <v>1206</v>
      </c>
      <c r="C152" s="16">
        <v>115600</v>
      </c>
      <c r="D152" s="17">
        <v>44</v>
      </c>
      <c r="E152" s="15" t="str">
        <f t="shared" si="2"/>
        <v>1206-115600</v>
      </c>
    </row>
    <row r="153" spans="1:5" ht="14.25" customHeight="1" x14ac:dyDescent="0.25">
      <c r="A153" s="15" t="s">
        <v>4394</v>
      </c>
      <c r="B153" s="16">
        <v>1206</v>
      </c>
      <c r="C153" s="16">
        <v>129208</v>
      </c>
      <c r="D153" s="17">
        <v>84</v>
      </c>
      <c r="E153" s="15" t="str">
        <f t="shared" si="2"/>
        <v>1206-129208</v>
      </c>
    </row>
    <row r="154" spans="1:5" ht="14.25" customHeight="1" x14ac:dyDescent="0.25">
      <c r="A154" s="15" t="s">
        <v>4395</v>
      </c>
      <c r="B154" s="16">
        <v>1206</v>
      </c>
      <c r="C154" s="16">
        <v>300380</v>
      </c>
      <c r="D154" s="17">
        <v>110</v>
      </c>
      <c r="E154" s="15" t="str">
        <f t="shared" si="2"/>
        <v>1206-300380</v>
      </c>
    </row>
    <row r="155" spans="1:5" ht="14.25" customHeight="1" x14ac:dyDescent="0.25">
      <c r="A155" s="15" t="s">
        <v>4396</v>
      </c>
      <c r="B155" s="16">
        <v>1206</v>
      </c>
      <c r="C155" s="16">
        <v>23393</v>
      </c>
      <c r="D155" s="17">
        <v>100</v>
      </c>
      <c r="E155" s="15" t="str">
        <f t="shared" si="2"/>
        <v>1206-23393</v>
      </c>
    </row>
    <row r="156" spans="1:5" ht="14.25" customHeight="1" x14ac:dyDescent="0.25">
      <c r="A156" s="15" t="s">
        <v>4397</v>
      </c>
      <c r="B156" s="16">
        <v>1206</v>
      </c>
      <c r="C156" s="16">
        <v>26764</v>
      </c>
      <c r="D156" s="17">
        <v>96</v>
      </c>
      <c r="E156" s="15" t="str">
        <f t="shared" si="2"/>
        <v>1206-26764</v>
      </c>
    </row>
    <row r="157" spans="1:5" ht="14.25" customHeight="1" x14ac:dyDescent="0.25">
      <c r="A157" s="15" t="s">
        <v>4398</v>
      </c>
      <c r="B157" s="16">
        <v>1206</v>
      </c>
      <c r="C157" s="16">
        <v>53934</v>
      </c>
      <c r="D157" s="17">
        <v>62</v>
      </c>
      <c r="E157" s="15" t="str">
        <f t="shared" si="2"/>
        <v>1206-53934</v>
      </c>
    </row>
    <row r="158" spans="1:5" ht="14.25" customHeight="1" x14ac:dyDescent="0.25">
      <c r="A158" s="15" t="s">
        <v>4399</v>
      </c>
      <c r="B158" s="16">
        <v>1206</v>
      </c>
      <c r="C158" s="16">
        <v>78699</v>
      </c>
      <c r="D158" s="17">
        <v>82</v>
      </c>
      <c r="E158" s="15" t="str">
        <f t="shared" si="2"/>
        <v>1206-78699</v>
      </c>
    </row>
    <row r="159" spans="1:5" ht="14.25" customHeight="1" x14ac:dyDescent="0.25">
      <c r="A159" s="15" t="s">
        <v>4400</v>
      </c>
      <c r="B159" s="16">
        <v>1206</v>
      </c>
      <c r="C159" s="16">
        <v>78869</v>
      </c>
      <c r="D159" s="17">
        <v>78</v>
      </c>
      <c r="E159" s="15" t="str">
        <f t="shared" si="2"/>
        <v>1206-78869</v>
      </c>
    </row>
    <row r="160" spans="1:5" ht="14.25" customHeight="1" x14ac:dyDescent="0.25">
      <c r="A160" s="15" t="s">
        <v>4401</v>
      </c>
      <c r="B160" s="16">
        <v>1206</v>
      </c>
      <c r="C160" s="16">
        <v>141622</v>
      </c>
      <c r="D160" s="17">
        <v>66</v>
      </c>
      <c r="E160" s="15" t="str">
        <f t="shared" si="2"/>
        <v>1206-141622</v>
      </c>
    </row>
    <row r="161" spans="1:5" ht="14.25" customHeight="1" x14ac:dyDescent="0.25">
      <c r="A161" s="15" t="s">
        <v>4402</v>
      </c>
      <c r="B161" s="16">
        <v>1206</v>
      </c>
      <c r="C161" s="16">
        <v>141626</v>
      </c>
      <c r="D161" s="17">
        <v>108</v>
      </c>
      <c r="E161" s="15" t="str">
        <f t="shared" si="2"/>
        <v>1206-141626</v>
      </c>
    </row>
    <row r="162" spans="1:5" ht="14.25" customHeight="1" x14ac:dyDescent="0.25">
      <c r="A162" s="15" t="s">
        <v>4403</v>
      </c>
      <c r="B162" s="16">
        <v>1206</v>
      </c>
      <c r="C162" s="16">
        <v>141791</v>
      </c>
      <c r="D162" s="17">
        <v>120</v>
      </c>
      <c r="E162" s="15" t="str">
        <f t="shared" si="2"/>
        <v>1206-141791</v>
      </c>
    </row>
    <row r="163" spans="1:5" ht="14.25" customHeight="1" x14ac:dyDescent="0.25">
      <c r="A163" s="15" t="s">
        <v>4404</v>
      </c>
      <c r="B163" s="16">
        <v>1206</v>
      </c>
      <c r="C163" s="16">
        <v>141846</v>
      </c>
      <c r="D163" s="17">
        <v>52</v>
      </c>
      <c r="E163" s="15" t="str">
        <f t="shared" si="2"/>
        <v>1206-141846</v>
      </c>
    </row>
    <row r="164" spans="1:5" ht="14.25" customHeight="1" x14ac:dyDescent="0.25">
      <c r="A164" s="15" t="s">
        <v>4405</v>
      </c>
      <c r="B164" s="16">
        <v>1206</v>
      </c>
      <c r="C164" s="16">
        <v>141967</v>
      </c>
      <c r="D164" s="17">
        <v>48</v>
      </c>
      <c r="E164" s="15" t="str">
        <f t="shared" si="2"/>
        <v>1206-141967</v>
      </c>
    </row>
    <row r="165" spans="1:5" ht="14.25" customHeight="1" x14ac:dyDescent="0.25">
      <c r="A165" s="15" t="s">
        <v>4406</v>
      </c>
      <c r="B165" s="16">
        <v>1206</v>
      </c>
      <c r="C165" s="16">
        <v>142194</v>
      </c>
      <c r="D165" s="17">
        <v>94</v>
      </c>
      <c r="E165" s="15" t="str">
        <f t="shared" si="2"/>
        <v>1206-142194</v>
      </c>
    </row>
    <row r="166" spans="1:5" ht="14.25" customHeight="1" x14ac:dyDescent="0.25">
      <c r="A166" s="15" t="s">
        <v>4407</v>
      </c>
      <c r="B166" s="16">
        <v>1206</v>
      </c>
      <c r="C166" s="16">
        <v>149729</v>
      </c>
      <c r="D166" s="17">
        <v>84</v>
      </c>
      <c r="E166" s="15" t="str">
        <f t="shared" si="2"/>
        <v>1206-149729</v>
      </c>
    </row>
    <row r="167" spans="1:5" ht="14.25" customHeight="1" x14ac:dyDescent="0.25">
      <c r="A167" s="15" t="s">
        <v>4408</v>
      </c>
      <c r="B167" s="16">
        <v>1206</v>
      </c>
      <c r="C167" s="16">
        <v>149779</v>
      </c>
      <c r="D167" s="17">
        <v>98</v>
      </c>
      <c r="E167" s="15" t="str">
        <f t="shared" si="2"/>
        <v>1206-149779</v>
      </c>
    </row>
    <row r="168" spans="1:5" ht="14.25" customHeight="1" x14ac:dyDescent="0.25">
      <c r="A168" s="15" t="s">
        <v>4409</v>
      </c>
      <c r="B168" s="16">
        <v>1206</v>
      </c>
      <c r="C168" s="16">
        <v>189933</v>
      </c>
      <c r="D168" s="17">
        <v>88</v>
      </c>
      <c r="E168" s="15" t="str">
        <f t="shared" si="2"/>
        <v>1206-189933</v>
      </c>
    </row>
    <row r="169" spans="1:5" ht="14.25" customHeight="1" x14ac:dyDescent="0.25">
      <c r="A169" s="15" t="s">
        <v>4410</v>
      </c>
      <c r="B169" s="16">
        <v>1206</v>
      </c>
      <c r="C169" s="16">
        <v>202577</v>
      </c>
      <c r="D169" s="17">
        <v>96</v>
      </c>
      <c r="E169" s="15" t="str">
        <f t="shared" si="2"/>
        <v>1206-202577</v>
      </c>
    </row>
    <row r="170" spans="1:5" ht="14.25" customHeight="1" x14ac:dyDescent="0.25">
      <c r="A170" s="15" t="s">
        <v>4411</v>
      </c>
      <c r="B170" s="16">
        <v>1206</v>
      </c>
      <c r="C170" s="16">
        <v>234334</v>
      </c>
      <c r="D170" s="17">
        <v>94</v>
      </c>
      <c r="E170" s="15" t="str">
        <f t="shared" si="2"/>
        <v>1206-234334</v>
      </c>
    </row>
    <row r="171" spans="1:5" ht="14.25" customHeight="1" x14ac:dyDescent="0.25">
      <c r="A171" s="15" t="s">
        <v>4412</v>
      </c>
      <c r="B171" s="16">
        <v>1206</v>
      </c>
      <c r="C171" s="16">
        <v>249444</v>
      </c>
      <c r="D171" s="17">
        <v>58</v>
      </c>
      <c r="E171" s="15" t="str">
        <f t="shared" si="2"/>
        <v>1206-249444</v>
      </c>
    </row>
    <row r="172" spans="1:5" ht="14.25" customHeight="1" x14ac:dyDescent="0.25">
      <c r="A172" s="15" t="s">
        <v>4413</v>
      </c>
      <c r="B172" s="16">
        <v>1206</v>
      </c>
      <c r="C172" s="16">
        <v>249795</v>
      </c>
      <c r="D172" s="17">
        <v>84</v>
      </c>
      <c r="E172" s="15" t="str">
        <f t="shared" si="2"/>
        <v>1206-249795</v>
      </c>
    </row>
    <row r="173" spans="1:5" ht="14.25" customHeight="1" x14ac:dyDescent="0.25">
      <c r="A173" s="15" t="s">
        <v>4414</v>
      </c>
      <c r="B173" s="16">
        <v>1206</v>
      </c>
      <c r="C173" s="16">
        <v>250979</v>
      </c>
      <c r="D173" s="17">
        <v>76</v>
      </c>
      <c r="E173" s="15" t="str">
        <f t="shared" si="2"/>
        <v>1206-250979</v>
      </c>
    </row>
    <row r="174" spans="1:5" ht="14.25" customHeight="1" x14ac:dyDescent="0.25">
      <c r="A174" s="15" t="s">
        <v>4415</v>
      </c>
      <c r="B174" s="16">
        <v>1206</v>
      </c>
      <c r="C174" s="16">
        <v>250981</v>
      </c>
      <c r="D174" s="17">
        <v>40</v>
      </c>
      <c r="E174" s="15" t="str">
        <f t="shared" si="2"/>
        <v>1206-250981</v>
      </c>
    </row>
    <row r="175" spans="1:5" ht="14.25" customHeight="1" x14ac:dyDescent="0.25">
      <c r="A175" s="15" t="s">
        <v>4416</v>
      </c>
      <c r="B175" s="16">
        <v>1206</v>
      </c>
      <c r="C175" s="16">
        <v>262294</v>
      </c>
      <c r="D175" s="17">
        <v>120</v>
      </c>
      <c r="E175" s="15" t="str">
        <f t="shared" si="2"/>
        <v>1206-262294</v>
      </c>
    </row>
    <row r="176" spans="1:5" ht="14.25" customHeight="1" x14ac:dyDescent="0.25">
      <c r="A176" s="15" t="s">
        <v>4417</v>
      </c>
      <c r="B176" s="16">
        <v>1206</v>
      </c>
      <c r="C176" s="16">
        <v>268831</v>
      </c>
      <c r="D176" s="17">
        <v>108</v>
      </c>
      <c r="E176" s="15" t="str">
        <f t="shared" si="2"/>
        <v>1206-268831</v>
      </c>
    </row>
    <row r="177" spans="1:5" ht="14.25" customHeight="1" x14ac:dyDescent="0.25">
      <c r="A177" s="15" t="s">
        <v>4418</v>
      </c>
      <c r="B177" s="16">
        <v>1206</v>
      </c>
      <c r="C177" s="16">
        <v>273701</v>
      </c>
      <c r="D177" s="17">
        <v>62</v>
      </c>
      <c r="E177" s="15" t="str">
        <f t="shared" si="2"/>
        <v>1206-273701</v>
      </c>
    </row>
    <row r="178" spans="1:5" ht="14.25" customHeight="1" x14ac:dyDescent="0.25">
      <c r="A178" s="15" t="s">
        <v>4419</v>
      </c>
      <c r="B178" s="16">
        <v>1206</v>
      </c>
      <c r="C178" s="16">
        <v>291726</v>
      </c>
      <c r="D178" s="17">
        <v>104</v>
      </c>
      <c r="E178" s="15" t="str">
        <f t="shared" si="2"/>
        <v>1206-291726</v>
      </c>
    </row>
    <row r="179" spans="1:5" ht="14.25" customHeight="1" x14ac:dyDescent="0.25">
      <c r="A179" s="15" t="s">
        <v>4420</v>
      </c>
      <c r="B179" s="16">
        <v>1206</v>
      </c>
      <c r="C179" s="16">
        <v>291728</v>
      </c>
      <c r="D179" s="17">
        <v>84</v>
      </c>
      <c r="E179" s="15" t="str">
        <f t="shared" si="2"/>
        <v>1206-291728</v>
      </c>
    </row>
    <row r="180" spans="1:5" ht="14.25" customHeight="1" x14ac:dyDescent="0.25">
      <c r="A180" s="15" t="s">
        <v>4421</v>
      </c>
      <c r="B180" s="16">
        <v>1206</v>
      </c>
      <c r="C180" s="16">
        <v>571521</v>
      </c>
      <c r="D180" s="17">
        <v>40</v>
      </c>
      <c r="E180" s="15" t="str">
        <f t="shared" si="2"/>
        <v>1206-571521</v>
      </c>
    </row>
    <row r="181" spans="1:5" ht="14.25" customHeight="1" x14ac:dyDescent="0.25">
      <c r="A181" s="15" t="s">
        <v>4422</v>
      </c>
      <c r="B181" s="16">
        <v>1206</v>
      </c>
      <c r="C181" s="16">
        <v>614993</v>
      </c>
      <c r="D181" s="17">
        <v>44</v>
      </c>
      <c r="E181" s="15" t="str">
        <f t="shared" si="2"/>
        <v>1206-614993</v>
      </c>
    </row>
    <row r="182" spans="1:5" ht="14.25" customHeight="1" x14ac:dyDescent="0.25">
      <c r="A182" s="15" t="s">
        <v>4423</v>
      </c>
      <c r="B182" s="16">
        <v>1207</v>
      </c>
      <c r="C182" s="16">
        <v>115600</v>
      </c>
      <c r="D182" s="17">
        <v>52</v>
      </c>
      <c r="E182" s="15" t="str">
        <f t="shared" si="2"/>
        <v>1207-115600</v>
      </c>
    </row>
    <row r="183" spans="1:5" ht="14.25" customHeight="1" x14ac:dyDescent="0.25">
      <c r="A183" s="15" t="s">
        <v>4424</v>
      </c>
      <c r="B183" s="16">
        <v>1207</v>
      </c>
      <c r="C183" s="16">
        <v>129208</v>
      </c>
      <c r="D183" s="17">
        <v>98</v>
      </c>
      <c r="E183" s="15" t="str">
        <f t="shared" si="2"/>
        <v>1207-129208</v>
      </c>
    </row>
    <row r="184" spans="1:5" ht="14.25" customHeight="1" x14ac:dyDescent="0.25">
      <c r="A184" s="15" t="s">
        <v>4425</v>
      </c>
      <c r="B184" s="16">
        <v>1207</v>
      </c>
      <c r="C184" s="16">
        <v>300380</v>
      </c>
      <c r="D184" s="17">
        <v>60</v>
      </c>
      <c r="E184" s="15" t="str">
        <f t="shared" si="2"/>
        <v>1207-300380</v>
      </c>
    </row>
    <row r="185" spans="1:5" ht="14.25" customHeight="1" x14ac:dyDescent="0.25">
      <c r="A185" s="15" t="s">
        <v>4426</v>
      </c>
      <c r="B185" s="16">
        <v>1207</v>
      </c>
      <c r="C185" s="16">
        <v>23393</v>
      </c>
      <c r="D185" s="17">
        <v>42</v>
      </c>
      <c r="E185" s="15" t="str">
        <f t="shared" si="2"/>
        <v>1207-23393</v>
      </c>
    </row>
    <row r="186" spans="1:5" ht="14.25" customHeight="1" x14ac:dyDescent="0.25">
      <c r="A186" s="15" t="s">
        <v>4427</v>
      </c>
      <c r="B186" s="16">
        <v>1207</v>
      </c>
      <c r="C186" s="16">
        <v>26764</v>
      </c>
      <c r="D186" s="17">
        <v>96</v>
      </c>
      <c r="E186" s="15" t="str">
        <f t="shared" si="2"/>
        <v>1207-26764</v>
      </c>
    </row>
    <row r="187" spans="1:5" ht="14.25" customHeight="1" x14ac:dyDescent="0.25">
      <c r="A187" s="15" t="s">
        <v>4428</v>
      </c>
      <c r="B187" s="16">
        <v>1207</v>
      </c>
      <c r="C187" s="16">
        <v>53934</v>
      </c>
      <c r="D187" s="17">
        <v>62</v>
      </c>
      <c r="E187" s="15" t="str">
        <f t="shared" si="2"/>
        <v>1207-53934</v>
      </c>
    </row>
    <row r="188" spans="1:5" ht="14.25" customHeight="1" x14ac:dyDescent="0.25">
      <c r="A188" s="15" t="s">
        <v>4429</v>
      </c>
      <c r="B188" s="16">
        <v>1207</v>
      </c>
      <c r="C188" s="16">
        <v>78699</v>
      </c>
      <c r="D188" s="17">
        <v>74</v>
      </c>
      <c r="E188" s="15" t="str">
        <f t="shared" si="2"/>
        <v>1207-78699</v>
      </c>
    </row>
    <row r="189" spans="1:5" ht="14.25" customHeight="1" x14ac:dyDescent="0.25">
      <c r="A189" s="15" t="s">
        <v>4430</v>
      </c>
      <c r="B189" s="16">
        <v>1207</v>
      </c>
      <c r="C189" s="16">
        <v>78869</v>
      </c>
      <c r="D189" s="17">
        <v>96</v>
      </c>
      <c r="E189" s="15" t="str">
        <f t="shared" si="2"/>
        <v>1207-78869</v>
      </c>
    </row>
    <row r="190" spans="1:5" ht="14.25" customHeight="1" x14ac:dyDescent="0.25">
      <c r="A190" s="15" t="s">
        <v>4431</v>
      </c>
      <c r="B190" s="16">
        <v>1207</v>
      </c>
      <c r="C190" s="16">
        <v>141622</v>
      </c>
      <c r="D190" s="17">
        <v>94</v>
      </c>
      <c r="E190" s="15" t="str">
        <f t="shared" si="2"/>
        <v>1207-141622</v>
      </c>
    </row>
    <row r="191" spans="1:5" ht="14.25" customHeight="1" x14ac:dyDescent="0.25">
      <c r="A191" s="15" t="s">
        <v>4432</v>
      </c>
      <c r="B191" s="16">
        <v>1207</v>
      </c>
      <c r="C191" s="16">
        <v>141626</v>
      </c>
      <c r="D191" s="17">
        <v>68</v>
      </c>
      <c r="E191" s="15" t="str">
        <f t="shared" si="2"/>
        <v>1207-141626</v>
      </c>
    </row>
    <row r="192" spans="1:5" ht="14.25" customHeight="1" x14ac:dyDescent="0.25">
      <c r="A192" s="15" t="s">
        <v>4433</v>
      </c>
      <c r="B192" s="16">
        <v>1207</v>
      </c>
      <c r="C192" s="16">
        <v>141791</v>
      </c>
      <c r="D192" s="17">
        <v>116</v>
      </c>
      <c r="E192" s="15" t="str">
        <f t="shared" si="2"/>
        <v>1207-141791</v>
      </c>
    </row>
    <row r="193" spans="1:5" ht="14.25" customHeight="1" x14ac:dyDescent="0.25">
      <c r="A193" s="15" t="s">
        <v>4434</v>
      </c>
      <c r="B193" s="16">
        <v>1207</v>
      </c>
      <c r="C193" s="16">
        <v>141846</v>
      </c>
      <c r="D193" s="17">
        <v>60</v>
      </c>
      <c r="E193" s="15" t="str">
        <f t="shared" si="2"/>
        <v>1207-141846</v>
      </c>
    </row>
    <row r="194" spans="1:5" ht="14.25" customHeight="1" x14ac:dyDescent="0.25">
      <c r="A194" s="15" t="s">
        <v>4435</v>
      </c>
      <c r="B194" s="16">
        <v>1207</v>
      </c>
      <c r="C194" s="16">
        <v>141967</v>
      </c>
      <c r="D194" s="17">
        <v>100</v>
      </c>
      <c r="E194" s="15" t="str">
        <f t="shared" si="2"/>
        <v>1207-141967</v>
      </c>
    </row>
    <row r="195" spans="1:5" ht="14.25" customHeight="1" x14ac:dyDescent="0.25">
      <c r="A195" s="15" t="s">
        <v>4436</v>
      </c>
      <c r="B195" s="16">
        <v>1207</v>
      </c>
      <c r="C195" s="16">
        <v>142194</v>
      </c>
      <c r="D195" s="17">
        <v>96</v>
      </c>
      <c r="E195" s="15" t="str">
        <f t="shared" ref="E195:E258" si="3">B195&amp;"-"&amp;C195</f>
        <v>1207-142194</v>
      </c>
    </row>
    <row r="196" spans="1:5" ht="14.25" customHeight="1" x14ac:dyDescent="0.25">
      <c r="A196" s="15" t="s">
        <v>4437</v>
      </c>
      <c r="B196" s="16">
        <v>1207</v>
      </c>
      <c r="C196" s="16">
        <v>149729</v>
      </c>
      <c r="D196" s="17">
        <v>96</v>
      </c>
      <c r="E196" s="15" t="str">
        <f t="shared" si="3"/>
        <v>1207-149729</v>
      </c>
    </row>
    <row r="197" spans="1:5" ht="14.25" customHeight="1" x14ac:dyDescent="0.25">
      <c r="A197" s="15" t="s">
        <v>4438</v>
      </c>
      <c r="B197" s="16">
        <v>1207</v>
      </c>
      <c r="C197" s="16">
        <v>149779</v>
      </c>
      <c r="D197" s="17">
        <v>80</v>
      </c>
      <c r="E197" s="15" t="str">
        <f t="shared" si="3"/>
        <v>1207-149779</v>
      </c>
    </row>
    <row r="198" spans="1:5" ht="14.25" customHeight="1" x14ac:dyDescent="0.25">
      <c r="A198" s="15" t="s">
        <v>4439</v>
      </c>
      <c r="B198" s="16">
        <v>1207</v>
      </c>
      <c r="C198" s="16">
        <v>189933</v>
      </c>
      <c r="D198" s="17">
        <v>58</v>
      </c>
      <c r="E198" s="15" t="str">
        <f t="shared" si="3"/>
        <v>1207-189933</v>
      </c>
    </row>
    <row r="199" spans="1:5" ht="14.25" customHeight="1" x14ac:dyDescent="0.25">
      <c r="A199" s="15" t="s">
        <v>4440</v>
      </c>
      <c r="B199" s="16">
        <v>1207</v>
      </c>
      <c r="C199" s="16">
        <v>202577</v>
      </c>
      <c r="D199" s="17">
        <v>78</v>
      </c>
      <c r="E199" s="15" t="str">
        <f t="shared" si="3"/>
        <v>1207-202577</v>
      </c>
    </row>
    <row r="200" spans="1:5" ht="14.25" customHeight="1" x14ac:dyDescent="0.25">
      <c r="A200" s="15" t="s">
        <v>4441</v>
      </c>
      <c r="B200" s="16">
        <v>1207</v>
      </c>
      <c r="C200" s="16">
        <v>234334</v>
      </c>
      <c r="D200" s="17">
        <v>118</v>
      </c>
      <c r="E200" s="15" t="str">
        <f t="shared" si="3"/>
        <v>1207-234334</v>
      </c>
    </row>
    <row r="201" spans="1:5" ht="14.25" customHeight="1" x14ac:dyDescent="0.25">
      <c r="A201" s="15" t="s">
        <v>4442</v>
      </c>
      <c r="B201" s="16">
        <v>1207</v>
      </c>
      <c r="C201" s="16">
        <v>249444</v>
      </c>
      <c r="D201" s="17">
        <v>106</v>
      </c>
      <c r="E201" s="15" t="str">
        <f t="shared" si="3"/>
        <v>1207-249444</v>
      </c>
    </row>
    <row r="202" spans="1:5" ht="14.25" customHeight="1" x14ac:dyDescent="0.25">
      <c r="A202" s="15" t="s">
        <v>4443</v>
      </c>
      <c r="B202" s="16">
        <v>1207</v>
      </c>
      <c r="C202" s="16">
        <v>249795</v>
      </c>
      <c r="D202" s="17">
        <v>94</v>
      </c>
      <c r="E202" s="15" t="str">
        <f t="shared" si="3"/>
        <v>1207-249795</v>
      </c>
    </row>
    <row r="203" spans="1:5" ht="14.25" customHeight="1" x14ac:dyDescent="0.25">
      <c r="A203" s="15" t="s">
        <v>4444</v>
      </c>
      <c r="B203" s="16">
        <v>1207</v>
      </c>
      <c r="C203" s="16">
        <v>250979</v>
      </c>
      <c r="D203" s="17">
        <v>106</v>
      </c>
      <c r="E203" s="15" t="str">
        <f t="shared" si="3"/>
        <v>1207-250979</v>
      </c>
    </row>
    <row r="204" spans="1:5" ht="14.25" customHeight="1" x14ac:dyDescent="0.25">
      <c r="A204" s="15" t="s">
        <v>4445</v>
      </c>
      <c r="B204" s="16">
        <v>1207</v>
      </c>
      <c r="C204" s="16">
        <v>250981</v>
      </c>
      <c r="D204" s="17">
        <v>74</v>
      </c>
      <c r="E204" s="15" t="str">
        <f t="shared" si="3"/>
        <v>1207-250981</v>
      </c>
    </row>
    <row r="205" spans="1:5" ht="14.25" customHeight="1" x14ac:dyDescent="0.25">
      <c r="A205" s="15" t="s">
        <v>4446</v>
      </c>
      <c r="B205" s="16">
        <v>1207</v>
      </c>
      <c r="C205" s="16">
        <v>262294</v>
      </c>
      <c r="D205" s="17">
        <v>72</v>
      </c>
      <c r="E205" s="15" t="str">
        <f t="shared" si="3"/>
        <v>1207-262294</v>
      </c>
    </row>
    <row r="206" spans="1:5" ht="14.25" customHeight="1" x14ac:dyDescent="0.25">
      <c r="A206" s="15" t="s">
        <v>4447</v>
      </c>
      <c r="B206" s="16">
        <v>1207</v>
      </c>
      <c r="C206" s="16">
        <v>268831</v>
      </c>
      <c r="D206" s="17">
        <v>80</v>
      </c>
      <c r="E206" s="15" t="str">
        <f t="shared" si="3"/>
        <v>1207-268831</v>
      </c>
    </row>
    <row r="207" spans="1:5" ht="14.25" customHeight="1" x14ac:dyDescent="0.25">
      <c r="A207" s="15" t="s">
        <v>4448</v>
      </c>
      <c r="B207" s="16">
        <v>1207</v>
      </c>
      <c r="C207" s="16">
        <v>273701</v>
      </c>
      <c r="D207" s="17">
        <v>116</v>
      </c>
      <c r="E207" s="15" t="str">
        <f t="shared" si="3"/>
        <v>1207-273701</v>
      </c>
    </row>
    <row r="208" spans="1:5" ht="14.25" customHeight="1" x14ac:dyDescent="0.25">
      <c r="A208" s="15" t="s">
        <v>4449</v>
      </c>
      <c r="B208" s="16">
        <v>1207</v>
      </c>
      <c r="C208" s="16">
        <v>291726</v>
      </c>
      <c r="D208" s="17">
        <v>84</v>
      </c>
      <c r="E208" s="15" t="str">
        <f t="shared" si="3"/>
        <v>1207-291726</v>
      </c>
    </row>
    <row r="209" spans="1:5" ht="14.25" customHeight="1" x14ac:dyDescent="0.25">
      <c r="A209" s="15" t="s">
        <v>4450</v>
      </c>
      <c r="B209" s="16">
        <v>1207</v>
      </c>
      <c r="C209" s="16">
        <v>291728</v>
      </c>
      <c r="D209" s="17">
        <v>90</v>
      </c>
      <c r="E209" s="15" t="str">
        <f t="shared" si="3"/>
        <v>1207-291728</v>
      </c>
    </row>
    <row r="210" spans="1:5" ht="14.25" customHeight="1" x14ac:dyDescent="0.25">
      <c r="A210" s="15" t="s">
        <v>4451</v>
      </c>
      <c r="B210" s="16">
        <v>1207</v>
      </c>
      <c r="C210" s="16">
        <v>571521</v>
      </c>
      <c r="D210" s="17">
        <v>96</v>
      </c>
      <c r="E210" s="15" t="str">
        <f t="shared" si="3"/>
        <v>1207-571521</v>
      </c>
    </row>
    <row r="211" spans="1:5" ht="14.25" customHeight="1" x14ac:dyDescent="0.25">
      <c r="A211" s="15" t="s">
        <v>4452</v>
      </c>
      <c r="B211" s="16">
        <v>1207</v>
      </c>
      <c r="C211" s="16">
        <v>614993</v>
      </c>
      <c r="D211" s="17">
        <v>64</v>
      </c>
      <c r="E211" s="15" t="str">
        <f t="shared" si="3"/>
        <v>1207-614993</v>
      </c>
    </row>
    <row r="212" spans="1:5" ht="14.25" customHeight="1" x14ac:dyDescent="0.25">
      <c r="A212" s="15" t="s">
        <v>4453</v>
      </c>
      <c r="B212" s="16">
        <v>1208</v>
      </c>
      <c r="C212" s="16">
        <v>23393</v>
      </c>
      <c r="D212" s="17">
        <v>72</v>
      </c>
      <c r="E212" s="15" t="str">
        <f t="shared" si="3"/>
        <v>1208-23393</v>
      </c>
    </row>
    <row r="213" spans="1:5" ht="14.25" customHeight="1" x14ac:dyDescent="0.25">
      <c r="A213" s="15" t="s">
        <v>4454</v>
      </c>
      <c r="B213" s="16">
        <v>1208</v>
      </c>
      <c r="C213" s="16">
        <v>26764</v>
      </c>
      <c r="D213" s="17">
        <v>92</v>
      </c>
      <c r="E213" s="15" t="str">
        <f t="shared" si="3"/>
        <v>1208-26764</v>
      </c>
    </row>
    <row r="214" spans="1:5" ht="14.25" customHeight="1" x14ac:dyDescent="0.25">
      <c r="A214" s="15" t="s">
        <v>4455</v>
      </c>
      <c r="B214" s="16">
        <v>1208</v>
      </c>
      <c r="C214" s="16">
        <v>78869</v>
      </c>
      <c r="D214" s="17">
        <v>50</v>
      </c>
      <c r="E214" s="15" t="str">
        <f t="shared" si="3"/>
        <v>1208-78869</v>
      </c>
    </row>
    <row r="215" spans="1:5" ht="14.25" customHeight="1" x14ac:dyDescent="0.25">
      <c r="A215" s="15" t="s">
        <v>4456</v>
      </c>
      <c r="B215" s="16">
        <v>1208</v>
      </c>
      <c r="C215" s="16">
        <v>141622</v>
      </c>
      <c r="D215" s="17">
        <v>100</v>
      </c>
      <c r="E215" s="15" t="str">
        <f t="shared" si="3"/>
        <v>1208-141622</v>
      </c>
    </row>
    <row r="216" spans="1:5" ht="14.25" customHeight="1" x14ac:dyDescent="0.25">
      <c r="A216" s="15" t="s">
        <v>4457</v>
      </c>
      <c r="B216" s="16">
        <v>1208</v>
      </c>
      <c r="C216" s="16">
        <v>141626</v>
      </c>
      <c r="D216" s="17">
        <v>56</v>
      </c>
      <c r="E216" s="15" t="str">
        <f t="shared" si="3"/>
        <v>1208-141626</v>
      </c>
    </row>
    <row r="217" spans="1:5" ht="14.25" customHeight="1" x14ac:dyDescent="0.25">
      <c r="A217" s="15" t="s">
        <v>4458</v>
      </c>
      <c r="B217" s="16">
        <v>1208</v>
      </c>
      <c r="C217" s="16">
        <v>141967</v>
      </c>
      <c r="D217" s="17">
        <v>88</v>
      </c>
      <c r="E217" s="15" t="str">
        <f t="shared" si="3"/>
        <v>1208-141967</v>
      </c>
    </row>
    <row r="218" spans="1:5" ht="14.25" customHeight="1" x14ac:dyDescent="0.25">
      <c r="A218" s="15" t="s">
        <v>4459</v>
      </c>
      <c r="B218" s="16">
        <v>1208</v>
      </c>
      <c r="C218" s="16">
        <v>142194</v>
      </c>
      <c r="D218" s="17">
        <v>70</v>
      </c>
      <c r="E218" s="15" t="str">
        <f t="shared" si="3"/>
        <v>1208-142194</v>
      </c>
    </row>
    <row r="219" spans="1:5" ht="14.25" customHeight="1" x14ac:dyDescent="0.25">
      <c r="A219" s="15" t="s">
        <v>4460</v>
      </c>
      <c r="B219" s="16">
        <v>1208</v>
      </c>
      <c r="C219" s="16">
        <v>149779</v>
      </c>
      <c r="D219" s="17">
        <v>80</v>
      </c>
      <c r="E219" s="15" t="str">
        <f t="shared" si="3"/>
        <v>1208-149779</v>
      </c>
    </row>
    <row r="220" spans="1:5" ht="14.25" customHeight="1" x14ac:dyDescent="0.25">
      <c r="A220" s="15" t="s">
        <v>4461</v>
      </c>
      <c r="B220" s="16">
        <v>1208</v>
      </c>
      <c r="C220" s="16">
        <v>189933</v>
      </c>
      <c r="D220" s="17">
        <v>92</v>
      </c>
      <c r="E220" s="15" t="str">
        <f t="shared" si="3"/>
        <v>1208-189933</v>
      </c>
    </row>
    <row r="221" spans="1:5" ht="14.25" customHeight="1" x14ac:dyDescent="0.25">
      <c r="A221" s="15" t="s">
        <v>4462</v>
      </c>
      <c r="B221" s="16">
        <v>1208</v>
      </c>
      <c r="C221" s="16">
        <v>202577</v>
      </c>
      <c r="D221" s="17">
        <v>64</v>
      </c>
      <c r="E221" s="15" t="str">
        <f t="shared" si="3"/>
        <v>1208-202577</v>
      </c>
    </row>
    <row r="222" spans="1:5" ht="14.25" customHeight="1" x14ac:dyDescent="0.25">
      <c r="A222" s="15" t="s">
        <v>4463</v>
      </c>
      <c r="B222" s="16">
        <v>1208</v>
      </c>
      <c r="C222" s="16">
        <v>234334</v>
      </c>
      <c r="D222" s="17">
        <v>98</v>
      </c>
      <c r="E222" s="15" t="str">
        <f t="shared" si="3"/>
        <v>1208-234334</v>
      </c>
    </row>
    <row r="223" spans="1:5" ht="14.25" customHeight="1" x14ac:dyDescent="0.25">
      <c r="A223" s="15" t="s">
        <v>4464</v>
      </c>
      <c r="B223" s="16">
        <v>1208</v>
      </c>
      <c r="C223" s="16">
        <v>249444</v>
      </c>
      <c r="D223" s="17">
        <v>80</v>
      </c>
      <c r="E223" s="15" t="str">
        <f t="shared" si="3"/>
        <v>1208-249444</v>
      </c>
    </row>
    <row r="224" spans="1:5" ht="14.25" customHeight="1" x14ac:dyDescent="0.25">
      <c r="A224" s="15" t="s">
        <v>4465</v>
      </c>
      <c r="B224" s="16">
        <v>1208</v>
      </c>
      <c r="C224" s="16">
        <v>249795</v>
      </c>
      <c r="D224" s="17">
        <v>40</v>
      </c>
      <c r="E224" s="15" t="str">
        <f t="shared" si="3"/>
        <v>1208-249795</v>
      </c>
    </row>
    <row r="225" spans="1:5" ht="14.25" customHeight="1" x14ac:dyDescent="0.25">
      <c r="A225" s="15" t="s">
        <v>4466</v>
      </c>
      <c r="B225" s="16">
        <v>1208</v>
      </c>
      <c r="C225" s="16">
        <v>250979</v>
      </c>
      <c r="D225" s="17">
        <v>86</v>
      </c>
      <c r="E225" s="15" t="str">
        <f t="shared" si="3"/>
        <v>1208-250979</v>
      </c>
    </row>
    <row r="226" spans="1:5" ht="14.25" customHeight="1" x14ac:dyDescent="0.25">
      <c r="A226" s="15" t="s">
        <v>4467</v>
      </c>
      <c r="B226" s="16">
        <v>1208</v>
      </c>
      <c r="C226" s="16">
        <v>250981</v>
      </c>
      <c r="D226" s="17">
        <v>72</v>
      </c>
      <c r="E226" s="15" t="str">
        <f t="shared" si="3"/>
        <v>1208-250981</v>
      </c>
    </row>
    <row r="227" spans="1:5" ht="14.25" customHeight="1" x14ac:dyDescent="0.25">
      <c r="A227" s="15" t="s">
        <v>4468</v>
      </c>
      <c r="B227" s="16">
        <v>1208</v>
      </c>
      <c r="C227" s="16">
        <v>262294</v>
      </c>
      <c r="D227" s="17">
        <v>76</v>
      </c>
      <c r="E227" s="15" t="str">
        <f t="shared" si="3"/>
        <v>1208-262294</v>
      </c>
    </row>
    <row r="228" spans="1:5" ht="14.25" customHeight="1" x14ac:dyDescent="0.25">
      <c r="A228" s="15" t="s">
        <v>4469</v>
      </c>
      <c r="B228" s="16">
        <v>1208</v>
      </c>
      <c r="C228" s="16">
        <v>291726</v>
      </c>
      <c r="D228" s="17">
        <v>102</v>
      </c>
      <c r="E228" s="15" t="str">
        <f t="shared" si="3"/>
        <v>1208-291726</v>
      </c>
    </row>
    <row r="229" spans="1:5" ht="14.25" customHeight="1" x14ac:dyDescent="0.25">
      <c r="A229" s="15" t="s">
        <v>4470</v>
      </c>
      <c r="B229" s="16">
        <v>1208</v>
      </c>
      <c r="C229" s="16">
        <v>291728</v>
      </c>
      <c r="D229" s="17">
        <v>60</v>
      </c>
      <c r="E229" s="15" t="str">
        <f t="shared" si="3"/>
        <v>1208-291728</v>
      </c>
    </row>
    <row r="230" spans="1:5" ht="14.25" customHeight="1" x14ac:dyDescent="0.25">
      <c r="A230" s="15" t="s">
        <v>4471</v>
      </c>
      <c r="B230" s="16">
        <v>1209</v>
      </c>
      <c r="C230" s="16">
        <v>115600</v>
      </c>
      <c r="D230" s="17">
        <v>88</v>
      </c>
      <c r="E230" s="15" t="str">
        <f t="shared" si="3"/>
        <v>1209-115600</v>
      </c>
    </row>
    <row r="231" spans="1:5" ht="14.25" customHeight="1" x14ac:dyDescent="0.25">
      <c r="A231" s="15" t="s">
        <v>4472</v>
      </c>
      <c r="B231" s="16">
        <v>1209</v>
      </c>
      <c r="C231" s="16">
        <v>129208</v>
      </c>
      <c r="D231" s="17">
        <v>90</v>
      </c>
      <c r="E231" s="15" t="str">
        <f t="shared" si="3"/>
        <v>1209-129208</v>
      </c>
    </row>
    <row r="232" spans="1:5" ht="14.25" customHeight="1" x14ac:dyDescent="0.25">
      <c r="A232" s="15" t="s">
        <v>4473</v>
      </c>
      <c r="B232" s="16">
        <v>1209</v>
      </c>
      <c r="C232" s="16">
        <v>300380</v>
      </c>
      <c r="D232" s="17">
        <v>112</v>
      </c>
      <c r="E232" s="15" t="str">
        <f t="shared" si="3"/>
        <v>1209-300380</v>
      </c>
    </row>
    <row r="233" spans="1:5" ht="14.25" customHeight="1" x14ac:dyDescent="0.25">
      <c r="A233" s="15" t="s">
        <v>4474</v>
      </c>
      <c r="B233" s="16">
        <v>1209</v>
      </c>
      <c r="C233" s="16">
        <v>23393</v>
      </c>
      <c r="D233" s="17">
        <v>92</v>
      </c>
      <c r="E233" s="15" t="str">
        <f t="shared" si="3"/>
        <v>1209-23393</v>
      </c>
    </row>
    <row r="234" spans="1:5" ht="14.25" customHeight="1" x14ac:dyDescent="0.25">
      <c r="A234" s="15" t="s">
        <v>4475</v>
      </c>
      <c r="B234" s="16">
        <v>1209</v>
      </c>
      <c r="C234" s="16">
        <v>26764</v>
      </c>
      <c r="D234" s="17">
        <v>58</v>
      </c>
      <c r="E234" s="15" t="str">
        <f t="shared" si="3"/>
        <v>1209-26764</v>
      </c>
    </row>
    <row r="235" spans="1:5" ht="14.25" customHeight="1" x14ac:dyDescent="0.25">
      <c r="A235" s="15" t="s">
        <v>4476</v>
      </c>
      <c r="B235" s="16">
        <v>1209</v>
      </c>
      <c r="C235" s="16">
        <v>53934</v>
      </c>
      <c r="D235" s="17">
        <v>68</v>
      </c>
      <c r="E235" s="15" t="str">
        <f t="shared" si="3"/>
        <v>1209-53934</v>
      </c>
    </row>
    <row r="236" spans="1:5" ht="14.25" customHeight="1" x14ac:dyDescent="0.25">
      <c r="A236" s="15" t="s">
        <v>4477</v>
      </c>
      <c r="B236" s="16">
        <v>1209</v>
      </c>
      <c r="C236" s="16">
        <v>141622</v>
      </c>
      <c r="D236" s="17">
        <v>92</v>
      </c>
      <c r="E236" s="15" t="str">
        <f t="shared" si="3"/>
        <v>1209-141622</v>
      </c>
    </row>
    <row r="237" spans="1:5" ht="14.25" customHeight="1" x14ac:dyDescent="0.25">
      <c r="A237" s="15" t="s">
        <v>4478</v>
      </c>
      <c r="B237" s="16">
        <v>1209</v>
      </c>
      <c r="C237" s="16">
        <v>141626</v>
      </c>
      <c r="D237" s="17">
        <v>62</v>
      </c>
      <c r="E237" s="15" t="str">
        <f t="shared" si="3"/>
        <v>1209-141626</v>
      </c>
    </row>
    <row r="238" spans="1:5" ht="14.25" customHeight="1" x14ac:dyDescent="0.25">
      <c r="A238" s="15" t="s">
        <v>4479</v>
      </c>
      <c r="B238" s="16">
        <v>1209</v>
      </c>
      <c r="C238" s="16">
        <v>141791</v>
      </c>
      <c r="D238" s="17">
        <v>40</v>
      </c>
      <c r="E238" s="15" t="str">
        <f t="shared" si="3"/>
        <v>1209-141791</v>
      </c>
    </row>
    <row r="239" spans="1:5" ht="14.25" customHeight="1" x14ac:dyDescent="0.25">
      <c r="A239" s="15" t="s">
        <v>4480</v>
      </c>
      <c r="B239" s="16">
        <v>1209</v>
      </c>
      <c r="C239" s="16">
        <v>141967</v>
      </c>
      <c r="D239" s="17">
        <v>94</v>
      </c>
      <c r="E239" s="15" t="str">
        <f t="shared" si="3"/>
        <v>1209-141967</v>
      </c>
    </row>
    <row r="240" spans="1:5" ht="14.25" customHeight="1" x14ac:dyDescent="0.25">
      <c r="A240" s="15" t="s">
        <v>4481</v>
      </c>
      <c r="B240" s="16">
        <v>1209</v>
      </c>
      <c r="C240" s="16">
        <v>142194</v>
      </c>
      <c r="D240" s="17">
        <v>74</v>
      </c>
      <c r="E240" s="15" t="str">
        <f t="shared" si="3"/>
        <v>1209-142194</v>
      </c>
    </row>
    <row r="241" spans="1:5" ht="14.25" customHeight="1" x14ac:dyDescent="0.25">
      <c r="A241" s="15" t="s">
        <v>4482</v>
      </c>
      <c r="B241" s="16">
        <v>1209</v>
      </c>
      <c r="C241" s="16">
        <v>189933</v>
      </c>
      <c r="D241" s="17">
        <v>84</v>
      </c>
      <c r="E241" s="15" t="str">
        <f t="shared" si="3"/>
        <v>1209-189933</v>
      </c>
    </row>
    <row r="242" spans="1:5" ht="14.25" customHeight="1" x14ac:dyDescent="0.25">
      <c r="A242" s="15" t="s">
        <v>4483</v>
      </c>
      <c r="B242" s="16">
        <v>1209</v>
      </c>
      <c r="C242" s="16">
        <v>202577</v>
      </c>
      <c r="D242" s="17">
        <v>74</v>
      </c>
      <c r="E242" s="15" t="str">
        <f t="shared" si="3"/>
        <v>1209-202577</v>
      </c>
    </row>
    <row r="243" spans="1:5" ht="14.25" customHeight="1" x14ac:dyDescent="0.25">
      <c r="A243" s="15" t="s">
        <v>4484</v>
      </c>
      <c r="B243" s="16">
        <v>1209</v>
      </c>
      <c r="C243" s="16">
        <v>249444</v>
      </c>
      <c r="D243" s="17">
        <v>96</v>
      </c>
      <c r="E243" s="15" t="str">
        <f t="shared" si="3"/>
        <v>1209-249444</v>
      </c>
    </row>
    <row r="244" spans="1:5" ht="14.25" customHeight="1" x14ac:dyDescent="0.25">
      <c r="A244" s="15" t="s">
        <v>4485</v>
      </c>
      <c r="B244" s="16">
        <v>1209</v>
      </c>
      <c r="C244" s="16">
        <v>249795</v>
      </c>
      <c r="D244" s="17">
        <v>96</v>
      </c>
      <c r="E244" s="15" t="str">
        <f t="shared" si="3"/>
        <v>1209-249795</v>
      </c>
    </row>
    <row r="245" spans="1:5" ht="14.25" customHeight="1" x14ac:dyDescent="0.25">
      <c r="A245" s="15" t="s">
        <v>4486</v>
      </c>
      <c r="B245" s="16">
        <v>1209</v>
      </c>
      <c r="C245" s="16">
        <v>250979</v>
      </c>
      <c r="D245" s="17">
        <v>116</v>
      </c>
      <c r="E245" s="15" t="str">
        <f t="shared" si="3"/>
        <v>1209-250979</v>
      </c>
    </row>
    <row r="246" spans="1:5" ht="14.25" customHeight="1" x14ac:dyDescent="0.25">
      <c r="A246" s="15" t="s">
        <v>4487</v>
      </c>
      <c r="B246" s="16">
        <v>1209</v>
      </c>
      <c r="C246" s="16">
        <v>250981</v>
      </c>
      <c r="D246" s="17">
        <v>118</v>
      </c>
      <c r="E246" s="15" t="str">
        <f t="shared" si="3"/>
        <v>1209-250981</v>
      </c>
    </row>
    <row r="247" spans="1:5" ht="14.25" customHeight="1" x14ac:dyDescent="0.25">
      <c r="A247" s="15" t="s">
        <v>4488</v>
      </c>
      <c r="B247" s="16">
        <v>1209</v>
      </c>
      <c r="C247" s="16">
        <v>262294</v>
      </c>
      <c r="D247" s="17">
        <v>74</v>
      </c>
      <c r="E247" s="15" t="str">
        <f t="shared" si="3"/>
        <v>1209-262294</v>
      </c>
    </row>
    <row r="248" spans="1:5" ht="14.25" customHeight="1" x14ac:dyDescent="0.25">
      <c r="A248" s="15" t="s">
        <v>4489</v>
      </c>
      <c r="B248" s="16">
        <v>1209</v>
      </c>
      <c r="C248" s="16">
        <v>268831</v>
      </c>
      <c r="D248" s="17">
        <v>78</v>
      </c>
      <c r="E248" s="15" t="str">
        <f t="shared" si="3"/>
        <v>1209-268831</v>
      </c>
    </row>
    <row r="249" spans="1:5" ht="14.25" customHeight="1" x14ac:dyDescent="0.25">
      <c r="A249" s="15" t="s">
        <v>4490</v>
      </c>
      <c r="B249" s="16">
        <v>1209</v>
      </c>
      <c r="C249" s="16">
        <v>273701</v>
      </c>
      <c r="D249" s="17">
        <v>62</v>
      </c>
      <c r="E249" s="15" t="str">
        <f t="shared" si="3"/>
        <v>1209-273701</v>
      </c>
    </row>
    <row r="250" spans="1:5" ht="14.25" customHeight="1" x14ac:dyDescent="0.25">
      <c r="A250" s="15" t="s">
        <v>4491</v>
      </c>
      <c r="B250" s="16">
        <v>1209</v>
      </c>
      <c r="C250" s="16">
        <v>291726</v>
      </c>
      <c r="D250" s="17">
        <v>50</v>
      </c>
      <c r="E250" s="15" t="str">
        <f t="shared" si="3"/>
        <v>1209-291726</v>
      </c>
    </row>
    <row r="251" spans="1:5" ht="14.25" customHeight="1" x14ac:dyDescent="0.25">
      <c r="A251" s="15" t="s">
        <v>4492</v>
      </c>
      <c r="B251" s="16">
        <v>1209</v>
      </c>
      <c r="C251" s="16">
        <v>571521</v>
      </c>
      <c r="D251" s="17">
        <v>66</v>
      </c>
      <c r="E251" s="15" t="str">
        <f t="shared" si="3"/>
        <v>1209-571521</v>
      </c>
    </row>
    <row r="252" spans="1:5" ht="14.25" customHeight="1" x14ac:dyDescent="0.25">
      <c r="A252" s="15" t="s">
        <v>4493</v>
      </c>
      <c r="B252" s="16">
        <v>1210</v>
      </c>
      <c r="C252" s="16">
        <v>115600</v>
      </c>
      <c r="D252" s="17">
        <v>54</v>
      </c>
      <c r="E252" s="15" t="str">
        <f t="shared" si="3"/>
        <v>1210-115600</v>
      </c>
    </row>
    <row r="253" spans="1:5" ht="14.25" customHeight="1" x14ac:dyDescent="0.25">
      <c r="A253" s="15" t="s">
        <v>4494</v>
      </c>
      <c r="B253" s="16">
        <v>1210</v>
      </c>
      <c r="C253" s="16">
        <v>129208</v>
      </c>
      <c r="D253" s="17">
        <v>112</v>
      </c>
      <c r="E253" s="15" t="str">
        <f t="shared" si="3"/>
        <v>1210-129208</v>
      </c>
    </row>
    <row r="254" spans="1:5" ht="14.25" customHeight="1" x14ac:dyDescent="0.25">
      <c r="A254" s="15" t="s">
        <v>4495</v>
      </c>
      <c r="B254" s="16">
        <v>1210</v>
      </c>
      <c r="C254" s="16">
        <v>300380</v>
      </c>
      <c r="D254" s="17">
        <v>108</v>
      </c>
      <c r="E254" s="15" t="str">
        <f t="shared" si="3"/>
        <v>1210-300380</v>
      </c>
    </row>
    <row r="255" spans="1:5" ht="14.25" customHeight="1" x14ac:dyDescent="0.25">
      <c r="A255" s="15" t="s">
        <v>4496</v>
      </c>
      <c r="B255" s="16">
        <v>1210</v>
      </c>
      <c r="C255" s="16">
        <v>23393</v>
      </c>
      <c r="D255" s="17">
        <v>770</v>
      </c>
      <c r="E255" s="15" t="str">
        <f t="shared" si="3"/>
        <v>1210-23393</v>
      </c>
    </row>
    <row r="256" spans="1:5" ht="14.25" customHeight="1" x14ac:dyDescent="0.25">
      <c r="A256" s="15" t="s">
        <v>4497</v>
      </c>
      <c r="B256" s="16">
        <v>1210</v>
      </c>
      <c r="C256" s="16">
        <v>26764</v>
      </c>
      <c r="D256" s="17">
        <v>90</v>
      </c>
      <c r="E256" s="15" t="str">
        <f t="shared" si="3"/>
        <v>1210-26764</v>
      </c>
    </row>
    <row r="257" spans="1:5" ht="14.25" customHeight="1" x14ac:dyDescent="0.25">
      <c r="A257" s="15" t="s">
        <v>4498</v>
      </c>
      <c r="B257" s="16">
        <v>1210</v>
      </c>
      <c r="C257" s="16">
        <v>53934</v>
      </c>
      <c r="D257" s="17">
        <v>110</v>
      </c>
      <c r="E257" s="15" t="str">
        <f t="shared" si="3"/>
        <v>1210-53934</v>
      </c>
    </row>
    <row r="258" spans="1:5" ht="14.25" customHeight="1" x14ac:dyDescent="0.25">
      <c r="A258" s="15" t="s">
        <v>4499</v>
      </c>
      <c r="B258" s="16">
        <v>1210</v>
      </c>
      <c r="C258" s="16">
        <v>78699</v>
      </c>
      <c r="D258" s="17">
        <v>50</v>
      </c>
      <c r="E258" s="15" t="str">
        <f t="shared" si="3"/>
        <v>1210-78699</v>
      </c>
    </row>
    <row r="259" spans="1:5" ht="14.25" customHeight="1" x14ac:dyDescent="0.25">
      <c r="A259" s="15" t="s">
        <v>4500</v>
      </c>
      <c r="B259" s="16">
        <v>1210</v>
      </c>
      <c r="C259" s="16">
        <v>78869</v>
      </c>
      <c r="D259" s="17">
        <v>110</v>
      </c>
      <c r="E259" s="15" t="str">
        <f t="shared" ref="E259:E322" si="4">B259&amp;"-"&amp;C259</f>
        <v>1210-78869</v>
      </c>
    </row>
    <row r="260" spans="1:5" ht="14.25" customHeight="1" x14ac:dyDescent="0.25">
      <c r="A260" s="15" t="s">
        <v>4501</v>
      </c>
      <c r="B260" s="16">
        <v>1210</v>
      </c>
      <c r="C260" s="16">
        <v>141622</v>
      </c>
      <c r="D260" s="17">
        <v>64</v>
      </c>
      <c r="E260" s="15" t="str">
        <f t="shared" si="4"/>
        <v>1210-141622</v>
      </c>
    </row>
    <row r="261" spans="1:5" ht="14.25" customHeight="1" x14ac:dyDescent="0.25">
      <c r="A261" s="15" t="s">
        <v>4502</v>
      </c>
      <c r="B261" s="16">
        <v>1210</v>
      </c>
      <c r="C261" s="16">
        <v>141626</v>
      </c>
      <c r="D261" s="17">
        <v>42</v>
      </c>
      <c r="E261" s="15" t="str">
        <f t="shared" si="4"/>
        <v>1210-141626</v>
      </c>
    </row>
    <row r="262" spans="1:5" ht="14.25" customHeight="1" x14ac:dyDescent="0.25">
      <c r="A262" s="15" t="s">
        <v>4503</v>
      </c>
      <c r="B262" s="16">
        <v>1210</v>
      </c>
      <c r="C262" s="16">
        <v>141791</v>
      </c>
      <c r="D262" s="17">
        <v>90</v>
      </c>
      <c r="E262" s="15" t="str">
        <f t="shared" si="4"/>
        <v>1210-141791</v>
      </c>
    </row>
    <row r="263" spans="1:5" ht="14.25" customHeight="1" x14ac:dyDescent="0.25">
      <c r="A263" s="15" t="s">
        <v>4504</v>
      </c>
      <c r="B263" s="16">
        <v>1210</v>
      </c>
      <c r="C263" s="16">
        <v>141846</v>
      </c>
      <c r="D263" s="17">
        <v>58</v>
      </c>
      <c r="E263" s="15" t="str">
        <f t="shared" si="4"/>
        <v>1210-141846</v>
      </c>
    </row>
    <row r="264" spans="1:5" ht="14.25" customHeight="1" x14ac:dyDescent="0.25">
      <c r="A264" s="15" t="s">
        <v>4505</v>
      </c>
      <c r="B264" s="16">
        <v>1210</v>
      </c>
      <c r="C264" s="16">
        <v>141967</v>
      </c>
      <c r="D264" s="17">
        <v>48</v>
      </c>
      <c r="E264" s="15" t="str">
        <f t="shared" si="4"/>
        <v>1210-141967</v>
      </c>
    </row>
    <row r="265" spans="1:5" ht="14.25" customHeight="1" x14ac:dyDescent="0.25">
      <c r="A265" s="15" t="s">
        <v>4506</v>
      </c>
      <c r="B265" s="16">
        <v>1210</v>
      </c>
      <c r="C265" s="16">
        <v>142194</v>
      </c>
      <c r="D265" s="17">
        <v>108</v>
      </c>
      <c r="E265" s="15" t="str">
        <f t="shared" si="4"/>
        <v>1210-142194</v>
      </c>
    </row>
    <row r="266" spans="1:5" ht="14.25" customHeight="1" x14ac:dyDescent="0.25">
      <c r="A266" s="15" t="s">
        <v>4507</v>
      </c>
      <c r="B266" s="16">
        <v>1210</v>
      </c>
      <c r="C266" s="16">
        <v>149729</v>
      </c>
      <c r="D266" s="17">
        <v>90</v>
      </c>
      <c r="E266" s="15" t="str">
        <f t="shared" si="4"/>
        <v>1210-149729</v>
      </c>
    </row>
    <row r="267" spans="1:5" ht="14.25" customHeight="1" x14ac:dyDescent="0.25">
      <c r="A267" s="15" t="s">
        <v>4508</v>
      </c>
      <c r="B267" s="16">
        <v>1210</v>
      </c>
      <c r="C267" s="16">
        <v>149779</v>
      </c>
      <c r="D267" s="17">
        <v>86</v>
      </c>
      <c r="E267" s="15" t="str">
        <f t="shared" si="4"/>
        <v>1210-149779</v>
      </c>
    </row>
    <row r="268" spans="1:5" ht="14.25" customHeight="1" x14ac:dyDescent="0.25">
      <c r="A268" s="15" t="s">
        <v>4509</v>
      </c>
      <c r="B268" s="16">
        <v>1210</v>
      </c>
      <c r="C268" s="16">
        <v>189933</v>
      </c>
      <c r="D268" s="17">
        <v>40</v>
      </c>
      <c r="E268" s="15" t="str">
        <f t="shared" si="4"/>
        <v>1210-189933</v>
      </c>
    </row>
    <row r="269" spans="1:5" ht="14.25" customHeight="1" x14ac:dyDescent="0.25">
      <c r="A269" s="15" t="s">
        <v>4510</v>
      </c>
      <c r="B269" s="16">
        <v>1210</v>
      </c>
      <c r="C269" s="16">
        <v>202577</v>
      </c>
      <c r="D269" s="17">
        <v>94</v>
      </c>
      <c r="E269" s="15" t="str">
        <f t="shared" si="4"/>
        <v>1210-202577</v>
      </c>
    </row>
    <row r="270" spans="1:5" ht="14.25" customHeight="1" x14ac:dyDescent="0.25">
      <c r="A270" s="15" t="s">
        <v>4511</v>
      </c>
      <c r="B270" s="16">
        <v>1210</v>
      </c>
      <c r="C270" s="16">
        <v>234334</v>
      </c>
      <c r="D270" s="17">
        <v>46</v>
      </c>
      <c r="E270" s="15" t="str">
        <f t="shared" si="4"/>
        <v>1210-234334</v>
      </c>
    </row>
    <row r="271" spans="1:5" ht="14.25" customHeight="1" x14ac:dyDescent="0.25">
      <c r="A271" s="15" t="s">
        <v>4512</v>
      </c>
      <c r="B271" s="16">
        <v>1210</v>
      </c>
      <c r="C271" s="16">
        <v>249444</v>
      </c>
      <c r="D271" s="17">
        <v>58</v>
      </c>
      <c r="E271" s="15" t="str">
        <f t="shared" si="4"/>
        <v>1210-249444</v>
      </c>
    </row>
    <row r="272" spans="1:5" ht="14.25" customHeight="1" x14ac:dyDescent="0.25">
      <c r="A272" s="15" t="s">
        <v>4513</v>
      </c>
      <c r="B272" s="16">
        <v>1210</v>
      </c>
      <c r="C272" s="16">
        <v>249795</v>
      </c>
      <c r="D272" s="17">
        <v>104</v>
      </c>
      <c r="E272" s="15" t="str">
        <f t="shared" si="4"/>
        <v>1210-249795</v>
      </c>
    </row>
    <row r="273" spans="1:5" ht="14.25" customHeight="1" x14ac:dyDescent="0.25">
      <c r="A273" s="15" t="s">
        <v>4514</v>
      </c>
      <c r="B273" s="16">
        <v>1210</v>
      </c>
      <c r="C273" s="16">
        <v>250979</v>
      </c>
      <c r="D273" s="17">
        <v>104</v>
      </c>
      <c r="E273" s="15" t="str">
        <f t="shared" si="4"/>
        <v>1210-250979</v>
      </c>
    </row>
    <row r="274" spans="1:5" ht="14.25" customHeight="1" x14ac:dyDescent="0.25">
      <c r="A274" s="15" t="s">
        <v>4515</v>
      </c>
      <c r="B274" s="16">
        <v>1210</v>
      </c>
      <c r="C274" s="16">
        <v>250981</v>
      </c>
      <c r="D274" s="17">
        <v>66</v>
      </c>
      <c r="E274" s="15" t="str">
        <f t="shared" si="4"/>
        <v>1210-250981</v>
      </c>
    </row>
    <row r="275" spans="1:5" ht="14.25" customHeight="1" x14ac:dyDescent="0.25">
      <c r="A275" s="15" t="s">
        <v>4516</v>
      </c>
      <c r="B275" s="16">
        <v>1210</v>
      </c>
      <c r="C275" s="16">
        <v>262294</v>
      </c>
      <c r="D275" s="17">
        <v>100</v>
      </c>
      <c r="E275" s="15" t="str">
        <f t="shared" si="4"/>
        <v>1210-262294</v>
      </c>
    </row>
    <row r="276" spans="1:5" ht="14.25" customHeight="1" x14ac:dyDescent="0.25">
      <c r="A276" s="15" t="s">
        <v>4517</v>
      </c>
      <c r="B276" s="16">
        <v>1210</v>
      </c>
      <c r="C276" s="16">
        <v>268831</v>
      </c>
      <c r="D276" s="17">
        <v>78</v>
      </c>
      <c r="E276" s="15" t="str">
        <f t="shared" si="4"/>
        <v>1210-268831</v>
      </c>
    </row>
    <row r="277" spans="1:5" ht="14.25" customHeight="1" x14ac:dyDescent="0.25">
      <c r="A277" s="15" t="s">
        <v>4518</v>
      </c>
      <c r="B277" s="16">
        <v>1210</v>
      </c>
      <c r="C277" s="16">
        <v>273701</v>
      </c>
      <c r="D277" s="17">
        <v>54</v>
      </c>
      <c r="E277" s="15" t="str">
        <f t="shared" si="4"/>
        <v>1210-273701</v>
      </c>
    </row>
    <row r="278" spans="1:5" ht="14.25" customHeight="1" x14ac:dyDescent="0.25">
      <c r="A278" s="15" t="s">
        <v>4519</v>
      </c>
      <c r="B278" s="16">
        <v>1210</v>
      </c>
      <c r="C278" s="16">
        <v>291726</v>
      </c>
      <c r="D278" s="17">
        <v>92</v>
      </c>
      <c r="E278" s="15" t="str">
        <f t="shared" si="4"/>
        <v>1210-291726</v>
      </c>
    </row>
    <row r="279" spans="1:5" ht="14.25" customHeight="1" x14ac:dyDescent="0.25">
      <c r="A279" s="15" t="s">
        <v>4520</v>
      </c>
      <c r="B279" s="16">
        <v>1210</v>
      </c>
      <c r="C279" s="16">
        <v>291728</v>
      </c>
      <c r="D279" s="17">
        <v>116</v>
      </c>
      <c r="E279" s="15" t="str">
        <f t="shared" si="4"/>
        <v>1210-291728</v>
      </c>
    </row>
    <row r="280" spans="1:5" ht="14.25" customHeight="1" x14ac:dyDescent="0.25">
      <c r="A280" s="15" t="s">
        <v>4521</v>
      </c>
      <c r="B280" s="16">
        <v>1210</v>
      </c>
      <c r="C280" s="16">
        <v>571521</v>
      </c>
      <c r="D280" s="17">
        <v>54</v>
      </c>
      <c r="E280" s="15" t="str">
        <f t="shared" si="4"/>
        <v>1210-571521</v>
      </c>
    </row>
    <row r="281" spans="1:5" ht="14.25" customHeight="1" x14ac:dyDescent="0.25">
      <c r="A281" s="15" t="s">
        <v>4522</v>
      </c>
      <c r="B281" s="16">
        <v>1210</v>
      </c>
      <c r="C281" s="16">
        <v>614993</v>
      </c>
      <c r="D281" s="17">
        <v>90</v>
      </c>
      <c r="E281" s="15" t="str">
        <f t="shared" si="4"/>
        <v>1210-614993</v>
      </c>
    </row>
    <row r="282" spans="1:5" ht="14.25" customHeight="1" x14ac:dyDescent="0.25">
      <c r="A282" s="15" t="s">
        <v>4523</v>
      </c>
      <c r="B282" s="16">
        <v>1211</v>
      </c>
      <c r="C282" s="16">
        <v>115600</v>
      </c>
      <c r="D282" s="17">
        <v>78</v>
      </c>
      <c r="E282" s="15" t="str">
        <f t="shared" si="4"/>
        <v>1211-115600</v>
      </c>
    </row>
    <row r="283" spans="1:5" ht="14.25" customHeight="1" x14ac:dyDescent="0.25">
      <c r="A283" s="15" t="s">
        <v>4524</v>
      </c>
      <c r="B283" s="16">
        <v>1211</v>
      </c>
      <c r="C283" s="16">
        <v>129208</v>
      </c>
      <c r="D283" s="17">
        <v>56</v>
      </c>
      <c r="E283" s="15" t="str">
        <f t="shared" si="4"/>
        <v>1211-129208</v>
      </c>
    </row>
    <row r="284" spans="1:5" ht="14.25" customHeight="1" x14ac:dyDescent="0.25">
      <c r="A284" s="15" t="s">
        <v>4525</v>
      </c>
      <c r="B284" s="16">
        <v>1211</v>
      </c>
      <c r="C284" s="16">
        <v>300380</v>
      </c>
      <c r="D284" s="17">
        <v>82</v>
      </c>
      <c r="E284" s="15" t="str">
        <f t="shared" si="4"/>
        <v>1211-300380</v>
      </c>
    </row>
    <row r="285" spans="1:5" ht="14.25" customHeight="1" x14ac:dyDescent="0.25">
      <c r="A285" s="15" t="s">
        <v>4526</v>
      </c>
      <c r="B285" s="16">
        <v>1211</v>
      </c>
      <c r="C285" s="16">
        <v>23393</v>
      </c>
      <c r="D285" s="17">
        <v>60</v>
      </c>
      <c r="E285" s="15" t="str">
        <f t="shared" si="4"/>
        <v>1211-23393</v>
      </c>
    </row>
    <row r="286" spans="1:5" ht="14.25" customHeight="1" x14ac:dyDescent="0.25">
      <c r="A286" s="15" t="s">
        <v>4527</v>
      </c>
      <c r="B286" s="16">
        <v>1211</v>
      </c>
      <c r="C286" s="16">
        <v>26764</v>
      </c>
      <c r="D286" s="17">
        <v>112</v>
      </c>
      <c r="E286" s="15" t="str">
        <f t="shared" si="4"/>
        <v>1211-26764</v>
      </c>
    </row>
    <row r="287" spans="1:5" ht="14.25" customHeight="1" x14ac:dyDescent="0.25">
      <c r="A287" s="15" t="s">
        <v>4528</v>
      </c>
      <c r="B287" s="16">
        <v>1211</v>
      </c>
      <c r="C287" s="16">
        <v>53934</v>
      </c>
      <c r="D287" s="17">
        <v>90</v>
      </c>
      <c r="E287" s="15" t="str">
        <f t="shared" si="4"/>
        <v>1211-53934</v>
      </c>
    </row>
    <row r="288" spans="1:5" ht="14.25" customHeight="1" x14ac:dyDescent="0.25">
      <c r="A288" s="15" t="s">
        <v>4529</v>
      </c>
      <c r="B288" s="16">
        <v>1211</v>
      </c>
      <c r="C288" s="16">
        <v>78699</v>
      </c>
      <c r="D288" s="17">
        <v>110</v>
      </c>
      <c r="E288" s="15" t="str">
        <f t="shared" si="4"/>
        <v>1211-78699</v>
      </c>
    </row>
    <row r="289" spans="1:5" ht="14.25" customHeight="1" x14ac:dyDescent="0.25">
      <c r="A289" s="15" t="s">
        <v>4530</v>
      </c>
      <c r="B289" s="16">
        <v>1211</v>
      </c>
      <c r="C289" s="16">
        <v>78869</v>
      </c>
      <c r="D289" s="17">
        <v>50</v>
      </c>
      <c r="E289" s="15" t="str">
        <f t="shared" si="4"/>
        <v>1211-78869</v>
      </c>
    </row>
    <row r="290" spans="1:5" ht="14.25" customHeight="1" x14ac:dyDescent="0.25">
      <c r="A290" s="15" t="s">
        <v>4531</v>
      </c>
      <c r="B290" s="16">
        <v>1211</v>
      </c>
      <c r="C290" s="16">
        <v>141622</v>
      </c>
      <c r="D290" s="17">
        <v>110</v>
      </c>
      <c r="E290" s="15" t="str">
        <f t="shared" si="4"/>
        <v>1211-141622</v>
      </c>
    </row>
    <row r="291" spans="1:5" ht="14.25" customHeight="1" x14ac:dyDescent="0.25">
      <c r="A291" s="15" t="s">
        <v>4532</v>
      </c>
      <c r="B291" s="16">
        <v>1211</v>
      </c>
      <c r="C291" s="16">
        <v>141626</v>
      </c>
      <c r="D291" s="17">
        <v>72</v>
      </c>
      <c r="E291" s="15" t="str">
        <f t="shared" si="4"/>
        <v>1211-141626</v>
      </c>
    </row>
    <row r="292" spans="1:5" ht="14.25" customHeight="1" x14ac:dyDescent="0.25">
      <c r="A292" s="15" t="s">
        <v>4533</v>
      </c>
      <c r="B292" s="16">
        <v>1211</v>
      </c>
      <c r="C292" s="16">
        <v>141791</v>
      </c>
      <c r="D292" s="17">
        <v>88</v>
      </c>
      <c r="E292" s="15" t="str">
        <f t="shared" si="4"/>
        <v>1211-141791</v>
      </c>
    </row>
    <row r="293" spans="1:5" ht="14.25" customHeight="1" x14ac:dyDescent="0.25">
      <c r="A293" s="15" t="s">
        <v>4534</v>
      </c>
      <c r="B293" s="16">
        <v>1211</v>
      </c>
      <c r="C293" s="16">
        <v>141846</v>
      </c>
      <c r="D293" s="17">
        <v>106</v>
      </c>
      <c r="E293" s="15" t="str">
        <f t="shared" si="4"/>
        <v>1211-141846</v>
      </c>
    </row>
    <row r="294" spans="1:5" ht="14.25" customHeight="1" x14ac:dyDescent="0.25">
      <c r="A294" s="15" t="s">
        <v>4535</v>
      </c>
      <c r="B294" s="16">
        <v>1211</v>
      </c>
      <c r="C294" s="16">
        <v>141967</v>
      </c>
      <c r="D294" s="17">
        <v>96</v>
      </c>
      <c r="E294" s="15" t="str">
        <f t="shared" si="4"/>
        <v>1211-141967</v>
      </c>
    </row>
    <row r="295" spans="1:5" ht="14.25" customHeight="1" x14ac:dyDescent="0.25">
      <c r="A295" s="15" t="s">
        <v>4536</v>
      </c>
      <c r="B295" s="16">
        <v>1211</v>
      </c>
      <c r="C295" s="16">
        <v>142194</v>
      </c>
      <c r="D295" s="17">
        <v>62</v>
      </c>
      <c r="E295" s="15" t="str">
        <f t="shared" si="4"/>
        <v>1211-142194</v>
      </c>
    </row>
    <row r="296" spans="1:5" ht="14.25" customHeight="1" x14ac:dyDescent="0.25">
      <c r="A296" s="15" t="s">
        <v>4537</v>
      </c>
      <c r="B296" s="16">
        <v>1211</v>
      </c>
      <c r="C296" s="16">
        <v>149729</v>
      </c>
      <c r="D296" s="17">
        <v>70</v>
      </c>
      <c r="E296" s="15" t="str">
        <f t="shared" si="4"/>
        <v>1211-149729</v>
      </c>
    </row>
    <row r="297" spans="1:5" ht="14.25" customHeight="1" x14ac:dyDescent="0.25">
      <c r="A297" s="15" t="s">
        <v>4538</v>
      </c>
      <c r="B297" s="16">
        <v>1211</v>
      </c>
      <c r="C297" s="16">
        <v>149779</v>
      </c>
      <c r="D297" s="17">
        <v>62</v>
      </c>
      <c r="E297" s="15" t="str">
        <f t="shared" si="4"/>
        <v>1211-149779</v>
      </c>
    </row>
    <row r="298" spans="1:5" ht="14.25" customHeight="1" x14ac:dyDescent="0.25">
      <c r="A298" s="15" t="s">
        <v>4539</v>
      </c>
      <c r="B298" s="16">
        <v>1211</v>
      </c>
      <c r="C298" s="16">
        <v>189933</v>
      </c>
      <c r="D298" s="17">
        <v>76</v>
      </c>
      <c r="E298" s="15" t="str">
        <f t="shared" si="4"/>
        <v>1211-189933</v>
      </c>
    </row>
    <row r="299" spans="1:5" ht="14.25" customHeight="1" x14ac:dyDescent="0.25">
      <c r="A299" s="15" t="s">
        <v>4540</v>
      </c>
      <c r="B299" s="16">
        <v>1211</v>
      </c>
      <c r="C299" s="16">
        <v>202577</v>
      </c>
      <c r="D299" s="17">
        <v>86</v>
      </c>
      <c r="E299" s="15" t="str">
        <f t="shared" si="4"/>
        <v>1211-202577</v>
      </c>
    </row>
    <row r="300" spans="1:5" ht="14.25" customHeight="1" x14ac:dyDescent="0.25">
      <c r="A300" s="15" t="s">
        <v>4541</v>
      </c>
      <c r="B300" s="16">
        <v>1211</v>
      </c>
      <c r="C300" s="16">
        <v>234334</v>
      </c>
      <c r="D300" s="17">
        <v>116</v>
      </c>
      <c r="E300" s="15" t="str">
        <f t="shared" si="4"/>
        <v>1211-234334</v>
      </c>
    </row>
    <row r="301" spans="1:5" ht="14.25" customHeight="1" x14ac:dyDescent="0.25">
      <c r="A301" s="15" t="s">
        <v>4542</v>
      </c>
      <c r="B301" s="16">
        <v>1211</v>
      </c>
      <c r="C301" s="16">
        <v>249444</v>
      </c>
      <c r="D301" s="17">
        <v>48</v>
      </c>
      <c r="E301" s="15" t="str">
        <f t="shared" si="4"/>
        <v>1211-249444</v>
      </c>
    </row>
    <row r="302" spans="1:5" ht="14.25" customHeight="1" x14ac:dyDescent="0.25">
      <c r="A302" s="15" t="s">
        <v>4543</v>
      </c>
      <c r="B302" s="16">
        <v>1211</v>
      </c>
      <c r="C302" s="16">
        <v>249795</v>
      </c>
      <c r="D302" s="17">
        <v>118</v>
      </c>
      <c r="E302" s="15" t="str">
        <f t="shared" si="4"/>
        <v>1211-249795</v>
      </c>
    </row>
    <row r="303" spans="1:5" ht="14.25" customHeight="1" x14ac:dyDescent="0.25">
      <c r="A303" s="15" t="s">
        <v>4544</v>
      </c>
      <c r="B303" s="16">
        <v>1211</v>
      </c>
      <c r="C303" s="16">
        <v>250979</v>
      </c>
      <c r="D303" s="17">
        <v>86</v>
      </c>
      <c r="E303" s="15" t="str">
        <f t="shared" si="4"/>
        <v>1211-250979</v>
      </c>
    </row>
    <row r="304" spans="1:5" ht="14.25" customHeight="1" x14ac:dyDescent="0.25">
      <c r="A304" s="15" t="s">
        <v>4545</v>
      </c>
      <c r="B304" s="16">
        <v>1211</v>
      </c>
      <c r="C304" s="16">
        <v>250981</v>
      </c>
      <c r="D304" s="17">
        <v>58</v>
      </c>
      <c r="E304" s="15" t="str">
        <f t="shared" si="4"/>
        <v>1211-250981</v>
      </c>
    </row>
    <row r="305" spans="1:5" ht="14.25" customHeight="1" x14ac:dyDescent="0.25">
      <c r="A305" s="15" t="s">
        <v>4546</v>
      </c>
      <c r="B305" s="16">
        <v>1211</v>
      </c>
      <c r="C305" s="16">
        <v>262294</v>
      </c>
      <c r="D305" s="17">
        <v>42</v>
      </c>
      <c r="E305" s="15" t="str">
        <f t="shared" si="4"/>
        <v>1211-262294</v>
      </c>
    </row>
    <row r="306" spans="1:5" ht="14.25" customHeight="1" x14ac:dyDescent="0.25">
      <c r="A306" s="15" t="s">
        <v>4547</v>
      </c>
      <c r="B306" s="16">
        <v>1211</v>
      </c>
      <c r="C306" s="16">
        <v>268831</v>
      </c>
      <c r="D306" s="17">
        <v>104</v>
      </c>
      <c r="E306" s="15" t="str">
        <f t="shared" si="4"/>
        <v>1211-268831</v>
      </c>
    </row>
    <row r="307" spans="1:5" ht="14.25" customHeight="1" x14ac:dyDescent="0.25">
      <c r="A307" s="15" t="s">
        <v>4548</v>
      </c>
      <c r="B307" s="16">
        <v>1211</v>
      </c>
      <c r="C307" s="16">
        <v>273701</v>
      </c>
      <c r="D307" s="17">
        <v>100</v>
      </c>
      <c r="E307" s="15" t="str">
        <f t="shared" si="4"/>
        <v>1211-273701</v>
      </c>
    </row>
    <row r="308" spans="1:5" ht="14.25" customHeight="1" x14ac:dyDescent="0.25">
      <c r="A308" s="15" t="s">
        <v>4549</v>
      </c>
      <c r="B308" s="16">
        <v>1211</v>
      </c>
      <c r="C308" s="16">
        <v>291726</v>
      </c>
      <c r="D308" s="17">
        <v>96</v>
      </c>
      <c r="E308" s="15" t="str">
        <f t="shared" si="4"/>
        <v>1211-291726</v>
      </c>
    </row>
    <row r="309" spans="1:5" ht="14.25" customHeight="1" x14ac:dyDescent="0.25">
      <c r="A309" s="15" t="s">
        <v>4550</v>
      </c>
      <c r="B309" s="16">
        <v>1211</v>
      </c>
      <c r="C309" s="16">
        <v>291728</v>
      </c>
      <c r="D309" s="17">
        <v>70</v>
      </c>
      <c r="E309" s="15" t="str">
        <f t="shared" si="4"/>
        <v>1211-291728</v>
      </c>
    </row>
    <row r="310" spans="1:5" ht="14.25" customHeight="1" x14ac:dyDescent="0.25">
      <c r="A310" s="15" t="s">
        <v>4551</v>
      </c>
      <c r="B310" s="16">
        <v>1211</v>
      </c>
      <c r="C310" s="16">
        <v>571521</v>
      </c>
      <c r="D310" s="17">
        <v>44</v>
      </c>
      <c r="E310" s="15" t="str">
        <f t="shared" si="4"/>
        <v>1211-571521</v>
      </c>
    </row>
    <row r="311" spans="1:5" ht="14.25" customHeight="1" x14ac:dyDescent="0.25">
      <c r="A311" s="15" t="s">
        <v>4552</v>
      </c>
      <c r="B311" s="16">
        <v>1211</v>
      </c>
      <c r="C311" s="16">
        <v>614993</v>
      </c>
      <c r="D311" s="17">
        <v>118</v>
      </c>
      <c r="E311" s="15" t="str">
        <f t="shared" si="4"/>
        <v>1211-614993</v>
      </c>
    </row>
    <row r="312" spans="1:5" ht="14.25" customHeight="1" x14ac:dyDescent="0.25">
      <c r="A312" s="15" t="s">
        <v>4553</v>
      </c>
      <c r="B312" s="16">
        <v>1212</v>
      </c>
      <c r="C312" s="16">
        <v>300380</v>
      </c>
      <c r="D312" s="17">
        <v>70</v>
      </c>
      <c r="E312" s="15" t="str">
        <f t="shared" si="4"/>
        <v>1212-300380</v>
      </c>
    </row>
    <row r="313" spans="1:5" ht="14.25" customHeight="1" x14ac:dyDescent="0.25">
      <c r="A313" s="15" t="s">
        <v>4554</v>
      </c>
      <c r="B313" s="16">
        <v>1212</v>
      </c>
      <c r="C313" s="16">
        <v>23393</v>
      </c>
      <c r="D313" s="17">
        <v>88</v>
      </c>
      <c r="E313" s="15" t="str">
        <f t="shared" si="4"/>
        <v>1212-23393</v>
      </c>
    </row>
    <row r="314" spans="1:5" ht="14.25" customHeight="1" x14ac:dyDescent="0.25">
      <c r="A314" s="15" t="s">
        <v>4555</v>
      </c>
      <c r="B314" s="16">
        <v>1212</v>
      </c>
      <c r="C314" s="16">
        <v>26764</v>
      </c>
      <c r="D314" s="17">
        <v>66</v>
      </c>
      <c r="E314" s="15" t="str">
        <f t="shared" si="4"/>
        <v>1212-26764</v>
      </c>
    </row>
    <row r="315" spans="1:5" ht="14.25" customHeight="1" x14ac:dyDescent="0.25">
      <c r="A315" s="15" t="s">
        <v>4556</v>
      </c>
      <c r="B315" s="16">
        <v>1212</v>
      </c>
      <c r="C315" s="16">
        <v>53934</v>
      </c>
      <c r="D315" s="17">
        <v>98</v>
      </c>
      <c r="E315" s="15" t="str">
        <f t="shared" si="4"/>
        <v>1212-53934</v>
      </c>
    </row>
    <row r="316" spans="1:5" ht="14.25" customHeight="1" x14ac:dyDescent="0.25">
      <c r="A316" s="15" t="s">
        <v>4557</v>
      </c>
      <c r="B316" s="16">
        <v>1212</v>
      </c>
      <c r="C316" s="16">
        <v>78699</v>
      </c>
      <c r="D316" s="17">
        <v>94</v>
      </c>
      <c r="E316" s="15" t="str">
        <f t="shared" si="4"/>
        <v>1212-78699</v>
      </c>
    </row>
    <row r="317" spans="1:5" ht="14.25" customHeight="1" x14ac:dyDescent="0.25">
      <c r="A317" s="15" t="s">
        <v>4558</v>
      </c>
      <c r="B317" s="16">
        <v>1212</v>
      </c>
      <c r="C317" s="16">
        <v>78869</v>
      </c>
      <c r="D317" s="17">
        <v>40</v>
      </c>
      <c r="E317" s="15" t="str">
        <f t="shared" si="4"/>
        <v>1212-78869</v>
      </c>
    </row>
    <row r="318" spans="1:5" ht="14.25" customHeight="1" x14ac:dyDescent="0.25">
      <c r="A318" s="15" t="s">
        <v>4559</v>
      </c>
      <c r="B318" s="16">
        <v>1212</v>
      </c>
      <c r="C318" s="16">
        <v>141626</v>
      </c>
      <c r="D318" s="17">
        <v>64</v>
      </c>
      <c r="E318" s="15" t="str">
        <f t="shared" si="4"/>
        <v>1212-141626</v>
      </c>
    </row>
    <row r="319" spans="1:5" ht="14.25" customHeight="1" x14ac:dyDescent="0.25">
      <c r="A319" s="15" t="s">
        <v>4560</v>
      </c>
      <c r="B319" s="16">
        <v>1212</v>
      </c>
      <c r="C319" s="16">
        <v>141791</v>
      </c>
      <c r="D319" s="17">
        <v>58</v>
      </c>
      <c r="E319" s="15" t="str">
        <f t="shared" si="4"/>
        <v>1212-141791</v>
      </c>
    </row>
    <row r="320" spans="1:5" ht="14.25" customHeight="1" x14ac:dyDescent="0.25">
      <c r="A320" s="15" t="s">
        <v>4561</v>
      </c>
      <c r="B320" s="16">
        <v>1212</v>
      </c>
      <c r="C320" s="16">
        <v>141967</v>
      </c>
      <c r="D320" s="17">
        <v>90</v>
      </c>
      <c r="E320" s="15" t="str">
        <f t="shared" si="4"/>
        <v>1212-141967</v>
      </c>
    </row>
    <row r="321" spans="1:5" ht="14.25" customHeight="1" x14ac:dyDescent="0.25">
      <c r="A321" s="15" t="s">
        <v>4562</v>
      </c>
      <c r="B321" s="16">
        <v>1212</v>
      </c>
      <c r="C321" s="16">
        <v>142194</v>
      </c>
      <c r="D321" s="17">
        <v>96</v>
      </c>
      <c r="E321" s="15" t="str">
        <f t="shared" si="4"/>
        <v>1212-142194</v>
      </c>
    </row>
    <row r="322" spans="1:5" ht="14.25" customHeight="1" x14ac:dyDescent="0.25">
      <c r="A322" s="15" t="s">
        <v>4563</v>
      </c>
      <c r="B322" s="16">
        <v>1212</v>
      </c>
      <c r="C322" s="16">
        <v>149729</v>
      </c>
      <c r="D322" s="17">
        <v>82</v>
      </c>
      <c r="E322" s="15" t="str">
        <f t="shared" si="4"/>
        <v>1212-149729</v>
      </c>
    </row>
    <row r="323" spans="1:5" ht="14.25" customHeight="1" x14ac:dyDescent="0.25">
      <c r="A323" s="15" t="s">
        <v>4564</v>
      </c>
      <c r="B323" s="16">
        <v>1212</v>
      </c>
      <c r="C323" s="16">
        <v>149779</v>
      </c>
      <c r="D323" s="17">
        <v>72</v>
      </c>
      <c r="E323" s="15" t="str">
        <f t="shared" ref="E323:E386" si="5">B323&amp;"-"&amp;C323</f>
        <v>1212-149779</v>
      </c>
    </row>
    <row r="324" spans="1:5" ht="14.25" customHeight="1" x14ac:dyDescent="0.25">
      <c r="A324" s="15" t="s">
        <v>4565</v>
      </c>
      <c r="B324" s="16">
        <v>1212</v>
      </c>
      <c r="C324" s="16">
        <v>202577</v>
      </c>
      <c r="D324" s="17">
        <v>74</v>
      </c>
      <c r="E324" s="15" t="str">
        <f t="shared" si="5"/>
        <v>1212-202577</v>
      </c>
    </row>
    <row r="325" spans="1:5" ht="14.25" customHeight="1" x14ac:dyDescent="0.25">
      <c r="A325" s="15" t="s">
        <v>4566</v>
      </c>
      <c r="B325" s="16">
        <v>1212</v>
      </c>
      <c r="C325" s="16">
        <v>234334</v>
      </c>
      <c r="D325" s="17">
        <v>90</v>
      </c>
      <c r="E325" s="15" t="str">
        <f t="shared" si="5"/>
        <v>1212-234334</v>
      </c>
    </row>
    <row r="326" spans="1:5" ht="14.25" customHeight="1" x14ac:dyDescent="0.25">
      <c r="A326" s="15" t="s">
        <v>4567</v>
      </c>
      <c r="B326" s="16">
        <v>1212</v>
      </c>
      <c r="C326" s="16">
        <v>249444</v>
      </c>
      <c r="D326" s="17">
        <v>40</v>
      </c>
      <c r="E326" s="15" t="str">
        <f t="shared" si="5"/>
        <v>1212-249444</v>
      </c>
    </row>
    <row r="327" spans="1:5" ht="14.25" customHeight="1" x14ac:dyDescent="0.25">
      <c r="A327" s="15" t="s">
        <v>4568</v>
      </c>
      <c r="B327" s="16">
        <v>1212</v>
      </c>
      <c r="C327" s="16">
        <v>250979</v>
      </c>
      <c r="D327" s="17">
        <v>92</v>
      </c>
      <c r="E327" s="15" t="str">
        <f t="shared" si="5"/>
        <v>1212-250979</v>
      </c>
    </row>
    <row r="328" spans="1:5" ht="14.25" customHeight="1" x14ac:dyDescent="0.25">
      <c r="A328" s="15" t="s">
        <v>4569</v>
      </c>
      <c r="B328" s="16">
        <v>1212</v>
      </c>
      <c r="C328" s="16">
        <v>250981</v>
      </c>
      <c r="D328" s="17">
        <v>108</v>
      </c>
      <c r="E328" s="15" t="str">
        <f t="shared" si="5"/>
        <v>1212-250981</v>
      </c>
    </row>
    <row r="329" spans="1:5" ht="14.25" customHeight="1" x14ac:dyDescent="0.25">
      <c r="A329" s="15" t="s">
        <v>4570</v>
      </c>
      <c r="B329" s="16">
        <v>1212</v>
      </c>
      <c r="C329" s="16">
        <v>262294</v>
      </c>
      <c r="D329" s="17">
        <v>80</v>
      </c>
      <c r="E329" s="15" t="str">
        <f t="shared" si="5"/>
        <v>1212-262294</v>
      </c>
    </row>
    <row r="330" spans="1:5" ht="14.25" customHeight="1" x14ac:dyDescent="0.25">
      <c r="A330" s="15" t="s">
        <v>4571</v>
      </c>
      <c r="B330" s="16">
        <v>1212</v>
      </c>
      <c r="C330" s="16">
        <v>268831</v>
      </c>
      <c r="D330" s="17">
        <v>54</v>
      </c>
      <c r="E330" s="15" t="str">
        <f t="shared" si="5"/>
        <v>1212-268831</v>
      </c>
    </row>
    <row r="331" spans="1:5" ht="14.25" customHeight="1" x14ac:dyDescent="0.25">
      <c r="A331" s="15" t="s">
        <v>4572</v>
      </c>
      <c r="B331" s="16">
        <v>1212</v>
      </c>
      <c r="C331" s="16">
        <v>273701</v>
      </c>
      <c r="D331" s="17">
        <v>72</v>
      </c>
      <c r="E331" s="15" t="str">
        <f t="shared" si="5"/>
        <v>1212-273701</v>
      </c>
    </row>
    <row r="332" spans="1:5" ht="14.25" customHeight="1" x14ac:dyDescent="0.25">
      <c r="A332" s="15" t="s">
        <v>4573</v>
      </c>
      <c r="B332" s="16">
        <v>1212</v>
      </c>
      <c r="C332" s="16">
        <v>291726</v>
      </c>
      <c r="D332" s="17">
        <v>110</v>
      </c>
      <c r="E332" s="15" t="str">
        <f t="shared" si="5"/>
        <v>1212-291726</v>
      </c>
    </row>
    <row r="333" spans="1:5" ht="14.25" customHeight="1" x14ac:dyDescent="0.25">
      <c r="A333" s="15" t="s">
        <v>4574</v>
      </c>
      <c r="B333" s="16">
        <v>1212</v>
      </c>
      <c r="C333" s="16">
        <v>291728</v>
      </c>
      <c r="D333" s="17">
        <v>112</v>
      </c>
      <c r="E333" s="15" t="str">
        <f t="shared" si="5"/>
        <v>1212-291728</v>
      </c>
    </row>
    <row r="334" spans="1:5" ht="14.25" customHeight="1" x14ac:dyDescent="0.25">
      <c r="A334" s="15" t="s">
        <v>4575</v>
      </c>
      <c r="B334" s="16">
        <v>1212</v>
      </c>
      <c r="C334" s="16">
        <v>571521</v>
      </c>
      <c r="D334" s="17">
        <v>42</v>
      </c>
      <c r="E334" s="15" t="str">
        <f t="shared" si="5"/>
        <v>1212-571521</v>
      </c>
    </row>
    <row r="335" spans="1:5" ht="14.25" customHeight="1" x14ac:dyDescent="0.25">
      <c r="A335" s="15" t="s">
        <v>4576</v>
      </c>
      <c r="B335" s="16">
        <v>1212</v>
      </c>
      <c r="C335" s="16">
        <v>614993</v>
      </c>
      <c r="D335" s="17">
        <v>68</v>
      </c>
      <c r="E335" s="15" t="str">
        <f t="shared" si="5"/>
        <v>1212-614993</v>
      </c>
    </row>
    <row r="336" spans="1:5" ht="14.25" customHeight="1" x14ac:dyDescent="0.25">
      <c r="A336" s="15" t="s">
        <v>4577</v>
      </c>
      <c r="B336" s="16">
        <v>1213</v>
      </c>
      <c r="C336" s="16">
        <v>115600</v>
      </c>
      <c r="D336" s="17">
        <v>90</v>
      </c>
      <c r="E336" s="15" t="str">
        <f t="shared" si="5"/>
        <v>1213-115600</v>
      </c>
    </row>
    <row r="337" spans="1:5" ht="14.25" customHeight="1" x14ac:dyDescent="0.25">
      <c r="A337" s="15" t="s">
        <v>4578</v>
      </c>
      <c r="B337" s="16">
        <v>1213</v>
      </c>
      <c r="C337" s="16">
        <v>129208</v>
      </c>
      <c r="D337" s="17">
        <v>72</v>
      </c>
      <c r="E337" s="15" t="str">
        <f t="shared" si="5"/>
        <v>1213-129208</v>
      </c>
    </row>
    <row r="338" spans="1:5" ht="14.25" customHeight="1" x14ac:dyDescent="0.25">
      <c r="A338" s="15" t="s">
        <v>4579</v>
      </c>
      <c r="B338" s="16">
        <v>1213</v>
      </c>
      <c r="C338" s="16">
        <v>300380</v>
      </c>
      <c r="D338" s="17">
        <v>98</v>
      </c>
      <c r="E338" s="15" t="str">
        <f t="shared" si="5"/>
        <v>1213-300380</v>
      </c>
    </row>
    <row r="339" spans="1:5" ht="14.25" customHeight="1" x14ac:dyDescent="0.25">
      <c r="A339" s="15" t="s">
        <v>4580</v>
      </c>
      <c r="B339" s="16">
        <v>1213</v>
      </c>
      <c r="C339" s="16">
        <v>23393</v>
      </c>
      <c r="D339" s="17">
        <v>56</v>
      </c>
      <c r="E339" s="15" t="str">
        <f t="shared" si="5"/>
        <v>1213-23393</v>
      </c>
    </row>
    <row r="340" spans="1:5" ht="14.25" customHeight="1" x14ac:dyDescent="0.25">
      <c r="A340" s="15" t="s">
        <v>4581</v>
      </c>
      <c r="B340" s="16">
        <v>1213</v>
      </c>
      <c r="C340" s="16">
        <v>26764</v>
      </c>
      <c r="D340" s="17">
        <v>76</v>
      </c>
      <c r="E340" s="15" t="str">
        <f t="shared" si="5"/>
        <v>1213-26764</v>
      </c>
    </row>
    <row r="341" spans="1:5" ht="14.25" customHeight="1" x14ac:dyDescent="0.25">
      <c r="A341" s="15" t="s">
        <v>4582</v>
      </c>
      <c r="B341" s="16">
        <v>1213</v>
      </c>
      <c r="C341" s="16">
        <v>53934</v>
      </c>
      <c r="D341" s="17">
        <v>98</v>
      </c>
      <c r="E341" s="15" t="str">
        <f t="shared" si="5"/>
        <v>1213-53934</v>
      </c>
    </row>
    <row r="342" spans="1:5" ht="14.25" customHeight="1" x14ac:dyDescent="0.25">
      <c r="A342" s="15" t="s">
        <v>4583</v>
      </c>
      <c r="B342" s="16">
        <v>1213</v>
      </c>
      <c r="C342" s="16">
        <v>78699</v>
      </c>
      <c r="D342" s="17">
        <v>106</v>
      </c>
      <c r="E342" s="15" t="str">
        <f t="shared" si="5"/>
        <v>1213-78699</v>
      </c>
    </row>
    <row r="343" spans="1:5" ht="14.25" customHeight="1" x14ac:dyDescent="0.25">
      <c r="A343" s="15" t="s">
        <v>4584</v>
      </c>
      <c r="B343" s="16">
        <v>1213</v>
      </c>
      <c r="C343" s="16">
        <v>78869</v>
      </c>
      <c r="D343" s="17">
        <v>52</v>
      </c>
      <c r="E343" s="15" t="str">
        <f t="shared" si="5"/>
        <v>1213-78869</v>
      </c>
    </row>
    <row r="344" spans="1:5" ht="14.25" customHeight="1" x14ac:dyDescent="0.25">
      <c r="A344" s="15" t="s">
        <v>4585</v>
      </c>
      <c r="B344" s="16">
        <v>1213</v>
      </c>
      <c r="C344" s="16">
        <v>141622</v>
      </c>
      <c r="D344" s="17">
        <v>84</v>
      </c>
      <c r="E344" s="15" t="str">
        <f t="shared" si="5"/>
        <v>1213-141622</v>
      </c>
    </row>
    <row r="345" spans="1:5" ht="14.25" customHeight="1" x14ac:dyDescent="0.25">
      <c r="A345" s="15" t="s">
        <v>4586</v>
      </c>
      <c r="B345" s="16">
        <v>1213</v>
      </c>
      <c r="C345" s="16">
        <v>141626</v>
      </c>
      <c r="D345" s="17">
        <v>50</v>
      </c>
      <c r="E345" s="15" t="str">
        <f t="shared" si="5"/>
        <v>1213-141626</v>
      </c>
    </row>
    <row r="346" spans="1:5" ht="14.25" customHeight="1" x14ac:dyDescent="0.25">
      <c r="A346" s="15" t="s">
        <v>4587</v>
      </c>
      <c r="B346" s="16">
        <v>1213</v>
      </c>
      <c r="C346" s="16">
        <v>141791</v>
      </c>
      <c r="D346" s="17">
        <v>48</v>
      </c>
      <c r="E346" s="15" t="str">
        <f t="shared" si="5"/>
        <v>1213-141791</v>
      </c>
    </row>
    <row r="347" spans="1:5" ht="14.25" customHeight="1" x14ac:dyDescent="0.25">
      <c r="A347" s="15" t="s">
        <v>4588</v>
      </c>
      <c r="B347" s="16">
        <v>1213</v>
      </c>
      <c r="C347" s="16">
        <v>141846</v>
      </c>
      <c r="D347" s="17">
        <v>82</v>
      </c>
      <c r="E347" s="15" t="str">
        <f t="shared" si="5"/>
        <v>1213-141846</v>
      </c>
    </row>
    <row r="348" spans="1:5" ht="14.25" customHeight="1" x14ac:dyDescent="0.25">
      <c r="A348" s="15" t="s">
        <v>4589</v>
      </c>
      <c r="B348" s="16">
        <v>1213</v>
      </c>
      <c r="C348" s="16">
        <v>141967</v>
      </c>
      <c r="D348" s="17">
        <v>48</v>
      </c>
      <c r="E348" s="15" t="str">
        <f t="shared" si="5"/>
        <v>1213-141967</v>
      </c>
    </row>
    <row r="349" spans="1:5" ht="14.25" customHeight="1" x14ac:dyDescent="0.25">
      <c r="A349" s="15" t="s">
        <v>4590</v>
      </c>
      <c r="B349" s="16">
        <v>1213</v>
      </c>
      <c r="C349" s="16">
        <v>142194</v>
      </c>
      <c r="D349" s="17">
        <v>98</v>
      </c>
      <c r="E349" s="15" t="str">
        <f t="shared" si="5"/>
        <v>1213-142194</v>
      </c>
    </row>
    <row r="350" spans="1:5" ht="14.25" customHeight="1" x14ac:dyDescent="0.25">
      <c r="A350" s="15" t="s">
        <v>4591</v>
      </c>
      <c r="B350" s="16">
        <v>1213</v>
      </c>
      <c r="C350" s="16">
        <v>149729</v>
      </c>
      <c r="D350" s="17">
        <v>48</v>
      </c>
      <c r="E350" s="15" t="str">
        <f t="shared" si="5"/>
        <v>1213-149729</v>
      </c>
    </row>
    <row r="351" spans="1:5" ht="14.25" customHeight="1" x14ac:dyDescent="0.25">
      <c r="A351" s="15" t="s">
        <v>4592</v>
      </c>
      <c r="B351" s="16">
        <v>1213</v>
      </c>
      <c r="C351" s="16">
        <v>149779</v>
      </c>
      <c r="D351" s="17">
        <v>108</v>
      </c>
      <c r="E351" s="15" t="str">
        <f t="shared" si="5"/>
        <v>1213-149779</v>
      </c>
    </row>
    <row r="352" spans="1:5" ht="14.25" customHeight="1" x14ac:dyDescent="0.25">
      <c r="A352" s="15" t="s">
        <v>4593</v>
      </c>
      <c r="B352" s="16">
        <v>1213</v>
      </c>
      <c r="C352" s="16">
        <v>189933</v>
      </c>
      <c r="D352" s="17">
        <v>64</v>
      </c>
      <c r="E352" s="15" t="str">
        <f t="shared" si="5"/>
        <v>1213-189933</v>
      </c>
    </row>
    <row r="353" spans="1:5" ht="14.25" customHeight="1" x14ac:dyDescent="0.25">
      <c r="A353" s="15" t="s">
        <v>4594</v>
      </c>
      <c r="B353" s="16">
        <v>1213</v>
      </c>
      <c r="C353" s="16">
        <v>202577</v>
      </c>
      <c r="D353" s="17">
        <v>116</v>
      </c>
      <c r="E353" s="15" t="str">
        <f t="shared" si="5"/>
        <v>1213-202577</v>
      </c>
    </row>
    <row r="354" spans="1:5" ht="14.25" customHeight="1" x14ac:dyDescent="0.25">
      <c r="A354" s="15" t="s">
        <v>4595</v>
      </c>
      <c r="B354" s="16">
        <v>1213</v>
      </c>
      <c r="C354" s="16">
        <v>234334</v>
      </c>
      <c r="D354" s="17">
        <v>90</v>
      </c>
      <c r="E354" s="15" t="str">
        <f t="shared" si="5"/>
        <v>1213-234334</v>
      </c>
    </row>
    <row r="355" spans="1:5" ht="14.25" customHeight="1" x14ac:dyDescent="0.25">
      <c r="A355" s="15" t="s">
        <v>4596</v>
      </c>
      <c r="B355" s="16">
        <v>1213</v>
      </c>
      <c r="C355" s="16">
        <v>249444</v>
      </c>
      <c r="D355" s="17">
        <v>88</v>
      </c>
      <c r="E355" s="15" t="str">
        <f t="shared" si="5"/>
        <v>1213-249444</v>
      </c>
    </row>
    <row r="356" spans="1:5" ht="14.25" customHeight="1" x14ac:dyDescent="0.25">
      <c r="A356" s="15" t="s">
        <v>4597</v>
      </c>
      <c r="B356" s="16">
        <v>1213</v>
      </c>
      <c r="C356" s="16">
        <v>249795</v>
      </c>
      <c r="D356" s="17">
        <v>54</v>
      </c>
      <c r="E356" s="15" t="str">
        <f t="shared" si="5"/>
        <v>1213-249795</v>
      </c>
    </row>
    <row r="357" spans="1:5" ht="14.25" customHeight="1" x14ac:dyDescent="0.25">
      <c r="A357" s="15" t="s">
        <v>4598</v>
      </c>
      <c r="B357" s="16">
        <v>1213</v>
      </c>
      <c r="C357" s="16">
        <v>250979</v>
      </c>
      <c r="D357" s="17">
        <v>112</v>
      </c>
      <c r="E357" s="15" t="str">
        <f t="shared" si="5"/>
        <v>1213-250979</v>
      </c>
    </row>
    <row r="358" spans="1:5" ht="14.25" customHeight="1" x14ac:dyDescent="0.25">
      <c r="A358" s="15" t="s">
        <v>4599</v>
      </c>
      <c r="B358" s="16">
        <v>1213</v>
      </c>
      <c r="C358" s="16">
        <v>250981</v>
      </c>
      <c r="D358" s="17">
        <v>70</v>
      </c>
      <c r="E358" s="15" t="str">
        <f t="shared" si="5"/>
        <v>1213-250981</v>
      </c>
    </row>
    <row r="359" spans="1:5" ht="14.25" customHeight="1" x14ac:dyDescent="0.25">
      <c r="A359" s="15" t="s">
        <v>4600</v>
      </c>
      <c r="B359" s="16">
        <v>1213</v>
      </c>
      <c r="C359" s="16">
        <v>262294</v>
      </c>
      <c r="D359" s="17">
        <v>70</v>
      </c>
      <c r="E359" s="15" t="str">
        <f t="shared" si="5"/>
        <v>1213-262294</v>
      </c>
    </row>
    <row r="360" spans="1:5" ht="14.25" customHeight="1" x14ac:dyDescent="0.25">
      <c r="A360" s="15" t="s">
        <v>4601</v>
      </c>
      <c r="B360" s="16">
        <v>1213</v>
      </c>
      <c r="C360" s="16">
        <v>268831</v>
      </c>
      <c r="D360" s="17">
        <v>60</v>
      </c>
      <c r="E360" s="15" t="str">
        <f t="shared" si="5"/>
        <v>1213-268831</v>
      </c>
    </row>
    <row r="361" spans="1:5" ht="14.25" customHeight="1" x14ac:dyDescent="0.25">
      <c r="A361" s="15" t="s">
        <v>4602</v>
      </c>
      <c r="B361" s="16">
        <v>1213</v>
      </c>
      <c r="C361" s="16">
        <v>273701</v>
      </c>
      <c r="D361" s="17">
        <v>44</v>
      </c>
      <c r="E361" s="15" t="str">
        <f t="shared" si="5"/>
        <v>1213-273701</v>
      </c>
    </row>
    <row r="362" spans="1:5" ht="14.25" customHeight="1" x14ac:dyDescent="0.25">
      <c r="A362" s="15" t="s">
        <v>4603</v>
      </c>
      <c r="B362" s="16">
        <v>1213</v>
      </c>
      <c r="C362" s="16">
        <v>291726</v>
      </c>
      <c r="D362" s="17">
        <v>120</v>
      </c>
      <c r="E362" s="15" t="str">
        <f t="shared" si="5"/>
        <v>1213-291726</v>
      </c>
    </row>
    <row r="363" spans="1:5" ht="14.25" customHeight="1" x14ac:dyDescent="0.25">
      <c r="A363" s="15" t="s">
        <v>4604</v>
      </c>
      <c r="B363" s="16">
        <v>1213</v>
      </c>
      <c r="C363" s="16">
        <v>291728</v>
      </c>
      <c r="D363" s="17">
        <v>114</v>
      </c>
      <c r="E363" s="15" t="str">
        <f t="shared" si="5"/>
        <v>1213-291728</v>
      </c>
    </row>
    <row r="364" spans="1:5" ht="14.25" customHeight="1" x14ac:dyDescent="0.25">
      <c r="A364" s="15" t="s">
        <v>4605</v>
      </c>
      <c r="B364" s="16">
        <v>1213</v>
      </c>
      <c r="C364" s="16">
        <v>571521</v>
      </c>
      <c r="D364" s="17">
        <v>92</v>
      </c>
      <c r="E364" s="15" t="str">
        <f t="shared" si="5"/>
        <v>1213-571521</v>
      </c>
    </row>
    <row r="365" spans="1:5" ht="14.25" customHeight="1" x14ac:dyDescent="0.25">
      <c r="A365" s="15" t="s">
        <v>4606</v>
      </c>
      <c r="B365" s="16">
        <v>1213</v>
      </c>
      <c r="C365" s="16">
        <v>614993</v>
      </c>
      <c r="D365" s="17">
        <v>106</v>
      </c>
      <c r="E365" s="15" t="str">
        <f t="shared" si="5"/>
        <v>1213-614993</v>
      </c>
    </row>
    <row r="366" spans="1:5" ht="14.25" customHeight="1" x14ac:dyDescent="0.25">
      <c r="A366" s="15" t="s">
        <v>4607</v>
      </c>
      <c r="B366" s="16">
        <v>1214</v>
      </c>
      <c r="C366" s="16">
        <v>115600</v>
      </c>
      <c r="D366" s="17">
        <v>56</v>
      </c>
      <c r="E366" s="15" t="str">
        <f t="shared" si="5"/>
        <v>1214-115600</v>
      </c>
    </row>
    <row r="367" spans="1:5" ht="14.25" customHeight="1" x14ac:dyDescent="0.25">
      <c r="A367" s="15" t="s">
        <v>4608</v>
      </c>
      <c r="B367" s="16">
        <v>1214</v>
      </c>
      <c r="C367" s="16">
        <v>129208</v>
      </c>
      <c r="D367" s="17">
        <v>40</v>
      </c>
      <c r="E367" s="15" t="str">
        <f t="shared" si="5"/>
        <v>1214-129208</v>
      </c>
    </row>
    <row r="368" spans="1:5" ht="14.25" customHeight="1" x14ac:dyDescent="0.25">
      <c r="A368" s="15" t="s">
        <v>4609</v>
      </c>
      <c r="B368" s="16">
        <v>1214</v>
      </c>
      <c r="C368" s="16">
        <v>300380</v>
      </c>
      <c r="D368" s="17">
        <v>66</v>
      </c>
      <c r="E368" s="15" t="str">
        <f t="shared" si="5"/>
        <v>1214-300380</v>
      </c>
    </row>
    <row r="369" spans="1:5" ht="14.25" customHeight="1" x14ac:dyDescent="0.25">
      <c r="A369" s="15" t="s">
        <v>4610</v>
      </c>
      <c r="B369" s="16">
        <v>1214</v>
      </c>
      <c r="C369" s="16">
        <v>23393</v>
      </c>
      <c r="D369" s="17">
        <v>112</v>
      </c>
      <c r="E369" s="15" t="str">
        <f t="shared" si="5"/>
        <v>1214-23393</v>
      </c>
    </row>
    <row r="370" spans="1:5" ht="14.25" customHeight="1" x14ac:dyDescent="0.25">
      <c r="A370" s="15" t="s">
        <v>4611</v>
      </c>
      <c r="B370" s="16">
        <v>1214</v>
      </c>
      <c r="C370" s="16">
        <v>26764</v>
      </c>
      <c r="D370" s="17">
        <v>82</v>
      </c>
      <c r="E370" s="15" t="str">
        <f t="shared" si="5"/>
        <v>1214-26764</v>
      </c>
    </row>
    <row r="371" spans="1:5" ht="14.25" customHeight="1" x14ac:dyDescent="0.25">
      <c r="A371" s="15" t="s">
        <v>4612</v>
      </c>
      <c r="B371" s="16">
        <v>1214</v>
      </c>
      <c r="C371" s="16">
        <v>53934</v>
      </c>
      <c r="D371" s="17">
        <v>104</v>
      </c>
      <c r="E371" s="15" t="str">
        <f t="shared" si="5"/>
        <v>1214-53934</v>
      </c>
    </row>
    <row r="372" spans="1:5" ht="14.25" customHeight="1" x14ac:dyDescent="0.25">
      <c r="A372" s="15" t="s">
        <v>4613</v>
      </c>
      <c r="B372" s="16">
        <v>1214</v>
      </c>
      <c r="C372" s="16">
        <v>78699</v>
      </c>
      <c r="D372" s="17">
        <v>84</v>
      </c>
      <c r="E372" s="15" t="str">
        <f t="shared" si="5"/>
        <v>1214-78699</v>
      </c>
    </row>
    <row r="373" spans="1:5" ht="14.25" customHeight="1" x14ac:dyDescent="0.25">
      <c r="A373" s="15" t="s">
        <v>4614</v>
      </c>
      <c r="B373" s="16">
        <v>1214</v>
      </c>
      <c r="C373" s="16">
        <v>78869</v>
      </c>
      <c r="D373" s="17">
        <v>76</v>
      </c>
      <c r="E373" s="15" t="str">
        <f t="shared" si="5"/>
        <v>1214-78869</v>
      </c>
    </row>
    <row r="374" spans="1:5" ht="14.25" customHeight="1" x14ac:dyDescent="0.25">
      <c r="A374" s="15" t="s">
        <v>4615</v>
      </c>
      <c r="B374" s="16">
        <v>1214</v>
      </c>
      <c r="C374" s="16">
        <v>141622</v>
      </c>
      <c r="D374" s="17">
        <v>112</v>
      </c>
      <c r="E374" s="15" t="str">
        <f t="shared" si="5"/>
        <v>1214-141622</v>
      </c>
    </row>
    <row r="375" spans="1:5" ht="14.25" customHeight="1" x14ac:dyDescent="0.25">
      <c r="A375" s="15" t="s">
        <v>4616</v>
      </c>
      <c r="B375" s="16">
        <v>1214</v>
      </c>
      <c r="C375" s="16">
        <v>141626</v>
      </c>
      <c r="D375" s="17">
        <v>98</v>
      </c>
      <c r="E375" s="15" t="str">
        <f t="shared" si="5"/>
        <v>1214-141626</v>
      </c>
    </row>
    <row r="376" spans="1:5" ht="14.25" customHeight="1" x14ac:dyDescent="0.25">
      <c r="A376" s="15" t="s">
        <v>4617</v>
      </c>
      <c r="B376" s="16">
        <v>1214</v>
      </c>
      <c r="C376" s="16">
        <v>141791</v>
      </c>
      <c r="D376" s="17">
        <v>84</v>
      </c>
      <c r="E376" s="15" t="str">
        <f t="shared" si="5"/>
        <v>1214-141791</v>
      </c>
    </row>
    <row r="377" spans="1:5" ht="14.25" customHeight="1" x14ac:dyDescent="0.25">
      <c r="A377" s="15" t="s">
        <v>4618</v>
      </c>
      <c r="B377" s="16">
        <v>1214</v>
      </c>
      <c r="C377" s="16">
        <v>141846</v>
      </c>
      <c r="D377" s="17">
        <v>120</v>
      </c>
      <c r="E377" s="15" t="str">
        <f t="shared" si="5"/>
        <v>1214-141846</v>
      </c>
    </row>
    <row r="378" spans="1:5" ht="14.25" customHeight="1" x14ac:dyDescent="0.25">
      <c r="A378" s="15" t="s">
        <v>4619</v>
      </c>
      <c r="B378" s="16">
        <v>1214</v>
      </c>
      <c r="C378" s="16">
        <v>141967</v>
      </c>
      <c r="D378" s="17">
        <v>56</v>
      </c>
      <c r="E378" s="15" t="str">
        <f t="shared" si="5"/>
        <v>1214-141967</v>
      </c>
    </row>
    <row r="379" spans="1:5" ht="14.25" customHeight="1" x14ac:dyDescent="0.25">
      <c r="A379" s="15" t="s">
        <v>4620</v>
      </c>
      <c r="B379" s="16">
        <v>1214</v>
      </c>
      <c r="C379" s="16">
        <v>142194</v>
      </c>
      <c r="D379" s="17">
        <v>62</v>
      </c>
      <c r="E379" s="15" t="str">
        <f t="shared" si="5"/>
        <v>1214-142194</v>
      </c>
    </row>
    <row r="380" spans="1:5" ht="14.25" customHeight="1" x14ac:dyDescent="0.25">
      <c r="A380" s="15" t="s">
        <v>4621</v>
      </c>
      <c r="B380" s="16">
        <v>1214</v>
      </c>
      <c r="C380" s="16">
        <v>149729</v>
      </c>
      <c r="D380" s="17">
        <v>100</v>
      </c>
      <c r="E380" s="15" t="str">
        <f t="shared" si="5"/>
        <v>1214-149729</v>
      </c>
    </row>
    <row r="381" spans="1:5" ht="14.25" customHeight="1" x14ac:dyDescent="0.25">
      <c r="A381" s="15" t="s">
        <v>4622</v>
      </c>
      <c r="B381" s="16">
        <v>1214</v>
      </c>
      <c r="C381" s="16">
        <v>149779</v>
      </c>
      <c r="D381" s="17">
        <v>90</v>
      </c>
      <c r="E381" s="15" t="str">
        <f t="shared" si="5"/>
        <v>1214-149779</v>
      </c>
    </row>
    <row r="382" spans="1:5" ht="14.25" customHeight="1" x14ac:dyDescent="0.25">
      <c r="A382" s="15" t="s">
        <v>4623</v>
      </c>
      <c r="B382" s="16">
        <v>1214</v>
      </c>
      <c r="C382" s="16">
        <v>189933</v>
      </c>
      <c r="D382" s="17">
        <v>120</v>
      </c>
      <c r="E382" s="15" t="str">
        <f t="shared" si="5"/>
        <v>1214-189933</v>
      </c>
    </row>
    <row r="383" spans="1:5" ht="14.25" customHeight="1" x14ac:dyDescent="0.25">
      <c r="A383" s="15" t="s">
        <v>4624</v>
      </c>
      <c r="B383" s="16">
        <v>1214</v>
      </c>
      <c r="C383" s="16">
        <v>202577</v>
      </c>
      <c r="D383" s="17">
        <v>80</v>
      </c>
      <c r="E383" s="15" t="str">
        <f t="shared" si="5"/>
        <v>1214-202577</v>
      </c>
    </row>
    <row r="384" spans="1:5" ht="14.25" customHeight="1" x14ac:dyDescent="0.25">
      <c r="A384" s="15" t="s">
        <v>4625</v>
      </c>
      <c r="B384" s="16">
        <v>1214</v>
      </c>
      <c r="C384" s="16">
        <v>234334</v>
      </c>
      <c r="D384" s="17">
        <v>86</v>
      </c>
      <c r="E384" s="15" t="str">
        <f t="shared" si="5"/>
        <v>1214-234334</v>
      </c>
    </row>
    <row r="385" spans="1:5" ht="14.25" customHeight="1" x14ac:dyDescent="0.25">
      <c r="A385" s="15" t="s">
        <v>4626</v>
      </c>
      <c r="B385" s="16">
        <v>1214</v>
      </c>
      <c r="C385" s="16">
        <v>249444</v>
      </c>
      <c r="D385" s="17">
        <v>80</v>
      </c>
      <c r="E385" s="15" t="str">
        <f t="shared" si="5"/>
        <v>1214-249444</v>
      </c>
    </row>
    <row r="386" spans="1:5" ht="14.25" customHeight="1" x14ac:dyDescent="0.25">
      <c r="A386" s="15" t="s">
        <v>4627</v>
      </c>
      <c r="B386" s="16">
        <v>1214</v>
      </c>
      <c r="C386" s="16">
        <v>249795</v>
      </c>
      <c r="D386" s="17">
        <v>68</v>
      </c>
      <c r="E386" s="15" t="str">
        <f t="shared" si="5"/>
        <v>1214-249795</v>
      </c>
    </row>
    <row r="387" spans="1:5" ht="14.25" customHeight="1" x14ac:dyDescent="0.25">
      <c r="A387" s="15" t="s">
        <v>4628</v>
      </c>
      <c r="B387" s="16">
        <v>1214</v>
      </c>
      <c r="C387" s="16">
        <v>250979</v>
      </c>
      <c r="D387" s="17">
        <v>56</v>
      </c>
      <c r="E387" s="15" t="str">
        <f t="shared" ref="E387:E450" si="6">B387&amp;"-"&amp;C387</f>
        <v>1214-250979</v>
      </c>
    </row>
    <row r="388" spans="1:5" ht="14.25" customHeight="1" x14ac:dyDescent="0.25">
      <c r="A388" s="15" t="s">
        <v>4629</v>
      </c>
      <c r="B388" s="16">
        <v>1214</v>
      </c>
      <c r="C388" s="16">
        <v>250981</v>
      </c>
      <c r="D388" s="17">
        <v>108</v>
      </c>
      <c r="E388" s="15" t="str">
        <f t="shared" si="6"/>
        <v>1214-250981</v>
      </c>
    </row>
    <row r="389" spans="1:5" ht="14.25" customHeight="1" x14ac:dyDescent="0.25">
      <c r="A389" s="15" t="s">
        <v>4630</v>
      </c>
      <c r="B389" s="16">
        <v>1214</v>
      </c>
      <c r="C389" s="16">
        <v>262294</v>
      </c>
      <c r="D389" s="17">
        <v>104</v>
      </c>
      <c r="E389" s="15" t="str">
        <f t="shared" si="6"/>
        <v>1214-262294</v>
      </c>
    </row>
    <row r="390" spans="1:5" ht="14.25" customHeight="1" x14ac:dyDescent="0.25">
      <c r="A390" s="15" t="s">
        <v>4631</v>
      </c>
      <c r="B390" s="16">
        <v>1214</v>
      </c>
      <c r="C390" s="16">
        <v>268831</v>
      </c>
      <c r="D390" s="17">
        <v>64</v>
      </c>
      <c r="E390" s="15" t="str">
        <f t="shared" si="6"/>
        <v>1214-268831</v>
      </c>
    </row>
    <row r="391" spans="1:5" ht="14.25" customHeight="1" x14ac:dyDescent="0.25">
      <c r="A391" s="15" t="s">
        <v>4632</v>
      </c>
      <c r="B391" s="16">
        <v>1214</v>
      </c>
      <c r="C391" s="16">
        <v>273701</v>
      </c>
      <c r="D391" s="17">
        <v>58</v>
      </c>
      <c r="E391" s="15" t="str">
        <f t="shared" si="6"/>
        <v>1214-273701</v>
      </c>
    </row>
    <row r="392" spans="1:5" ht="14.25" customHeight="1" x14ac:dyDescent="0.25">
      <c r="A392" s="15" t="s">
        <v>4633</v>
      </c>
      <c r="B392" s="16">
        <v>1214</v>
      </c>
      <c r="C392" s="16">
        <v>291726</v>
      </c>
      <c r="D392" s="17">
        <v>88</v>
      </c>
      <c r="E392" s="15" t="str">
        <f t="shared" si="6"/>
        <v>1214-291726</v>
      </c>
    </row>
    <row r="393" spans="1:5" ht="14.25" customHeight="1" x14ac:dyDescent="0.25">
      <c r="A393" s="15" t="s">
        <v>4634</v>
      </c>
      <c r="B393" s="16">
        <v>1214</v>
      </c>
      <c r="C393" s="16">
        <v>291728</v>
      </c>
      <c r="D393" s="17">
        <v>86</v>
      </c>
      <c r="E393" s="15" t="str">
        <f t="shared" si="6"/>
        <v>1214-291728</v>
      </c>
    </row>
    <row r="394" spans="1:5" ht="14.25" customHeight="1" x14ac:dyDescent="0.25">
      <c r="A394" s="15" t="s">
        <v>4635</v>
      </c>
      <c r="B394" s="16">
        <v>1214</v>
      </c>
      <c r="C394" s="16">
        <v>571521</v>
      </c>
      <c r="D394" s="17">
        <v>78</v>
      </c>
      <c r="E394" s="15" t="str">
        <f t="shared" si="6"/>
        <v>1214-571521</v>
      </c>
    </row>
    <row r="395" spans="1:5" ht="14.25" customHeight="1" x14ac:dyDescent="0.25">
      <c r="A395" s="15" t="s">
        <v>4636</v>
      </c>
      <c r="B395" s="16">
        <v>1214</v>
      </c>
      <c r="C395" s="16">
        <v>614993</v>
      </c>
      <c r="D395" s="17">
        <v>110</v>
      </c>
      <c r="E395" s="15" t="str">
        <f t="shared" si="6"/>
        <v>1214-614993</v>
      </c>
    </row>
    <row r="396" spans="1:5" ht="14.25" customHeight="1" x14ac:dyDescent="0.25">
      <c r="A396" s="15" t="s">
        <v>4637</v>
      </c>
      <c r="B396" s="16">
        <v>1216</v>
      </c>
      <c r="C396" s="16">
        <v>115600</v>
      </c>
      <c r="D396" s="17">
        <v>80</v>
      </c>
      <c r="E396" s="15" t="str">
        <f t="shared" si="6"/>
        <v>1216-115600</v>
      </c>
    </row>
    <row r="397" spans="1:5" ht="14.25" customHeight="1" x14ac:dyDescent="0.25">
      <c r="A397" s="15" t="s">
        <v>4638</v>
      </c>
      <c r="B397" s="16">
        <v>1216</v>
      </c>
      <c r="C397" s="16">
        <v>129208</v>
      </c>
      <c r="D397" s="17">
        <v>74</v>
      </c>
      <c r="E397" s="15" t="str">
        <f t="shared" si="6"/>
        <v>1216-129208</v>
      </c>
    </row>
    <row r="398" spans="1:5" ht="14.25" customHeight="1" x14ac:dyDescent="0.25">
      <c r="A398" s="15" t="s">
        <v>4639</v>
      </c>
      <c r="B398" s="16">
        <v>1216</v>
      </c>
      <c r="C398" s="16">
        <v>300380</v>
      </c>
      <c r="D398" s="17">
        <v>102</v>
      </c>
      <c r="E398" s="15" t="str">
        <f t="shared" si="6"/>
        <v>1216-300380</v>
      </c>
    </row>
    <row r="399" spans="1:5" ht="14.25" customHeight="1" x14ac:dyDescent="0.25">
      <c r="A399" s="15" t="s">
        <v>4640</v>
      </c>
      <c r="B399" s="16">
        <v>1216</v>
      </c>
      <c r="C399" s="16">
        <v>23393</v>
      </c>
      <c r="D399" s="17">
        <v>50</v>
      </c>
      <c r="E399" s="15" t="str">
        <f t="shared" si="6"/>
        <v>1216-23393</v>
      </c>
    </row>
    <row r="400" spans="1:5" ht="14.25" customHeight="1" x14ac:dyDescent="0.25">
      <c r="A400" s="15" t="s">
        <v>4641</v>
      </c>
      <c r="B400" s="16">
        <v>1216</v>
      </c>
      <c r="C400" s="16">
        <v>26764</v>
      </c>
      <c r="D400" s="17">
        <v>66</v>
      </c>
      <c r="E400" s="15" t="str">
        <f t="shared" si="6"/>
        <v>1216-26764</v>
      </c>
    </row>
    <row r="401" spans="1:5" ht="14.25" customHeight="1" x14ac:dyDescent="0.25">
      <c r="A401" s="15" t="s">
        <v>4642</v>
      </c>
      <c r="B401" s="16">
        <v>1216</v>
      </c>
      <c r="C401" s="16">
        <v>53934</v>
      </c>
      <c r="D401" s="17">
        <v>98</v>
      </c>
      <c r="E401" s="15" t="str">
        <f t="shared" si="6"/>
        <v>1216-53934</v>
      </c>
    </row>
    <row r="402" spans="1:5" ht="14.25" customHeight="1" x14ac:dyDescent="0.25">
      <c r="A402" s="15" t="s">
        <v>4643</v>
      </c>
      <c r="B402" s="16">
        <v>1216</v>
      </c>
      <c r="C402" s="16">
        <v>78699</v>
      </c>
      <c r="D402" s="17">
        <v>114</v>
      </c>
      <c r="E402" s="15" t="str">
        <f t="shared" si="6"/>
        <v>1216-78699</v>
      </c>
    </row>
    <row r="403" spans="1:5" ht="14.25" customHeight="1" x14ac:dyDescent="0.25">
      <c r="A403" s="15" t="s">
        <v>4644</v>
      </c>
      <c r="B403" s="16">
        <v>1216</v>
      </c>
      <c r="C403" s="16">
        <v>78869</v>
      </c>
      <c r="D403" s="17">
        <v>104</v>
      </c>
      <c r="E403" s="15" t="str">
        <f t="shared" si="6"/>
        <v>1216-78869</v>
      </c>
    </row>
    <row r="404" spans="1:5" ht="14.25" customHeight="1" x14ac:dyDescent="0.25">
      <c r="A404" s="15" t="s">
        <v>4645</v>
      </c>
      <c r="B404" s="16">
        <v>1216</v>
      </c>
      <c r="C404" s="16">
        <v>141622</v>
      </c>
      <c r="D404" s="17">
        <v>44</v>
      </c>
      <c r="E404" s="15" t="str">
        <f t="shared" si="6"/>
        <v>1216-141622</v>
      </c>
    </row>
    <row r="405" spans="1:5" ht="14.25" customHeight="1" x14ac:dyDescent="0.25">
      <c r="A405" s="15" t="s">
        <v>4646</v>
      </c>
      <c r="B405" s="16">
        <v>1216</v>
      </c>
      <c r="C405" s="16">
        <v>141626</v>
      </c>
      <c r="D405" s="17">
        <v>94</v>
      </c>
      <c r="E405" s="15" t="str">
        <f t="shared" si="6"/>
        <v>1216-141626</v>
      </c>
    </row>
    <row r="406" spans="1:5" ht="14.25" customHeight="1" x14ac:dyDescent="0.25">
      <c r="A406" s="15" t="s">
        <v>4647</v>
      </c>
      <c r="B406" s="16">
        <v>1216</v>
      </c>
      <c r="C406" s="16">
        <v>141791</v>
      </c>
      <c r="D406" s="17">
        <v>114</v>
      </c>
      <c r="E406" s="15" t="str">
        <f t="shared" si="6"/>
        <v>1216-141791</v>
      </c>
    </row>
    <row r="407" spans="1:5" ht="14.25" customHeight="1" x14ac:dyDescent="0.25">
      <c r="A407" s="15" t="s">
        <v>4648</v>
      </c>
      <c r="B407" s="16">
        <v>1216</v>
      </c>
      <c r="C407" s="16">
        <v>141846</v>
      </c>
      <c r="D407" s="17">
        <v>96</v>
      </c>
      <c r="E407" s="15" t="str">
        <f t="shared" si="6"/>
        <v>1216-141846</v>
      </c>
    </row>
    <row r="408" spans="1:5" ht="14.25" customHeight="1" x14ac:dyDescent="0.25">
      <c r="A408" s="15" t="s">
        <v>4649</v>
      </c>
      <c r="B408" s="16">
        <v>1216</v>
      </c>
      <c r="C408" s="16">
        <v>141967</v>
      </c>
      <c r="D408" s="17">
        <v>44</v>
      </c>
      <c r="E408" s="15" t="str">
        <f t="shared" si="6"/>
        <v>1216-141967</v>
      </c>
    </row>
    <row r="409" spans="1:5" ht="14.25" customHeight="1" x14ac:dyDescent="0.25">
      <c r="A409" s="15" t="s">
        <v>4650</v>
      </c>
      <c r="B409" s="16">
        <v>1216</v>
      </c>
      <c r="C409" s="16">
        <v>142194</v>
      </c>
      <c r="D409" s="17">
        <v>108</v>
      </c>
      <c r="E409" s="15" t="str">
        <f t="shared" si="6"/>
        <v>1216-142194</v>
      </c>
    </row>
    <row r="410" spans="1:5" ht="14.25" customHeight="1" x14ac:dyDescent="0.25">
      <c r="A410" s="15" t="s">
        <v>4651</v>
      </c>
      <c r="B410" s="16">
        <v>1216</v>
      </c>
      <c r="C410" s="16">
        <v>149729</v>
      </c>
      <c r="D410" s="17">
        <v>76</v>
      </c>
      <c r="E410" s="15" t="str">
        <f t="shared" si="6"/>
        <v>1216-149729</v>
      </c>
    </row>
    <row r="411" spans="1:5" ht="14.25" customHeight="1" x14ac:dyDescent="0.25">
      <c r="A411" s="15" t="s">
        <v>4652</v>
      </c>
      <c r="B411" s="16">
        <v>1216</v>
      </c>
      <c r="C411" s="16">
        <v>149779</v>
      </c>
      <c r="D411" s="17">
        <v>106</v>
      </c>
      <c r="E411" s="15" t="str">
        <f t="shared" si="6"/>
        <v>1216-149779</v>
      </c>
    </row>
    <row r="412" spans="1:5" ht="14.25" customHeight="1" x14ac:dyDescent="0.25">
      <c r="A412" s="15" t="s">
        <v>4653</v>
      </c>
      <c r="B412" s="16">
        <v>1216</v>
      </c>
      <c r="C412" s="16">
        <v>189933</v>
      </c>
      <c r="D412" s="17">
        <v>96</v>
      </c>
      <c r="E412" s="15" t="str">
        <f t="shared" si="6"/>
        <v>1216-189933</v>
      </c>
    </row>
    <row r="413" spans="1:5" ht="14.25" customHeight="1" x14ac:dyDescent="0.25">
      <c r="A413" s="15" t="s">
        <v>4654</v>
      </c>
      <c r="B413" s="16">
        <v>1216</v>
      </c>
      <c r="C413" s="16">
        <v>202577</v>
      </c>
      <c r="D413" s="17">
        <v>118</v>
      </c>
      <c r="E413" s="15" t="str">
        <f t="shared" si="6"/>
        <v>1216-202577</v>
      </c>
    </row>
    <row r="414" spans="1:5" ht="14.25" customHeight="1" x14ac:dyDescent="0.25">
      <c r="A414" s="15" t="s">
        <v>4655</v>
      </c>
      <c r="B414" s="16">
        <v>1216</v>
      </c>
      <c r="C414" s="16">
        <v>234334</v>
      </c>
      <c r="D414" s="17">
        <v>46</v>
      </c>
      <c r="E414" s="15" t="str">
        <f t="shared" si="6"/>
        <v>1216-234334</v>
      </c>
    </row>
    <row r="415" spans="1:5" ht="14.25" customHeight="1" x14ac:dyDescent="0.25">
      <c r="A415" s="15" t="s">
        <v>4656</v>
      </c>
      <c r="B415" s="16">
        <v>1216</v>
      </c>
      <c r="C415" s="16">
        <v>249444</v>
      </c>
      <c r="D415" s="17">
        <v>114</v>
      </c>
      <c r="E415" s="15" t="str">
        <f t="shared" si="6"/>
        <v>1216-249444</v>
      </c>
    </row>
    <row r="416" spans="1:5" ht="14.25" customHeight="1" x14ac:dyDescent="0.25">
      <c r="A416" s="15" t="s">
        <v>4657</v>
      </c>
      <c r="B416" s="16">
        <v>1216</v>
      </c>
      <c r="C416" s="16">
        <v>249795</v>
      </c>
      <c r="D416" s="17">
        <v>78</v>
      </c>
      <c r="E416" s="15" t="str">
        <f t="shared" si="6"/>
        <v>1216-249795</v>
      </c>
    </row>
    <row r="417" spans="1:5" ht="14.25" customHeight="1" x14ac:dyDescent="0.25">
      <c r="A417" s="15" t="s">
        <v>4658</v>
      </c>
      <c r="B417" s="16">
        <v>1216</v>
      </c>
      <c r="C417" s="16">
        <v>250979</v>
      </c>
      <c r="D417" s="17">
        <v>106</v>
      </c>
      <c r="E417" s="15" t="str">
        <f t="shared" si="6"/>
        <v>1216-250979</v>
      </c>
    </row>
    <row r="418" spans="1:5" ht="14.25" customHeight="1" x14ac:dyDescent="0.25">
      <c r="A418" s="15" t="s">
        <v>4659</v>
      </c>
      <c r="B418" s="16">
        <v>1216</v>
      </c>
      <c r="C418" s="16">
        <v>250981</v>
      </c>
      <c r="D418" s="17">
        <v>66</v>
      </c>
      <c r="E418" s="15" t="str">
        <f t="shared" si="6"/>
        <v>1216-250981</v>
      </c>
    </row>
    <row r="419" spans="1:5" ht="14.25" customHeight="1" x14ac:dyDescent="0.25">
      <c r="A419" s="15" t="s">
        <v>4660</v>
      </c>
      <c r="B419" s="16">
        <v>1216</v>
      </c>
      <c r="C419" s="16">
        <v>262294</v>
      </c>
      <c r="D419" s="17">
        <v>82</v>
      </c>
      <c r="E419" s="15" t="str">
        <f t="shared" si="6"/>
        <v>1216-262294</v>
      </c>
    </row>
    <row r="420" spans="1:5" ht="14.25" customHeight="1" x14ac:dyDescent="0.25">
      <c r="A420" s="15" t="s">
        <v>4661</v>
      </c>
      <c r="B420" s="16">
        <v>1216</v>
      </c>
      <c r="C420" s="16">
        <v>268831</v>
      </c>
      <c r="D420" s="17">
        <v>50</v>
      </c>
      <c r="E420" s="15" t="str">
        <f t="shared" si="6"/>
        <v>1216-268831</v>
      </c>
    </row>
    <row r="421" spans="1:5" ht="14.25" customHeight="1" x14ac:dyDescent="0.25">
      <c r="A421" s="15" t="s">
        <v>4662</v>
      </c>
      <c r="B421" s="16">
        <v>1216</v>
      </c>
      <c r="C421" s="16">
        <v>273701</v>
      </c>
      <c r="D421" s="17">
        <v>66</v>
      </c>
      <c r="E421" s="15" t="str">
        <f t="shared" si="6"/>
        <v>1216-273701</v>
      </c>
    </row>
    <row r="422" spans="1:5" ht="14.25" customHeight="1" x14ac:dyDescent="0.25">
      <c r="A422" s="15" t="s">
        <v>4663</v>
      </c>
      <c r="B422" s="16">
        <v>1216</v>
      </c>
      <c r="C422" s="16">
        <v>291726</v>
      </c>
      <c r="D422" s="17">
        <v>48</v>
      </c>
      <c r="E422" s="15" t="str">
        <f t="shared" si="6"/>
        <v>1216-291726</v>
      </c>
    </row>
    <row r="423" spans="1:5" ht="14.25" customHeight="1" x14ac:dyDescent="0.25">
      <c r="A423" s="15" t="s">
        <v>4664</v>
      </c>
      <c r="B423" s="16">
        <v>1216</v>
      </c>
      <c r="C423" s="16">
        <v>291728</v>
      </c>
      <c r="D423" s="17">
        <v>108</v>
      </c>
      <c r="E423" s="15" t="str">
        <f t="shared" si="6"/>
        <v>1216-291728</v>
      </c>
    </row>
    <row r="424" spans="1:5" ht="14.25" customHeight="1" x14ac:dyDescent="0.25">
      <c r="A424" s="15" t="s">
        <v>4665</v>
      </c>
      <c r="B424" s="16">
        <v>1216</v>
      </c>
      <c r="C424" s="16">
        <v>614993</v>
      </c>
      <c r="D424" s="17">
        <v>68</v>
      </c>
      <c r="E424" s="15" t="str">
        <f t="shared" si="6"/>
        <v>1216-614993</v>
      </c>
    </row>
    <row r="425" spans="1:5" ht="14.25" customHeight="1" x14ac:dyDescent="0.25">
      <c r="A425" s="15" t="s">
        <v>4666</v>
      </c>
      <c r="B425" s="16">
        <v>1218</v>
      </c>
      <c r="C425" s="16">
        <v>115600</v>
      </c>
      <c r="D425" s="17">
        <v>106</v>
      </c>
      <c r="E425" s="15" t="str">
        <f t="shared" si="6"/>
        <v>1218-115600</v>
      </c>
    </row>
    <row r="426" spans="1:5" ht="14.25" customHeight="1" x14ac:dyDescent="0.25">
      <c r="A426" s="15" t="s">
        <v>4667</v>
      </c>
      <c r="B426" s="16">
        <v>1218</v>
      </c>
      <c r="C426" s="16">
        <v>129208</v>
      </c>
      <c r="D426" s="17">
        <v>60</v>
      </c>
      <c r="E426" s="15" t="str">
        <f t="shared" si="6"/>
        <v>1218-129208</v>
      </c>
    </row>
    <row r="427" spans="1:5" ht="14.25" customHeight="1" x14ac:dyDescent="0.25">
      <c r="A427" s="15" t="s">
        <v>4668</v>
      </c>
      <c r="B427" s="16">
        <v>1218</v>
      </c>
      <c r="C427" s="16">
        <v>300380</v>
      </c>
      <c r="D427" s="17">
        <v>88</v>
      </c>
      <c r="E427" s="15" t="str">
        <f t="shared" si="6"/>
        <v>1218-300380</v>
      </c>
    </row>
    <row r="428" spans="1:5" ht="14.25" customHeight="1" x14ac:dyDescent="0.25">
      <c r="A428" s="15" t="s">
        <v>4669</v>
      </c>
      <c r="B428" s="16">
        <v>1218</v>
      </c>
      <c r="C428" s="16">
        <v>23393</v>
      </c>
      <c r="D428" s="17">
        <v>72</v>
      </c>
      <c r="E428" s="15" t="str">
        <f t="shared" si="6"/>
        <v>1218-23393</v>
      </c>
    </row>
    <row r="429" spans="1:5" ht="14.25" customHeight="1" x14ac:dyDescent="0.25">
      <c r="A429" s="15" t="s">
        <v>4670</v>
      </c>
      <c r="B429" s="16">
        <v>1218</v>
      </c>
      <c r="C429" s="16">
        <v>26764</v>
      </c>
      <c r="D429" s="17">
        <v>94</v>
      </c>
      <c r="E429" s="15" t="str">
        <f t="shared" si="6"/>
        <v>1218-26764</v>
      </c>
    </row>
    <row r="430" spans="1:5" ht="14.25" customHeight="1" x14ac:dyDescent="0.25">
      <c r="A430" s="15" t="s">
        <v>4671</v>
      </c>
      <c r="B430" s="16">
        <v>1218</v>
      </c>
      <c r="C430" s="16">
        <v>53934</v>
      </c>
      <c r="D430" s="17">
        <v>74</v>
      </c>
      <c r="E430" s="15" t="str">
        <f t="shared" si="6"/>
        <v>1218-53934</v>
      </c>
    </row>
    <row r="431" spans="1:5" ht="14.25" customHeight="1" x14ac:dyDescent="0.25">
      <c r="A431" s="15" t="s">
        <v>4672</v>
      </c>
      <c r="B431" s="16">
        <v>1218</v>
      </c>
      <c r="C431" s="16">
        <v>78699</v>
      </c>
      <c r="D431" s="17">
        <v>82</v>
      </c>
      <c r="E431" s="15" t="str">
        <f t="shared" si="6"/>
        <v>1218-78699</v>
      </c>
    </row>
    <row r="432" spans="1:5" ht="14.25" customHeight="1" x14ac:dyDescent="0.25">
      <c r="A432" s="15" t="s">
        <v>4673</v>
      </c>
      <c r="B432" s="16">
        <v>1218</v>
      </c>
      <c r="C432" s="16">
        <v>78869</v>
      </c>
      <c r="D432" s="17">
        <v>54</v>
      </c>
      <c r="E432" s="15" t="str">
        <f t="shared" si="6"/>
        <v>1218-78869</v>
      </c>
    </row>
    <row r="433" spans="1:5" ht="14.25" customHeight="1" x14ac:dyDescent="0.25">
      <c r="A433" s="15" t="s">
        <v>4674</v>
      </c>
      <c r="B433" s="16">
        <v>1218</v>
      </c>
      <c r="C433" s="16">
        <v>141622</v>
      </c>
      <c r="D433" s="17">
        <v>88</v>
      </c>
      <c r="E433" s="15" t="str">
        <f t="shared" si="6"/>
        <v>1218-141622</v>
      </c>
    </row>
    <row r="434" spans="1:5" ht="14.25" customHeight="1" x14ac:dyDescent="0.25">
      <c r="A434" s="15" t="s">
        <v>4675</v>
      </c>
      <c r="B434" s="16">
        <v>1218</v>
      </c>
      <c r="C434" s="16">
        <v>141626</v>
      </c>
      <c r="D434" s="17">
        <v>64</v>
      </c>
      <c r="E434" s="15" t="str">
        <f t="shared" si="6"/>
        <v>1218-141626</v>
      </c>
    </row>
    <row r="435" spans="1:5" ht="14.25" customHeight="1" x14ac:dyDescent="0.25">
      <c r="A435" s="15" t="s">
        <v>4676</v>
      </c>
      <c r="B435" s="16">
        <v>1218</v>
      </c>
      <c r="C435" s="16">
        <v>141791</v>
      </c>
      <c r="D435" s="17">
        <v>88</v>
      </c>
      <c r="E435" s="15" t="str">
        <f t="shared" si="6"/>
        <v>1218-141791</v>
      </c>
    </row>
    <row r="436" spans="1:5" ht="14.25" customHeight="1" x14ac:dyDescent="0.25">
      <c r="A436" s="15" t="s">
        <v>4677</v>
      </c>
      <c r="B436" s="16">
        <v>1218</v>
      </c>
      <c r="C436" s="16">
        <v>141846</v>
      </c>
      <c r="D436" s="17">
        <v>70</v>
      </c>
      <c r="E436" s="15" t="str">
        <f t="shared" si="6"/>
        <v>1218-141846</v>
      </c>
    </row>
    <row r="437" spans="1:5" ht="14.25" customHeight="1" x14ac:dyDescent="0.25">
      <c r="A437" s="15" t="s">
        <v>4678</v>
      </c>
      <c r="B437" s="16">
        <v>1218</v>
      </c>
      <c r="C437" s="16">
        <v>141967</v>
      </c>
      <c r="D437" s="17">
        <v>98</v>
      </c>
      <c r="E437" s="15" t="str">
        <f t="shared" si="6"/>
        <v>1218-141967</v>
      </c>
    </row>
    <row r="438" spans="1:5" ht="14.25" customHeight="1" x14ac:dyDescent="0.25">
      <c r="A438" s="15" t="s">
        <v>4679</v>
      </c>
      <c r="B438" s="16">
        <v>1218</v>
      </c>
      <c r="C438" s="16">
        <v>142194</v>
      </c>
      <c r="D438" s="17">
        <v>90</v>
      </c>
      <c r="E438" s="15" t="str">
        <f t="shared" si="6"/>
        <v>1218-142194</v>
      </c>
    </row>
    <row r="439" spans="1:5" ht="14.25" customHeight="1" x14ac:dyDescent="0.25">
      <c r="A439" s="15" t="s">
        <v>4680</v>
      </c>
      <c r="B439" s="16">
        <v>1218</v>
      </c>
      <c r="C439" s="16">
        <v>149729</v>
      </c>
      <c r="D439" s="17">
        <v>56</v>
      </c>
      <c r="E439" s="15" t="str">
        <f t="shared" si="6"/>
        <v>1218-149729</v>
      </c>
    </row>
    <row r="440" spans="1:5" ht="14.25" customHeight="1" x14ac:dyDescent="0.25">
      <c r="A440" s="15" t="s">
        <v>4681</v>
      </c>
      <c r="B440" s="16">
        <v>1218</v>
      </c>
      <c r="C440" s="16">
        <v>149779</v>
      </c>
      <c r="D440" s="17">
        <v>90</v>
      </c>
      <c r="E440" s="15" t="str">
        <f t="shared" si="6"/>
        <v>1218-149779</v>
      </c>
    </row>
    <row r="441" spans="1:5" ht="14.25" customHeight="1" x14ac:dyDescent="0.25">
      <c r="A441" s="15" t="s">
        <v>4682</v>
      </c>
      <c r="B441" s="16">
        <v>1218</v>
      </c>
      <c r="C441" s="16">
        <v>189933</v>
      </c>
      <c r="D441" s="17">
        <v>42</v>
      </c>
      <c r="E441" s="15" t="str">
        <f t="shared" si="6"/>
        <v>1218-189933</v>
      </c>
    </row>
    <row r="442" spans="1:5" ht="14.25" customHeight="1" x14ac:dyDescent="0.25">
      <c r="A442" s="15" t="s">
        <v>4683</v>
      </c>
      <c r="B442" s="16">
        <v>1218</v>
      </c>
      <c r="C442" s="16">
        <v>202577</v>
      </c>
      <c r="D442" s="17">
        <v>116</v>
      </c>
      <c r="E442" s="15" t="str">
        <f t="shared" si="6"/>
        <v>1218-202577</v>
      </c>
    </row>
    <row r="443" spans="1:5" ht="14.25" customHeight="1" x14ac:dyDescent="0.25">
      <c r="A443" s="15" t="s">
        <v>4684</v>
      </c>
      <c r="B443" s="16">
        <v>1218</v>
      </c>
      <c r="C443" s="16">
        <v>234334</v>
      </c>
      <c r="D443" s="17">
        <v>62</v>
      </c>
      <c r="E443" s="15" t="str">
        <f t="shared" si="6"/>
        <v>1218-234334</v>
      </c>
    </row>
    <row r="444" spans="1:5" ht="14.25" customHeight="1" x14ac:dyDescent="0.25">
      <c r="A444" s="15" t="s">
        <v>4685</v>
      </c>
      <c r="B444" s="16">
        <v>1218</v>
      </c>
      <c r="C444" s="16">
        <v>249444</v>
      </c>
      <c r="D444" s="17">
        <v>86</v>
      </c>
      <c r="E444" s="15" t="str">
        <f t="shared" si="6"/>
        <v>1218-249444</v>
      </c>
    </row>
    <row r="445" spans="1:5" ht="14.25" customHeight="1" x14ac:dyDescent="0.25">
      <c r="A445" s="15" t="s">
        <v>4686</v>
      </c>
      <c r="B445" s="16">
        <v>1218</v>
      </c>
      <c r="C445" s="16">
        <v>249795</v>
      </c>
      <c r="D445" s="17">
        <v>106</v>
      </c>
      <c r="E445" s="15" t="str">
        <f t="shared" si="6"/>
        <v>1218-249795</v>
      </c>
    </row>
    <row r="446" spans="1:5" ht="14.25" customHeight="1" x14ac:dyDescent="0.25">
      <c r="A446" s="15" t="s">
        <v>4687</v>
      </c>
      <c r="B446" s="16">
        <v>1218</v>
      </c>
      <c r="C446" s="16">
        <v>250979</v>
      </c>
      <c r="D446" s="17">
        <v>58</v>
      </c>
      <c r="E446" s="15" t="str">
        <f t="shared" si="6"/>
        <v>1218-250979</v>
      </c>
    </row>
    <row r="447" spans="1:5" ht="14.25" customHeight="1" x14ac:dyDescent="0.25">
      <c r="A447" s="15" t="s">
        <v>4688</v>
      </c>
      <c r="B447" s="16">
        <v>1218</v>
      </c>
      <c r="C447" s="16">
        <v>250981</v>
      </c>
      <c r="D447" s="17">
        <v>72</v>
      </c>
      <c r="E447" s="15" t="str">
        <f t="shared" si="6"/>
        <v>1218-250981</v>
      </c>
    </row>
    <row r="448" spans="1:5" ht="14.25" customHeight="1" x14ac:dyDescent="0.25">
      <c r="A448" s="15" t="s">
        <v>4689</v>
      </c>
      <c r="B448" s="16">
        <v>1218</v>
      </c>
      <c r="C448" s="16">
        <v>262294</v>
      </c>
      <c r="D448" s="17">
        <v>106</v>
      </c>
      <c r="E448" s="15" t="str">
        <f t="shared" si="6"/>
        <v>1218-262294</v>
      </c>
    </row>
    <row r="449" spans="1:5" ht="14.25" customHeight="1" x14ac:dyDescent="0.25">
      <c r="A449" s="15" t="s">
        <v>4690</v>
      </c>
      <c r="B449" s="16">
        <v>1218</v>
      </c>
      <c r="C449" s="16">
        <v>268831</v>
      </c>
      <c r="D449" s="17">
        <v>76</v>
      </c>
      <c r="E449" s="15" t="str">
        <f t="shared" si="6"/>
        <v>1218-268831</v>
      </c>
    </row>
    <row r="450" spans="1:5" ht="14.25" customHeight="1" x14ac:dyDescent="0.25">
      <c r="A450" s="15" t="s">
        <v>4691</v>
      </c>
      <c r="B450" s="16">
        <v>1218</v>
      </c>
      <c r="C450" s="16">
        <v>273701</v>
      </c>
      <c r="D450" s="17">
        <v>102</v>
      </c>
      <c r="E450" s="15" t="str">
        <f t="shared" si="6"/>
        <v>1218-273701</v>
      </c>
    </row>
    <row r="451" spans="1:5" ht="14.25" customHeight="1" x14ac:dyDescent="0.25">
      <c r="A451" s="15" t="s">
        <v>4692</v>
      </c>
      <c r="B451" s="16">
        <v>1218</v>
      </c>
      <c r="C451" s="16">
        <v>291726</v>
      </c>
      <c r="D451" s="17">
        <v>46</v>
      </c>
      <c r="E451" s="15" t="str">
        <f t="shared" ref="E451:E510" si="7">B451&amp;"-"&amp;C451</f>
        <v>1218-291726</v>
      </c>
    </row>
    <row r="452" spans="1:5" ht="14.25" customHeight="1" x14ac:dyDescent="0.25">
      <c r="A452" s="15" t="s">
        <v>4693</v>
      </c>
      <c r="B452" s="16">
        <v>1218</v>
      </c>
      <c r="C452" s="16">
        <v>291728</v>
      </c>
      <c r="D452" s="17">
        <v>42</v>
      </c>
      <c r="E452" s="15" t="str">
        <f t="shared" si="7"/>
        <v>1218-291728</v>
      </c>
    </row>
    <row r="453" spans="1:5" ht="14.25" customHeight="1" x14ac:dyDescent="0.25">
      <c r="A453" s="15" t="s">
        <v>4694</v>
      </c>
      <c r="B453" s="16">
        <v>1218</v>
      </c>
      <c r="C453" s="16">
        <v>614993</v>
      </c>
      <c r="D453" s="17">
        <v>42</v>
      </c>
      <c r="E453" s="15" t="str">
        <f t="shared" si="7"/>
        <v>1218-614993</v>
      </c>
    </row>
    <row r="454" spans="1:5" ht="14.25" customHeight="1" x14ac:dyDescent="0.25">
      <c r="A454" s="15" t="s">
        <v>4695</v>
      </c>
      <c r="B454" s="16">
        <v>1219</v>
      </c>
      <c r="C454" s="16">
        <v>115600</v>
      </c>
      <c r="D454" s="17">
        <v>112</v>
      </c>
      <c r="E454" s="15" t="str">
        <f t="shared" si="7"/>
        <v>1219-115600</v>
      </c>
    </row>
    <row r="455" spans="1:5" ht="14.25" customHeight="1" x14ac:dyDescent="0.25">
      <c r="A455" s="15" t="s">
        <v>4696</v>
      </c>
      <c r="B455" s="16">
        <v>1219</v>
      </c>
      <c r="C455" s="16">
        <v>129208</v>
      </c>
      <c r="D455" s="17">
        <v>40</v>
      </c>
      <c r="E455" s="15" t="str">
        <f t="shared" si="7"/>
        <v>1219-129208</v>
      </c>
    </row>
    <row r="456" spans="1:5" ht="14.25" customHeight="1" x14ac:dyDescent="0.25">
      <c r="A456" s="15" t="s">
        <v>4697</v>
      </c>
      <c r="B456" s="16">
        <v>1219</v>
      </c>
      <c r="C456" s="16">
        <v>300380</v>
      </c>
      <c r="D456" s="17">
        <v>44</v>
      </c>
      <c r="E456" s="15" t="str">
        <f t="shared" si="7"/>
        <v>1219-300380</v>
      </c>
    </row>
    <row r="457" spans="1:5" ht="14.25" customHeight="1" x14ac:dyDescent="0.25">
      <c r="A457" s="15" t="s">
        <v>4698</v>
      </c>
      <c r="B457" s="16">
        <v>1219</v>
      </c>
      <c r="C457" s="16">
        <v>23393</v>
      </c>
      <c r="D457" s="17">
        <v>94</v>
      </c>
      <c r="E457" s="15" t="str">
        <f t="shared" si="7"/>
        <v>1219-23393</v>
      </c>
    </row>
    <row r="458" spans="1:5" ht="14.25" customHeight="1" x14ac:dyDescent="0.25">
      <c r="A458" s="15" t="s">
        <v>4699</v>
      </c>
      <c r="B458" s="16">
        <v>1219</v>
      </c>
      <c r="C458" s="16">
        <v>26764</v>
      </c>
      <c r="D458" s="17">
        <v>72</v>
      </c>
      <c r="E458" s="15" t="str">
        <f t="shared" si="7"/>
        <v>1219-26764</v>
      </c>
    </row>
    <row r="459" spans="1:5" ht="14.25" customHeight="1" x14ac:dyDescent="0.25">
      <c r="A459" s="15" t="s">
        <v>4700</v>
      </c>
      <c r="B459" s="16">
        <v>1219</v>
      </c>
      <c r="C459" s="16">
        <v>53934</v>
      </c>
      <c r="D459" s="17">
        <v>46</v>
      </c>
      <c r="E459" s="15" t="str">
        <f t="shared" si="7"/>
        <v>1219-53934</v>
      </c>
    </row>
    <row r="460" spans="1:5" ht="14.25" customHeight="1" x14ac:dyDescent="0.25">
      <c r="A460" s="15" t="s">
        <v>4701</v>
      </c>
      <c r="B460" s="16">
        <v>1219</v>
      </c>
      <c r="C460" s="16">
        <v>78699</v>
      </c>
      <c r="D460" s="17">
        <v>66</v>
      </c>
      <c r="E460" s="15" t="str">
        <f t="shared" si="7"/>
        <v>1219-78699</v>
      </c>
    </row>
    <row r="461" spans="1:5" ht="14.25" customHeight="1" x14ac:dyDescent="0.25">
      <c r="A461" s="15" t="s">
        <v>4702</v>
      </c>
      <c r="B461" s="16">
        <v>1219</v>
      </c>
      <c r="C461" s="16">
        <v>78869</v>
      </c>
      <c r="D461" s="17">
        <v>106</v>
      </c>
      <c r="E461" s="15" t="str">
        <f t="shared" si="7"/>
        <v>1219-78869</v>
      </c>
    </row>
    <row r="462" spans="1:5" ht="14.25" customHeight="1" x14ac:dyDescent="0.25">
      <c r="A462" s="15" t="s">
        <v>4703</v>
      </c>
      <c r="B462" s="16">
        <v>1219</v>
      </c>
      <c r="C462" s="16">
        <v>141626</v>
      </c>
      <c r="D462" s="17">
        <v>72</v>
      </c>
      <c r="E462" s="15" t="str">
        <f t="shared" si="7"/>
        <v>1219-141626</v>
      </c>
    </row>
    <row r="463" spans="1:5" ht="14.25" customHeight="1" x14ac:dyDescent="0.25">
      <c r="A463" s="15" t="s">
        <v>4704</v>
      </c>
      <c r="B463" s="16">
        <v>1219</v>
      </c>
      <c r="C463" s="16">
        <v>141791</v>
      </c>
      <c r="D463" s="17">
        <v>62</v>
      </c>
      <c r="E463" s="15" t="str">
        <f t="shared" si="7"/>
        <v>1219-141791</v>
      </c>
    </row>
    <row r="464" spans="1:5" ht="14.25" customHeight="1" x14ac:dyDescent="0.25">
      <c r="A464" s="15" t="s">
        <v>4705</v>
      </c>
      <c r="B464" s="16">
        <v>1219</v>
      </c>
      <c r="C464" s="16">
        <v>141846</v>
      </c>
      <c r="D464" s="17">
        <v>86</v>
      </c>
      <c r="E464" s="15" t="str">
        <f t="shared" si="7"/>
        <v>1219-141846</v>
      </c>
    </row>
    <row r="465" spans="1:5" ht="14.25" customHeight="1" x14ac:dyDescent="0.25">
      <c r="A465" s="15" t="s">
        <v>4706</v>
      </c>
      <c r="B465" s="16">
        <v>1219</v>
      </c>
      <c r="C465" s="16">
        <v>141967</v>
      </c>
      <c r="D465" s="17">
        <v>84</v>
      </c>
      <c r="E465" s="15" t="str">
        <f t="shared" si="7"/>
        <v>1219-141967</v>
      </c>
    </row>
    <row r="466" spans="1:5" ht="14.25" customHeight="1" x14ac:dyDescent="0.25">
      <c r="A466" s="15" t="s">
        <v>4707</v>
      </c>
      <c r="B466" s="16">
        <v>1219</v>
      </c>
      <c r="C466" s="16">
        <v>149729</v>
      </c>
      <c r="D466" s="17">
        <v>76</v>
      </c>
      <c r="E466" s="15" t="str">
        <f t="shared" si="7"/>
        <v>1219-149729</v>
      </c>
    </row>
    <row r="467" spans="1:5" ht="14.25" customHeight="1" x14ac:dyDescent="0.25">
      <c r="A467" s="15" t="s">
        <v>4708</v>
      </c>
      <c r="B467" s="16">
        <v>1219</v>
      </c>
      <c r="C467" s="16">
        <v>149779</v>
      </c>
      <c r="D467" s="17">
        <v>82</v>
      </c>
      <c r="E467" s="15" t="str">
        <f t="shared" si="7"/>
        <v>1219-149779</v>
      </c>
    </row>
    <row r="468" spans="1:5" ht="14.25" customHeight="1" x14ac:dyDescent="0.25">
      <c r="A468" s="15" t="s">
        <v>4709</v>
      </c>
      <c r="B468" s="16">
        <v>1219</v>
      </c>
      <c r="C468" s="16">
        <v>189933</v>
      </c>
      <c r="D468" s="17">
        <v>100</v>
      </c>
      <c r="E468" s="15" t="str">
        <f t="shared" si="7"/>
        <v>1219-189933</v>
      </c>
    </row>
    <row r="469" spans="1:5" ht="14.25" customHeight="1" x14ac:dyDescent="0.25">
      <c r="A469" s="15" t="s">
        <v>4710</v>
      </c>
      <c r="B469" s="16">
        <v>1219</v>
      </c>
      <c r="C469" s="16">
        <v>202577</v>
      </c>
      <c r="D469" s="17">
        <v>112</v>
      </c>
      <c r="E469" s="15" t="str">
        <f t="shared" si="7"/>
        <v>1219-202577</v>
      </c>
    </row>
    <row r="470" spans="1:5" ht="14.25" customHeight="1" x14ac:dyDescent="0.25">
      <c r="A470" s="15" t="s">
        <v>4711</v>
      </c>
      <c r="B470" s="16">
        <v>1219</v>
      </c>
      <c r="C470" s="16">
        <v>234334</v>
      </c>
      <c r="D470" s="17">
        <v>70</v>
      </c>
      <c r="E470" s="15" t="str">
        <f t="shared" si="7"/>
        <v>1219-234334</v>
      </c>
    </row>
    <row r="471" spans="1:5" ht="14.25" customHeight="1" x14ac:dyDescent="0.25">
      <c r="A471" s="15" t="s">
        <v>4712</v>
      </c>
      <c r="B471" s="16">
        <v>1219</v>
      </c>
      <c r="C471" s="16">
        <v>249444</v>
      </c>
      <c r="D471" s="17">
        <v>60</v>
      </c>
      <c r="E471" s="15" t="str">
        <f t="shared" si="7"/>
        <v>1219-249444</v>
      </c>
    </row>
    <row r="472" spans="1:5" ht="14.25" customHeight="1" x14ac:dyDescent="0.25">
      <c r="A472" s="15" t="s">
        <v>4713</v>
      </c>
      <c r="B472" s="16">
        <v>1219</v>
      </c>
      <c r="C472" s="16">
        <v>249795</v>
      </c>
      <c r="D472" s="17">
        <v>62</v>
      </c>
      <c r="E472" s="15" t="str">
        <f t="shared" si="7"/>
        <v>1219-249795</v>
      </c>
    </row>
    <row r="473" spans="1:5" ht="14.25" customHeight="1" x14ac:dyDescent="0.25">
      <c r="A473" s="15" t="s">
        <v>4714</v>
      </c>
      <c r="B473" s="16">
        <v>1219</v>
      </c>
      <c r="C473" s="16">
        <v>250979</v>
      </c>
      <c r="D473" s="17">
        <v>44</v>
      </c>
      <c r="E473" s="15" t="str">
        <f t="shared" si="7"/>
        <v>1219-250979</v>
      </c>
    </row>
    <row r="474" spans="1:5" ht="14.25" customHeight="1" x14ac:dyDescent="0.25">
      <c r="A474" s="15" t="s">
        <v>4715</v>
      </c>
      <c r="B474" s="16">
        <v>1219</v>
      </c>
      <c r="C474" s="16">
        <v>250981</v>
      </c>
      <c r="D474" s="17">
        <v>80</v>
      </c>
      <c r="E474" s="15" t="str">
        <f t="shared" si="7"/>
        <v>1219-250981</v>
      </c>
    </row>
    <row r="475" spans="1:5" ht="14.25" customHeight="1" x14ac:dyDescent="0.25">
      <c r="A475" s="15" t="s">
        <v>4716</v>
      </c>
      <c r="B475" s="16">
        <v>1219</v>
      </c>
      <c r="C475" s="16">
        <v>262294</v>
      </c>
      <c r="D475" s="17">
        <v>46</v>
      </c>
      <c r="E475" s="15" t="str">
        <f t="shared" si="7"/>
        <v>1219-262294</v>
      </c>
    </row>
    <row r="476" spans="1:5" ht="14.25" customHeight="1" x14ac:dyDescent="0.25">
      <c r="A476" s="15" t="s">
        <v>4717</v>
      </c>
      <c r="B476" s="16">
        <v>1219</v>
      </c>
      <c r="C476" s="16">
        <v>268831</v>
      </c>
      <c r="D476" s="17">
        <v>80</v>
      </c>
      <c r="E476" s="15" t="str">
        <f t="shared" si="7"/>
        <v>1219-268831</v>
      </c>
    </row>
    <row r="477" spans="1:5" ht="14.25" customHeight="1" x14ac:dyDescent="0.25">
      <c r="A477" s="15" t="s">
        <v>4718</v>
      </c>
      <c r="B477" s="16">
        <v>1219</v>
      </c>
      <c r="C477" s="16">
        <v>273701</v>
      </c>
      <c r="D477" s="17">
        <v>42</v>
      </c>
      <c r="E477" s="15" t="str">
        <f t="shared" si="7"/>
        <v>1219-273701</v>
      </c>
    </row>
    <row r="478" spans="1:5" ht="14.25" customHeight="1" x14ac:dyDescent="0.25">
      <c r="A478" s="15" t="s">
        <v>4719</v>
      </c>
      <c r="B478" s="16">
        <v>1219</v>
      </c>
      <c r="C478" s="16">
        <v>291726</v>
      </c>
      <c r="D478" s="17">
        <v>48</v>
      </c>
      <c r="E478" s="15" t="str">
        <f t="shared" si="7"/>
        <v>1219-291726</v>
      </c>
    </row>
    <row r="479" spans="1:5" ht="14.25" customHeight="1" x14ac:dyDescent="0.25">
      <c r="A479" s="15" t="s">
        <v>4720</v>
      </c>
      <c r="B479" s="16">
        <v>1219</v>
      </c>
      <c r="C479" s="16">
        <v>291728</v>
      </c>
      <c r="D479" s="17">
        <v>120</v>
      </c>
      <c r="E479" s="15" t="str">
        <f t="shared" si="7"/>
        <v>1219-291728</v>
      </c>
    </row>
    <row r="480" spans="1:5" ht="14.25" customHeight="1" x14ac:dyDescent="0.25">
      <c r="A480" s="15" t="s">
        <v>4721</v>
      </c>
      <c r="B480" s="16">
        <v>1219</v>
      </c>
      <c r="C480" s="16">
        <v>571521</v>
      </c>
      <c r="D480" s="17">
        <v>76</v>
      </c>
      <c r="E480" s="15" t="str">
        <f t="shared" si="7"/>
        <v>1219-571521</v>
      </c>
    </row>
    <row r="481" spans="1:5" ht="14.25" customHeight="1" x14ac:dyDescent="0.25">
      <c r="A481" s="15" t="s">
        <v>4722</v>
      </c>
      <c r="B481" s="16">
        <v>1219</v>
      </c>
      <c r="C481" s="16">
        <v>614993</v>
      </c>
      <c r="D481" s="17">
        <v>62</v>
      </c>
      <c r="E481" s="15" t="str">
        <f t="shared" si="7"/>
        <v>1219-614993</v>
      </c>
    </row>
    <row r="482" spans="1:5" ht="14.25" customHeight="1" x14ac:dyDescent="0.25">
      <c r="A482" s="15" t="s">
        <v>4723</v>
      </c>
      <c r="B482" s="16">
        <v>1220</v>
      </c>
      <c r="C482" s="16">
        <v>115600</v>
      </c>
      <c r="D482" s="17">
        <v>74</v>
      </c>
      <c r="E482" s="15" t="str">
        <f t="shared" si="7"/>
        <v>1220-115600</v>
      </c>
    </row>
    <row r="483" spans="1:5" ht="14.25" customHeight="1" x14ac:dyDescent="0.25">
      <c r="A483" s="15" t="s">
        <v>4724</v>
      </c>
      <c r="B483" s="16">
        <v>1220</v>
      </c>
      <c r="C483" s="16">
        <v>129208</v>
      </c>
      <c r="D483" s="17">
        <v>110</v>
      </c>
      <c r="E483" s="15" t="str">
        <f t="shared" si="7"/>
        <v>1220-129208</v>
      </c>
    </row>
    <row r="484" spans="1:5" ht="14.25" customHeight="1" x14ac:dyDescent="0.25">
      <c r="A484" s="15" t="s">
        <v>4725</v>
      </c>
      <c r="B484" s="16">
        <v>1220</v>
      </c>
      <c r="C484" s="16">
        <v>300380</v>
      </c>
      <c r="D484" s="17">
        <v>90</v>
      </c>
      <c r="E484" s="15" t="str">
        <f t="shared" si="7"/>
        <v>1220-300380</v>
      </c>
    </row>
    <row r="485" spans="1:5" ht="14.25" customHeight="1" x14ac:dyDescent="0.25">
      <c r="A485" s="15" t="s">
        <v>4726</v>
      </c>
      <c r="B485" s="16">
        <v>1220</v>
      </c>
      <c r="C485" s="16">
        <v>23393</v>
      </c>
      <c r="D485" s="17">
        <v>86</v>
      </c>
      <c r="E485" s="15" t="str">
        <f t="shared" si="7"/>
        <v>1220-23393</v>
      </c>
    </row>
    <row r="486" spans="1:5" ht="14.25" customHeight="1" x14ac:dyDescent="0.25">
      <c r="A486" s="15" t="s">
        <v>4727</v>
      </c>
      <c r="B486" s="16">
        <v>1220</v>
      </c>
      <c r="C486" s="16">
        <v>26764</v>
      </c>
      <c r="D486" s="17">
        <v>78</v>
      </c>
      <c r="E486" s="15" t="str">
        <f t="shared" si="7"/>
        <v>1220-26764</v>
      </c>
    </row>
    <row r="487" spans="1:5" ht="14.25" customHeight="1" x14ac:dyDescent="0.25">
      <c r="A487" s="15" t="s">
        <v>4728</v>
      </c>
      <c r="B487" s="16">
        <v>1220</v>
      </c>
      <c r="C487" s="16">
        <v>78699</v>
      </c>
      <c r="D487" s="17">
        <v>68</v>
      </c>
      <c r="E487" s="15" t="str">
        <f t="shared" si="7"/>
        <v>1220-78699</v>
      </c>
    </row>
    <row r="488" spans="1:5" ht="14.25" customHeight="1" x14ac:dyDescent="0.25">
      <c r="A488" s="15" t="s">
        <v>4729</v>
      </c>
      <c r="B488" s="16">
        <v>1220</v>
      </c>
      <c r="C488" s="16">
        <v>78869</v>
      </c>
      <c r="D488" s="17">
        <v>46</v>
      </c>
      <c r="E488" s="15" t="str">
        <f t="shared" si="7"/>
        <v>1220-78869</v>
      </c>
    </row>
    <row r="489" spans="1:5" ht="14.25" customHeight="1" x14ac:dyDescent="0.25">
      <c r="A489" s="15" t="s">
        <v>4730</v>
      </c>
      <c r="B489" s="16">
        <v>1220</v>
      </c>
      <c r="C489" s="16">
        <v>141622</v>
      </c>
      <c r="D489" s="17">
        <v>72</v>
      </c>
      <c r="E489" s="15" t="str">
        <f t="shared" si="7"/>
        <v>1220-141622</v>
      </c>
    </row>
    <row r="490" spans="1:5" ht="14.25" customHeight="1" x14ac:dyDescent="0.25">
      <c r="A490" s="15" t="s">
        <v>4731</v>
      </c>
      <c r="B490" s="16">
        <v>1220</v>
      </c>
      <c r="C490" s="16">
        <v>141626</v>
      </c>
      <c r="D490" s="17">
        <v>72</v>
      </c>
      <c r="E490" s="15" t="str">
        <f t="shared" si="7"/>
        <v>1220-141626</v>
      </c>
    </row>
    <row r="491" spans="1:5" ht="14.25" customHeight="1" x14ac:dyDescent="0.25">
      <c r="A491" s="15" t="s">
        <v>4732</v>
      </c>
      <c r="B491" s="16">
        <v>1220</v>
      </c>
      <c r="C491" s="16">
        <v>141791</v>
      </c>
      <c r="D491" s="17">
        <v>62</v>
      </c>
      <c r="E491" s="15" t="str">
        <f t="shared" si="7"/>
        <v>1220-141791</v>
      </c>
    </row>
    <row r="492" spans="1:5" ht="14.25" customHeight="1" x14ac:dyDescent="0.25">
      <c r="A492" s="15" t="s">
        <v>4733</v>
      </c>
      <c r="B492" s="16">
        <v>1220</v>
      </c>
      <c r="C492" s="16">
        <v>141846</v>
      </c>
      <c r="D492" s="17">
        <v>94</v>
      </c>
      <c r="E492" s="15" t="str">
        <f t="shared" si="7"/>
        <v>1220-141846</v>
      </c>
    </row>
    <row r="493" spans="1:5" ht="14.25" customHeight="1" x14ac:dyDescent="0.25">
      <c r="A493" s="15" t="s">
        <v>4734</v>
      </c>
      <c r="B493" s="16">
        <v>1220</v>
      </c>
      <c r="C493" s="16">
        <v>141967</v>
      </c>
      <c r="D493" s="17">
        <v>70</v>
      </c>
      <c r="E493" s="15" t="str">
        <f t="shared" si="7"/>
        <v>1220-141967</v>
      </c>
    </row>
    <row r="494" spans="1:5" ht="14.25" customHeight="1" x14ac:dyDescent="0.25">
      <c r="A494" s="15" t="s">
        <v>4735</v>
      </c>
      <c r="B494" s="16">
        <v>1220</v>
      </c>
      <c r="C494" s="16">
        <v>142194</v>
      </c>
      <c r="D494" s="17">
        <v>120</v>
      </c>
      <c r="E494" s="15" t="str">
        <f t="shared" si="7"/>
        <v>1220-142194</v>
      </c>
    </row>
    <row r="495" spans="1:5" ht="14.25" customHeight="1" x14ac:dyDescent="0.25">
      <c r="A495" s="15" t="s">
        <v>4736</v>
      </c>
      <c r="B495" s="16">
        <v>1220</v>
      </c>
      <c r="C495" s="16">
        <v>149729</v>
      </c>
      <c r="D495" s="17">
        <v>104</v>
      </c>
      <c r="E495" s="15" t="str">
        <f t="shared" si="7"/>
        <v>1220-149729</v>
      </c>
    </row>
    <row r="496" spans="1:5" ht="14.25" customHeight="1" x14ac:dyDescent="0.25">
      <c r="A496" s="15" t="s">
        <v>4737</v>
      </c>
      <c r="B496" s="16">
        <v>1220</v>
      </c>
      <c r="C496" s="16">
        <v>149779</v>
      </c>
      <c r="D496" s="17">
        <v>42</v>
      </c>
      <c r="E496" s="15" t="str">
        <f t="shared" si="7"/>
        <v>1220-149779</v>
      </c>
    </row>
    <row r="497" spans="1:5" ht="14.25" customHeight="1" x14ac:dyDescent="0.25">
      <c r="A497" s="15" t="s">
        <v>4738</v>
      </c>
      <c r="B497" s="16">
        <v>1220</v>
      </c>
      <c r="C497" s="16">
        <v>189933</v>
      </c>
      <c r="D497" s="17">
        <v>40</v>
      </c>
      <c r="E497" s="15" t="str">
        <f t="shared" si="7"/>
        <v>1220-189933</v>
      </c>
    </row>
    <row r="498" spans="1:5" ht="14.25" customHeight="1" x14ac:dyDescent="0.25">
      <c r="A498" s="15" t="s">
        <v>4739</v>
      </c>
      <c r="B498" s="16">
        <v>1220</v>
      </c>
      <c r="C498" s="16">
        <v>202577</v>
      </c>
      <c r="D498" s="17">
        <v>58</v>
      </c>
      <c r="E498" s="15" t="str">
        <f t="shared" si="7"/>
        <v>1220-202577</v>
      </c>
    </row>
    <row r="499" spans="1:5" ht="14.25" customHeight="1" x14ac:dyDescent="0.25">
      <c r="A499" s="15" t="s">
        <v>4740</v>
      </c>
      <c r="B499" s="16">
        <v>1220</v>
      </c>
      <c r="C499" s="16">
        <v>234334</v>
      </c>
      <c r="D499" s="17">
        <v>82</v>
      </c>
      <c r="E499" s="15" t="str">
        <f t="shared" si="7"/>
        <v>1220-234334</v>
      </c>
    </row>
    <row r="500" spans="1:5" ht="14.25" customHeight="1" x14ac:dyDescent="0.25">
      <c r="A500" s="15" t="s">
        <v>4741</v>
      </c>
      <c r="B500" s="16">
        <v>1220</v>
      </c>
      <c r="C500" s="16">
        <v>249444</v>
      </c>
      <c r="D500" s="17">
        <v>70</v>
      </c>
      <c r="E500" s="15" t="str">
        <f t="shared" si="7"/>
        <v>1220-249444</v>
      </c>
    </row>
    <row r="501" spans="1:5" ht="14.25" customHeight="1" x14ac:dyDescent="0.25">
      <c r="A501" s="15" t="s">
        <v>4742</v>
      </c>
      <c r="B501" s="16">
        <v>1220</v>
      </c>
      <c r="C501" s="16">
        <v>249795</v>
      </c>
      <c r="D501" s="17">
        <v>92</v>
      </c>
      <c r="E501" s="15" t="str">
        <f t="shared" si="7"/>
        <v>1220-249795</v>
      </c>
    </row>
    <row r="502" spans="1:5" ht="14.25" customHeight="1" x14ac:dyDescent="0.25">
      <c r="A502" s="15" t="s">
        <v>4743</v>
      </c>
      <c r="B502" s="16">
        <v>1220</v>
      </c>
      <c r="C502" s="16">
        <v>250979</v>
      </c>
      <c r="D502" s="17">
        <v>46</v>
      </c>
      <c r="E502" s="15" t="str">
        <f t="shared" si="7"/>
        <v>1220-250979</v>
      </c>
    </row>
    <row r="503" spans="1:5" ht="14.25" customHeight="1" x14ac:dyDescent="0.25">
      <c r="A503" s="15" t="s">
        <v>4744</v>
      </c>
      <c r="B503" s="16">
        <v>1220</v>
      </c>
      <c r="C503" s="16">
        <v>250981</v>
      </c>
      <c r="D503" s="17">
        <v>86</v>
      </c>
      <c r="E503" s="15" t="str">
        <f t="shared" si="7"/>
        <v>1220-250981</v>
      </c>
    </row>
    <row r="504" spans="1:5" ht="14.25" customHeight="1" x14ac:dyDescent="0.25">
      <c r="A504" s="15" t="s">
        <v>4745</v>
      </c>
      <c r="B504" s="16">
        <v>1220</v>
      </c>
      <c r="C504" s="16">
        <v>262294</v>
      </c>
      <c r="D504" s="17">
        <v>42</v>
      </c>
      <c r="E504" s="15" t="str">
        <f t="shared" si="7"/>
        <v>1220-262294</v>
      </c>
    </row>
    <row r="505" spans="1:5" ht="14.25" customHeight="1" x14ac:dyDescent="0.25">
      <c r="A505" s="15" t="s">
        <v>4746</v>
      </c>
      <c r="B505" s="16">
        <v>1220</v>
      </c>
      <c r="C505" s="16">
        <v>268831</v>
      </c>
      <c r="D505" s="17">
        <v>84</v>
      </c>
      <c r="E505" s="15" t="str">
        <f t="shared" si="7"/>
        <v>1220-268831</v>
      </c>
    </row>
    <row r="506" spans="1:5" ht="14.25" customHeight="1" x14ac:dyDescent="0.25">
      <c r="A506" s="15" t="s">
        <v>4747</v>
      </c>
      <c r="B506" s="16">
        <v>1220</v>
      </c>
      <c r="C506" s="16">
        <v>273701</v>
      </c>
      <c r="D506" s="17">
        <v>100</v>
      </c>
      <c r="E506" s="15" t="str">
        <f t="shared" si="7"/>
        <v>1220-273701</v>
      </c>
    </row>
    <row r="507" spans="1:5" ht="14.25" customHeight="1" x14ac:dyDescent="0.25">
      <c r="A507" s="15" t="s">
        <v>4748</v>
      </c>
      <c r="B507" s="16">
        <v>1220</v>
      </c>
      <c r="C507" s="16">
        <v>291726</v>
      </c>
      <c r="D507" s="17">
        <v>46</v>
      </c>
      <c r="E507" s="15" t="str">
        <f t="shared" si="7"/>
        <v>1220-291726</v>
      </c>
    </row>
    <row r="508" spans="1:5" ht="14.25" customHeight="1" x14ac:dyDescent="0.25">
      <c r="A508" s="15" t="s">
        <v>4749</v>
      </c>
      <c r="B508" s="16">
        <v>1220</v>
      </c>
      <c r="C508" s="16">
        <v>291728</v>
      </c>
      <c r="D508" s="17">
        <v>114</v>
      </c>
      <c r="E508" s="15" t="str">
        <f t="shared" si="7"/>
        <v>1220-291728</v>
      </c>
    </row>
    <row r="509" spans="1:5" ht="14.25" customHeight="1" x14ac:dyDescent="0.25">
      <c r="A509" s="15" t="s">
        <v>4750</v>
      </c>
      <c r="B509" s="16">
        <v>1220</v>
      </c>
      <c r="C509" s="16">
        <v>571521</v>
      </c>
      <c r="D509" s="17">
        <v>58</v>
      </c>
      <c r="E509" s="15" t="str">
        <f t="shared" si="7"/>
        <v>1220-571521</v>
      </c>
    </row>
    <row r="510" spans="1:5" ht="14.25" customHeight="1" x14ac:dyDescent="0.25">
      <c r="A510" s="15" t="s">
        <v>4751</v>
      </c>
      <c r="B510" s="16">
        <v>1220</v>
      </c>
      <c r="C510" s="16">
        <v>614993</v>
      </c>
      <c r="D510" s="17">
        <v>78</v>
      </c>
      <c r="E510" s="15" t="str">
        <f t="shared" si="7"/>
        <v>1220-614993</v>
      </c>
    </row>
    <row r="511" spans="1:5" ht="14.25" customHeight="1" x14ac:dyDescent="0.25">
      <c r="D511" s="17"/>
    </row>
    <row r="512" spans="1:5" ht="14.25" customHeight="1" x14ac:dyDescent="0.25">
      <c r="D512" s="17"/>
    </row>
    <row r="513" spans="4:4" ht="14.25" customHeight="1" x14ac:dyDescent="0.25">
      <c r="D513" s="17"/>
    </row>
    <row r="514" spans="4:4" ht="14.25" customHeight="1" x14ac:dyDescent="0.25">
      <c r="D514" s="17"/>
    </row>
    <row r="515" spans="4:4" ht="14.25" customHeight="1" x14ac:dyDescent="0.25">
      <c r="D515" s="17"/>
    </row>
    <row r="516" spans="4:4" ht="14.25" customHeight="1" x14ac:dyDescent="0.25">
      <c r="D516" s="17"/>
    </row>
    <row r="517" spans="4:4" ht="14.25" customHeight="1" x14ac:dyDescent="0.25">
      <c r="D517" s="17"/>
    </row>
    <row r="518" spans="4:4" ht="14.25" customHeight="1" x14ac:dyDescent="0.25">
      <c r="D518" s="17"/>
    </row>
    <row r="519" spans="4:4" ht="14.25" customHeight="1" x14ac:dyDescent="0.25">
      <c r="D519" s="17"/>
    </row>
    <row r="520" spans="4:4" ht="14.25" customHeight="1" x14ac:dyDescent="0.25">
      <c r="D520" s="17"/>
    </row>
    <row r="521" spans="4:4" ht="14.25" customHeight="1" x14ac:dyDescent="0.25">
      <c r="D521" s="17"/>
    </row>
    <row r="522" spans="4:4" ht="14.25" customHeight="1" x14ac:dyDescent="0.25">
      <c r="D522" s="17"/>
    </row>
    <row r="523" spans="4:4" ht="14.25" customHeight="1" x14ac:dyDescent="0.25">
      <c r="D523" s="17"/>
    </row>
    <row r="524" spans="4:4" ht="14.25" customHeight="1" x14ac:dyDescent="0.25">
      <c r="D524" s="17"/>
    </row>
    <row r="525" spans="4:4" ht="14.25" customHeight="1" x14ac:dyDescent="0.25">
      <c r="D525" s="17"/>
    </row>
    <row r="526" spans="4:4" ht="14.25" customHeight="1" x14ac:dyDescent="0.25">
      <c r="D526" s="17"/>
    </row>
    <row r="527" spans="4:4" ht="14.25" customHeight="1" x14ac:dyDescent="0.25">
      <c r="D527" s="17"/>
    </row>
    <row r="528" spans="4:4" ht="14.25" customHeight="1" x14ac:dyDescent="0.25">
      <c r="D528" s="17"/>
    </row>
    <row r="529" spans="4:4" ht="14.25" customHeight="1" x14ac:dyDescent="0.25">
      <c r="D529" s="17"/>
    </row>
    <row r="530" spans="4:4" ht="14.25" customHeight="1" x14ac:dyDescent="0.25">
      <c r="D530" s="17"/>
    </row>
    <row r="531" spans="4:4" ht="14.25" customHeight="1" x14ac:dyDescent="0.25">
      <c r="D531" s="17"/>
    </row>
    <row r="532" spans="4:4" ht="14.25" customHeight="1" x14ac:dyDescent="0.25">
      <c r="D532" s="17"/>
    </row>
    <row r="533" spans="4:4" ht="14.25" customHeight="1" x14ac:dyDescent="0.25">
      <c r="D533" s="17"/>
    </row>
    <row r="534" spans="4:4" ht="14.25" customHeight="1" x14ac:dyDescent="0.25">
      <c r="D534" s="17"/>
    </row>
    <row r="535" spans="4:4" ht="14.25" customHeight="1" x14ac:dyDescent="0.25">
      <c r="D535" s="17"/>
    </row>
    <row r="536" spans="4:4" ht="14.25" customHeight="1" x14ac:dyDescent="0.25">
      <c r="D536" s="17"/>
    </row>
    <row r="537" spans="4:4" ht="14.25" customHeight="1" x14ac:dyDescent="0.25">
      <c r="D537" s="17"/>
    </row>
    <row r="538" spans="4:4" ht="14.25" customHeight="1" x14ac:dyDescent="0.25">
      <c r="D538" s="17"/>
    </row>
    <row r="539" spans="4:4" ht="14.25" customHeight="1" x14ac:dyDescent="0.25">
      <c r="D539" s="17"/>
    </row>
    <row r="540" spans="4:4" ht="14.25" customHeight="1" x14ac:dyDescent="0.25">
      <c r="D540" s="17"/>
    </row>
    <row r="541" spans="4:4" ht="14.25" customHeight="1" x14ac:dyDescent="0.25">
      <c r="D541" s="17"/>
    </row>
    <row r="542" spans="4:4" ht="14.25" customHeight="1" x14ac:dyDescent="0.25">
      <c r="D542" s="17"/>
    </row>
    <row r="543" spans="4:4" ht="14.25" customHeight="1" x14ac:dyDescent="0.25">
      <c r="D543" s="17"/>
    </row>
    <row r="544" spans="4:4" ht="14.25" customHeight="1" x14ac:dyDescent="0.25">
      <c r="D544" s="17"/>
    </row>
    <row r="545" spans="4:4" ht="14.25" customHeight="1" x14ac:dyDescent="0.25">
      <c r="D545" s="17"/>
    </row>
    <row r="546" spans="4:4" ht="14.25" customHeight="1" x14ac:dyDescent="0.25">
      <c r="D546" s="17"/>
    </row>
    <row r="547" spans="4:4" ht="14.25" customHeight="1" x14ac:dyDescent="0.25">
      <c r="D547" s="17"/>
    </row>
    <row r="548" spans="4:4" ht="14.25" customHeight="1" x14ac:dyDescent="0.25">
      <c r="D548" s="17"/>
    </row>
    <row r="549" spans="4:4" ht="14.25" customHeight="1" x14ac:dyDescent="0.25">
      <c r="D549" s="17"/>
    </row>
    <row r="550" spans="4:4" ht="14.25" customHeight="1" x14ac:dyDescent="0.25">
      <c r="D550" s="17"/>
    </row>
    <row r="551" spans="4:4" ht="14.25" customHeight="1" x14ac:dyDescent="0.25">
      <c r="D551" s="17"/>
    </row>
    <row r="552" spans="4:4" ht="14.25" customHeight="1" x14ac:dyDescent="0.25">
      <c r="D552" s="17"/>
    </row>
    <row r="553" spans="4:4" ht="14.25" customHeight="1" x14ac:dyDescent="0.25">
      <c r="D553" s="17"/>
    </row>
    <row r="554" spans="4:4" ht="14.25" customHeight="1" x14ac:dyDescent="0.25">
      <c r="D554" s="17"/>
    </row>
    <row r="555" spans="4:4" ht="14.25" customHeight="1" x14ac:dyDescent="0.25">
      <c r="D555" s="17"/>
    </row>
    <row r="556" spans="4:4" ht="14.25" customHeight="1" x14ac:dyDescent="0.25">
      <c r="D556" s="17"/>
    </row>
    <row r="557" spans="4:4" ht="14.25" customHeight="1" x14ac:dyDescent="0.25">
      <c r="D557" s="17"/>
    </row>
    <row r="558" spans="4:4" ht="14.25" customHeight="1" x14ac:dyDescent="0.25">
      <c r="D558" s="17"/>
    </row>
    <row r="559" spans="4:4" ht="14.25" customHeight="1" x14ac:dyDescent="0.25">
      <c r="D559" s="17"/>
    </row>
    <row r="560" spans="4:4" ht="14.25" customHeight="1" x14ac:dyDescent="0.25">
      <c r="D560" s="17"/>
    </row>
    <row r="561" spans="4:4" ht="14.25" customHeight="1" x14ac:dyDescent="0.25">
      <c r="D561" s="17"/>
    </row>
    <row r="562" spans="4:4" ht="14.25" customHeight="1" x14ac:dyDescent="0.25">
      <c r="D562" s="17"/>
    </row>
    <row r="563" spans="4:4" ht="14.25" customHeight="1" x14ac:dyDescent="0.25">
      <c r="D563" s="17"/>
    </row>
    <row r="564" spans="4:4" ht="14.25" customHeight="1" x14ac:dyDescent="0.25">
      <c r="D564" s="17"/>
    </row>
    <row r="565" spans="4:4" ht="14.25" customHeight="1" x14ac:dyDescent="0.25">
      <c r="D565" s="17"/>
    </row>
    <row r="566" spans="4:4" ht="14.25" customHeight="1" x14ac:dyDescent="0.25">
      <c r="D566" s="17"/>
    </row>
    <row r="567" spans="4:4" ht="14.25" customHeight="1" x14ac:dyDescent="0.25">
      <c r="D567" s="17"/>
    </row>
    <row r="568" spans="4:4" ht="14.25" customHeight="1" x14ac:dyDescent="0.25">
      <c r="D568" s="17"/>
    </row>
    <row r="569" spans="4:4" ht="14.25" customHeight="1" x14ac:dyDescent="0.25">
      <c r="D569" s="17"/>
    </row>
    <row r="570" spans="4:4" ht="14.25" customHeight="1" x14ac:dyDescent="0.25">
      <c r="D570" s="17"/>
    </row>
    <row r="571" spans="4:4" ht="14.25" customHeight="1" x14ac:dyDescent="0.25">
      <c r="D571" s="17"/>
    </row>
    <row r="572" spans="4:4" ht="14.25" customHeight="1" x14ac:dyDescent="0.25">
      <c r="D572" s="17"/>
    </row>
    <row r="573" spans="4:4" ht="14.25" customHeight="1" x14ac:dyDescent="0.25">
      <c r="D573" s="17"/>
    </row>
    <row r="574" spans="4:4" ht="14.25" customHeight="1" x14ac:dyDescent="0.25">
      <c r="D574" s="17"/>
    </row>
    <row r="575" spans="4:4" ht="14.25" customHeight="1" x14ac:dyDescent="0.25">
      <c r="D575" s="17"/>
    </row>
    <row r="576" spans="4:4" ht="14.25" customHeight="1" x14ac:dyDescent="0.25">
      <c r="D576" s="17"/>
    </row>
    <row r="577" spans="4:4" ht="14.25" customHeight="1" x14ac:dyDescent="0.25">
      <c r="D577" s="17"/>
    </row>
    <row r="578" spans="4:4" ht="14.25" customHeight="1" x14ac:dyDescent="0.25">
      <c r="D578" s="17"/>
    </row>
    <row r="579" spans="4:4" ht="14.25" customHeight="1" x14ac:dyDescent="0.25">
      <c r="D579" s="17"/>
    </row>
    <row r="580" spans="4:4" ht="14.25" customHeight="1" x14ac:dyDescent="0.25">
      <c r="D580" s="17"/>
    </row>
    <row r="581" spans="4:4" ht="14.25" customHeight="1" x14ac:dyDescent="0.25">
      <c r="D581" s="17"/>
    </row>
    <row r="582" spans="4:4" ht="14.25" customHeight="1" x14ac:dyDescent="0.25">
      <c r="D582" s="17"/>
    </row>
    <row r="583" spans="4:4" ht="14.25" customHeight="1" x14ac:dyDescent="0.25">
      <c r="D583" s="17"/>
    </row>
    <row r="584" spans="4:4" ht="14.25" customHeight="1" x14ac:dyDescent="0.25">
      <c r="D584" s="17"/>
    </row>
    <row r="585" spans="4:4" ht="14.25" customHeight="1" x14ac:dyDescent="0.25">
      <c r="D585" s="17"/>
    </row>
    <row r="586" spans="4:4" ht="14.25" customHeight="1" x14ac:dyDescent="0.25">
      <c r="D586" s="17"/>
    </row>
    <row r="587" spans="4:4" ht="14.25" customHeight="1" x14ac:dyDescent="0.25">
      <c r="D587" s="17"/>
    </row>
    <row r="588" spans="4:4" ht="14.25" customHeight="1" x14ac:dyDescent="0.25">
      <c r="D588" s="17"/>
    </row>
    <row r="589" spans="4:4" ht="14.25" customHeight="1" x14ac:dyDescent="0.25">
      <c r="D589" s="17"/>
    </row>
    <row r="590" spans="4:4" ht="14.25" customHeight="1" x14ac:dyDescent="0.25">
      <c r="D590" s="17"/>
    </row>
    <row r="591" spans="4:4" ht="14.25" customHeight="1" x14ac:dyDescent="0.25">
      <c r="D591" s="17"/>
    </row>
    <row r="592" spans="4:4" ht="14.25" customHeight="1" x14ac:dyDescent="0.25">
      <c r="D592" s="17"/>
    </row>
    <row r="593" spans="4:4" ht="14.25" customHeight="1" x14ac:dyDescent="0.25">
      <c r="D593" s="17"/>
    </row>
    <row r="594" spans="4:4" ht="14.25" customHeight="1" x14ac:dyDescent="0.25">
      <c r="D594" s="17"/>
    </row>
    <row r="595" spans="4:4" ht="14.25" customHeight="1" x14ac:dyDescent="0.25">
      <c r="D595" s="17"/>
    </row>
    <row r="596" spans="4:4" ht="14.25" customHeight="1" x14ac:dyDescent="0.25">
      <c r="D596" s="17"/>
    </row>
    <row r="597" spans="4:4" ht="14.25" customHeight="1" x14ac:dyDescent="0.25">
      <c r="D597" s="17"/>
    </row>
    <row r="598" spans="4:4" ht="14.25" customHeight="1" x14ac:dyDescent="0.25">
      <c r="D598" s="17"/>
    </row>
    <row r="599" spans="4:4" ht="14.25" customHeight="1" x14ac:dyDescent="0.25">
      <c r="D599" s="17"/>
    </row>
    <row r="600" spans="4:4" ht="14.25" customHeight="1" x14ac:dyDescent="0.25">
      <c r="D600" s="17"/>
    </row>
    <row r="601" spans="4:4" ht="14.25" customHeight="1" x14ac:dyDescent="0.25">
      <c r="D601" s="17"/>
    </row>
    <row r="602" spans="4:4" ht="14.25" customHeight="1" x14ac:dyDescent="0.25">
      <c r="D602" s="17"/>
    </row>
    <row r="603" spans="4:4" ht="14.25" customHeight="1" x14ac:dyDescent="0.25">
      <c r="D603" s="17"/>
    </row>
    <row r="604" spans="4:4" ht="14.25" customHeight="1" x14ac:dyDescent="0.25">
      <c r="D604" s="17"/>
    </row>
    <row r="605" spans="4:4" ht="14.25" customHeight="1" x14ac:dyDescent="0.25">
      <c r="D605" s="17"/>
    </row>
    <row r="606" spans="4:4" ht="14.25" customHeight="1" x14ac:dyDescent="0.25">
      <c r="D606" s="17"/>
    </row>
    <row r="607" spans="4:4" ht="14.25" customHeight="1" x14ac:dyDescent="0.25">
      <c r="D607" s="17"/>
    </row>
    <row r="608" spans="4:4" ht="14.25" customHeight="1" x14ac:dyDescent="0.25">
      <c r="D608" s="17"/>
    </row>
    <row r="609" spans="4:4" ht="14.25" customHeight="1" x14ac:dyDescent="0.25">
      <c r="D609" s="17"/>
    </row>
    <row r="610" spans="4:4" ht="14.25" customHeight="1" x14ac:dyDescent="0.25">
      <c r="D610" s="17"/>
    </row>
    <row r="611" spans="4:4" ht="14.25" customHeight="1" x14ac:dyDescent="0.25">
      <c r="D611" s="17"/>
    </row>
    <row r="612" spans="4:4" ht="14.25" customHeight="1" x14ac:dyDescent="0.25">
      <c r="D612" s="17"/>
    </row>
    <row r="613" spans="4:4" ht="14.25" customHeight="1" x14ac:dyDescent="0.25">
      <c r="D613" s="17"/>
    </row>
    <row r="614" spans="4:4" ht="14.25" customHeight="1" x14ac:dyDescent="0.25">
      <c r="D614" s="17"/>
    </row>
    <row r="615" spans="4:4" ht="14.25" customHeight="1" x14ac:dyDescent="0.25">
      <c r="D615" s="17"/>
    </row>
    <row r="616" spans="4:4" ht="14.25" customHeight="1" x14ac:dyDescent="0.25">
      <c r="D616" s="17"/>
    </row>
    <row r="617" spans="4:4" ht="14.25" customHeight="1" x14ac:dyDescent="0.25">
      <c r="D617" s="17"/>
    </row>
    <row r="618" spans="4:4" ht="14.25" customHeight="1" x14ac:dyDescent="0.25">
      <c r="D618" s="17"/>
    </row>
    <row r="619" spans="4:4" ht="14.25" customHeight="1" x14ac:dyDescent="0.25">
      <c r="D619" s="17"/>
    </row>
    <row r="620" spans="4:4" ht="14.25" customHeight="1" x14ac:dyDescent="0.25">
      <c r="D620" s="17"/>
    </row>
    <row r="621" spans="4:4" ht="14.25" customHeight="1" x14ac:dyDescent="0.25">
      <c r="D621" s="17"/>
    </row>
    <row r="622" spans="4:4" ht="14.25" customHeight="1" x14ac:dyDescent="0.25">
      <c r="D622" s="17"/>
    </row>
    <row r="623" spans="4:4" ht="14.25" customHeight="1" x14ac:dyDescent="0.25">
      <c r="D623" s="17"/>
    </row>
    <row r="624" spans="4:4" ht="14.25" customHeight="1" x14ac:dyDescent="0.25">
      <c r="D624" s="17"/>
    </row>
    <row r="625" spans="4:4" ht="14.25" customHeight="1" x14ac:dyDescent="0.25">
      <c r="D625" s="17"/>
    </row>
    <row r="626" spans="4:4" ht="14.25" customHeight="1" x14ac:dyDescent="0.25">
      <c r="D626" s="17"/>
    </row>
    <row r="627" spans="4:4" ht="14.25" customHeight="1" x14ac:dyDescent="0.25">
      <c r="D627" s="17"/>
    </row>
    <row r="628" spans="4:4" ht="14.25" customHeight="1" x14ac:dyDescent="0.25">
      <c r="D628" s="17"/>
    </row>
    <row r="629" spans="4:4" ht="14.25" customHeight="1" x14ac:dyDescent="0.25">
      <c r="D629" s="17"/>
    </row>
    <row r="630" spans="4:4" ht="14.25" customHeight="1" x14ac:dyDescent="0.25">
      <c r="D630" s="17"/>
    </row>
    <row r="631" spans="4:4" ht="14.25" customHeight="1" x14ac:dyDescent="0.25">
      <c r="D631" s="17"/>
    </row>
    <row r="632" spans="4:4" ht="14.25" customHeight="1" x14ac:dyDescent="0.25">
      <c r="D632" s="17"/>
    </row>
    <row r="633" spans="4:4" ht="14.25" customHeight="1" x14ac:dyDescent="0.25">
      <c r="D633" s="17"/>
    </row>
    <row r="634" spans="4:4" ht="14.25" customHeight="1" x14ac:dyDescent="0.25">
      <c r="D634" s="17"/>
    </row>
    <row r="635" spans="4:4" ht="14.25" customHeight="1" x14ac:dyDescent="0.25">
      <c r="D635" s="17"/>
    </row>
    <row r="636" spans="4:4" ht="14.25" customHeight="1" x14ac:dyDescent="0.25">
      <c r="D636" s="17"/>
    </row>
    <row r="637" spans="4:4" ht="14.25" customHeight="1" x14ac:dyDescent="0.25">
      <c r="D637" s="17"/>
    </row>
    <row r="638" spans="4:4" ht="14.25" customHeight="1" x14ac:dyDescent="0.25">
      <c r="D638" s="17"/>
    </row>
    <row r="639" spans="4:4" ht="14.25" customHeight="1" x14ac:dyDescent="0.25">
      <c r="D639" s="17"/>
    </row>
    <row r="640" spans="4:4" ht="14.25" customHeight="1" x14ac:dyDescent="0.25">
      <c r="D640" s="17"/>
    </row>
    <row r="641" spans="4:4" ht="14.25" customHeight="1" x14ac:dyDescent="0.25">
      <c r="D641" s="17"/>
    </row>
    <row r="642" spans="4:4" ht="14.25" customHeight="1" x14ac:dyDescent="0.25">
      <c r="D642" s="17"/>
    </row>
    <row r="643" spans="4:4" ht="14.25" customHeight="1" x14ac:dyDescent="0.25">
      <c r="D643" s="17"/>
    </row>
    <row r="644" spans="4:4" ht="14.25" customHeight="1" x14ac:dyDescent="0.25">
      <c r="D644" s="17"/>
    </row>
    <row r="645" spans="4:4" ht="14.25" customHeight="1" x14ac:dyDescent="0.25">
      <c r="D645" s="17"/>
    </row>
    <row r="646" spans="4:4" ht="14.25" customHeight="1" x14ac:dyDescent="0.25">
      <c r="D646" s="17"/>
    </row>
    <row r="647" spans="4:4" ht="14.25" customHeight="1" x14ac:dyDescent="0.25">
      <c r="D647" s="17"/>
    </row>
    <row r="648" spans="4:4" ht="14.25" customHeight="1" x14ac:dyDescent="0.25">
      <c r="D648" s="17"/>
    </row>
    <row r="649" spans="4:4" ht="14.25" customHeight="1" x14ac:dyDescent="0.25">
      <c r="D649" s="17"/>
    </row>
    <row r="650" spans="4:4" ht="14.25" customHeight="1" x14ac:dyDescent="0.25">
      <c r="D650" s="17"/>
    </row>
    <row r="651" spans="4:4" ht="14.25" customHeight="1" x14ac:dyDescent="0.25">
      <c r="D651" s="17"/>
    </row>
    <row r="652" spans="4:4" ht="14.25" customHeight="1" x14ac:dyDescent="0.25">
      <c r="D652" s="17"/>
    </row>
    <row r="653" spans="4:4" ht="14.25" customHeight="1" x14ac:dyDescent="0.25">
      <c r="D653" s="17"/>
    </row>
    <row r="654" spans="4:4" ht="14.25" customHeight="1" x14ac:dyDescent="0.25">
      <c r="D654" s="17"/>
    </row>
    <row r="655" spans="4:4" ht="14.25" customHeight="1" x14ac:dyDescent="0.25">
      <c r="D655" s="17"/>
    </row>
    <row r="656" spans="4:4" ht="14.25" customHeight="1" x14ac:dyDescent="0.25">
      <c r="D656" s="17"/>
    </row>
    <row r="657" spans="4:4" ht="14.25" customHeight="1" x14ac:dyDescent="0.25">
      <c r="D657" s="17"/>
    </row>
    <row r="658" spans="4:4" ht="14.25" customHeight="1" x14ac:dyDescent="0.25">
      <c r="D658" s="17"/>
    </row>
    <row r="659" spans="4:4" ht="14.25" customHeight="1" x14ac:dyDescent="0.25">
      <c r="D659" s="17"/>
    </row>
    <row r="660" spans="4:4" ht="14.25" customHeight="1" x14ac:dyDescent="0.25">
      <c r="D660" s="17"/>
    </row>
    <row r="661" spans="4:4" ht="14.25" customHeight="1" x14ac:dyDescent="0.25">
      <c r="D661" s="17"/>
    </row>
    <row r="662" spans="4:4" ht="14.25" customHeight="1" x14ac:dyDescent="0.25">
      <c r="D662" s="17"/>
    </row>
    <row r="663" spans="4:4" ht="14.25" customHeight="1" x14ac:dyDescent="0.25">
      <c r="D663" s="17"/>
    </row>
    <row r="664" spans="4:4" ht="14.25" customHeight="1" x14ac:dyDescent="0.25">
      <c r="D664" s="17"/>
    </row>
    <row r="665" spans="4:4" ht="14.25" customHeight="1" x14ac:dyDescent="0.25">
      <c r="D665" s="17"/>
    </row>
    <row r="666" spans="4:4" ht="14.25" customHeight="1" x14ac:dyDescent="0.25">
      <c r="D666" s="17"/>
    </row>
    <row r="667" spans="4:4" ht="14.25" customHeight="1" x14ac:dyDescent="0.25">
      <c r="D667" s="17"/>
    </row>
    <row r="668" spans="4:4" ht="14.25" customHeight="1" x14ac:dyDescent="0.25">
      <c r="D668" s="17"/>
    </row>
    <row r="669" spans="4:4" ht="14.25" customHeight="1" x14ac:dyDescent="0.25">
      <c r="D669" s="17"/>
    </row>
    <row r="670" spans="4:4" ht="14.25" customHeight="1" x14ac:dyDescent="0.25">
      <c r="D670" s="17"/>
    </row>
    <row r="671" spans="4:4" ht="14.25" customHeight="1" x14ac:dyDescent="0.25">
      <c r="D671" s="17"/>
    </row>
    <row r="672" spans="4:4" ht="14.25" customHeight="1" x14ac:dyDescent="0.25">
      <c r="D672" s="17"/>
    </row>
    <row r="673" spans="4:4" ht="14.25" customHeight="1" x14ac:dyDescent="0.25">
      <c r="D673" s="17"/>
    </row>
    <row r="674" spans="4:4" ht="14.25" customHeight="1" x14ac:dyDescent="0.25">
      <c r="D674" s="17"/>
    </row>
    <row r="675" spans="4:4" ht="14.25" customHeight="1" x14ac:dyDescent="0.25">
      <c r="D675" s="17"/>
    </row>
    <row r="676" spans="4:4" ht="14.25" customHeight="1" x14ac:dyDescent="0.25">
      <c r="D676" s="17"/>
    </row>
    <row r="677" spans="4:4" ht="14.25" customHeight="1" x14ac:dyDescent="0.25">
      <c r="D677" s="17"/>
    </row>
    <row r="678" spans="4:4" ht="14.25" customHeight="1" x14ac:dyDescent="0.25">
      <c r="D678" s="17"/>
    </row>
    <row r="679" spans="4:4" ht="14.25" customHeight="1" x14ac:dyDescent="0.25">
      <c r="D679" s="17"/>
    </row>
    <row r="680" spans="4:4" ht="14.25" customHeight="1" x14ac:dyDescent="0.25">
      <c r="D680" s="17"/>
    </row>
    <row r="681" spans="4:4" ht="14.25" customHeight="1" x14ac:dyDescent="0.25">
      <c r="D681" s="17"/>
    </row>
    <row r="682" spans="4:4" ht="14.25" customHeight="1" x14ac:dyDescent="0.25">
      <c r="D682" s="17"/>
    </row>
    <row r="683" spans="4:4" ht="14.25" customHeight="1" x14ac:dyDescent="0.25">
      <c r="D683" s="17"/>
    </row>
    <row r="684" spans="4:4" ht="14.25" customHeight="1" x14ac:dyDescent="0.25">
      <c r="D684" s="17"/>
    </row>
    <row r="685" spans="4:4" ht="14.25" customHeight="1" x14ac:dyDescent="0.25">
      <c r="D685" s="17"/>
    </row>
    <row r="686" spans="4:4" ht="14.25" customHeight="1" x14ac:dyDescent="0.25">
      <c r="D686" s="17"/>
    </row>
    <row r="687" spans="4:4" ht="14.25" customHeight="1" x14ac:dyDescent="0.25">
      <c r="D687" s="17"/>
    </row>
    <row r="688" spans="4:4" ht="14.25" customHeight="1" x14ac:dyDescent="0.25">
      <c r="D688" s="17"/>
    </row>
    <row r="689" spans="4:4" ht="14.25" customHeight="1" x14ac:dyDescent="0.25">
      <c r="D689" s="17"/>
    </row>
    <row r="690" spans="4:4" ht="14.25" customHeight="1" x14ac:dyDescent="0.25">
      <c r="D690" s="17"/>
    </row>
    <row r="691" spans="4:4" ht="14.25" customHeight="1" x14ac:dyDescent="0.25">
      <c r="D691" s="17"/>
    </row>
    <row r="692" spans="4:4" ht="14.25" customHeight="1" x14ac:dyDescent="0.25">
      <c r="D692" s="17"/>
    </row>
    <row r="693" spans="4:4" ht="14.25" customHeight="1" x14ac:dyDescent="0.25">
      <c r="D693" s="17"/>
    </row>
    <row r="694" spans="4:4" ht="14.25" customHeight="1" x14ac:dyDescent="0.25">
      <c r="D694" s="17"/>
    </row>
    <row r="695" spans="4:4" ht="14.25" customHeight="1" x14ac:dyDescent="0.25">
      <c r="D695" s="17"/>
    </row>
    <row r="696" spans="4:4" ht="14.25" customHeight="1" x14ac:dyDescent="0.25">
      <c r="D696" s="17"/>
    </row>
    <row r="697" spans="4:4" ht="14.25" customHeight="1" x14ac:dyDescent="0.25">
      <c r="D697" s="17"/>
    </row>
    <row r="698" spans="4:4" ht="14.25" customHeight="1" x14ac:dyDescent="0.25">
      <c r="D698" s="17"/>
    </row>
    <row r="699" spans="4:4" ht="14.25" customHeight="1" x14ac:dyDescent="0.25">
      <c r="D699" s="17"/>
    </row>
    <row r="700" spans="4:4" ht="14.25" customHeight="1" x14ac:dyDescent="0.25">
      <c r="D700" s="17"/>
    </row>
    <row r="701" spans="4:4" ht="14.25" customHeight="1" x14ac:dyDescent="0.25">
      <c r="D701" s="17"/>
    </row>
    <row r="702" spans="4:4" ht="14.25" customHeight="1" x14ac:dyDescent="0.25">
      <c r="D702" s="17"/>
    </row>
    <row r="703" spans="4:4" ht="14.25" customHeight="1" x14ac:dyDescent="0.25">
      <c r="D703" s="17"/>
    </row>
    <row r="704" spans="4:4" ht="14.25" customHeight="1" x14ac:dyDescent="0.25">
      <c r="D704" s="17"/>
    </row>
    <row r="705" spans="4:4" ht="14.25" customHeight="1" x14ac:dyDescent="0.25">
      <c r="D705" s="17"/>
    </row>
    <row r="706" spans="4:4" ht="14.25" customHeight="1" x14ac:dyDescent="0.25">
      <c r="D706" s="17"/>
    </row>
    <row r="707" spans="4:4" ht="14.25" customHeight="1" x14ac:dyDescent="0.25">
      <c r="D707" s="17"/>
    </row>
    <row r="708" spans="4:4" ht="14.25" customHeight="1" x14ac:dyDescent="0.25">
      <c r="D708" s="17"/>
    </row>
    <row r="709" spans="4:4" ht="14.25" customHeight="1" x14ac:dyDescent="0.25">
      <c r="D709" s="17"/>
    </row>
    <row r="710" spans="4:4" ht="14.25" customHeight="1" x14ac:dyDescent="0.25">
      <c r="D710" s="17"/>
    </row>
    <row r="711" spans="4:4" ht="14.25" customHeight="1" x14ac:dyDescent="0.25"/>
    <row r="712" spans="4:4" ht="14.25" customHeight="1" x14ac:dyDescent="0.25"/>
    <row r="713" spans="4:4" ht="14.25" customHeight="1" x14ac:dyDescent="0.25"/>
    <row r="714" spans="4:4" ht="14.25" customHeight="1" x14ac:dyDescent="0.25"/>
    <row r="715" spans="4:4" ht="14.25" customHeight="1" x14ac:dyDescent="0.25"/>
    <row r="716" spans="4:4" ht="14.25" customHeight="1" x14ac:dyDescent="0.25"/>
    <row r="717" spans="4:4" ht="14.25" customHeight="1" x14ac:dyDescent="0.25"/>
    <row r="718" spans="4:4" ht="14.25" customHeight="1" x14ac:dyDescent="0.25"/>
    <row r="719" spans="4:4" ht="14.25" customHeight="1" x14ac:dyDescent="0.25"/>
    <row r="720" spans="4:4"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E510" xr:uid="{8B43637B-FD68-40F7-9680-F97AD4D144B8}"/>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DB65F-87B6-47EB-82D1-A4B2E07FE630}">
  <dimension ref="A1:C1013"/>
  <sheetViews>
    <sheetView workbookViewId="0"/>
  </sheetViews>
  <sheetFormatPr baseColWidth="10" defaultColWidth="14.42578125" defaultRowHeight="15" customHeight="1" x14ac:dyDescent="0.25"/>
  <cols>
    <col min="1" max="1" width="19.28515625" style="15" customWidth="1"/>
    <col min="2" max="2" width="8.7109375" style="15" customWidth="1"/>
    <col min="3" max="3" width="68.28515625" style="15" customWidth="1"/>
    <col min="4" max="26" width="8.7109375" style="15" customWidth="1"/>
    <col min="27" max="16384" width="14.42578125" style="15"/>
  </cols>
  <sheetData>
    <row r="1" spans="1:3" ht="14.25" customHeight="1" x14ac:dyDescent="0.25">
      <c r="A1" s="38"/>
    </row>
    <row r="2" spans="1:3" ht="14.25" customHeight="1" x14ac:dyDescent="0.25">
      <c r="A2" s="39" t="s">
        <v>104</v>
      </c>
    </row>
    <row r="3" spans="1:3" ht="14.25" customHeight="1" x14ac:dyDescent="0.25"/>
    <row r="4" spans="1:3" ht="14.25" customHeight="1" x14ac:dyDescent="0.25">
      <c r="A4" s="40" t="s">
        <v>105</v>
      </c>
      <c r="B4" s="41" t="s">
        <v>106</v>
      </c>
      <c r="C4" s="42"/>
    </row>
    <row r="5" spans="1:3" ht="14.25" customHeight="1" x14ac:dyDescent="0.25">
      <c r="A5" s="43" t="s">
        <v>107</v>
      </c>
      <c r="B5" s="44" t="s">
        <v>108</v>
      </c>
      <c r="C5" s="45" t="s">
        <v>109</v>
      </c>
    </row>
    <row r="6" spans="1:3" ht="14.25" customHeight="1" x14ac:dyDescent="0.25">
      <c r="A6" s="46" t="s">
        <v>4</v>
      </c>
      <c r="B6" s="47" t="s">
        <v>110</v>
      </c>
      <c r="C6" s="48" t="s">
        <v>111</v>
      </c>
    </row>
    <row r="7" spans="1:3" ht="14.25" customHeight="1" x14ac:dyDescent="0.25">
      <c r="A7" s="49" t="s">
        <v>26</v>
      </c>
      <c r="B7" s="47" t="s">
        <v>112</v>
      </c>
      <c r="C7" s="48" t="s">
        <v>113</v>
      </c>
    </row>
    <row r="8" spans="1:3" ht="14.25" customHeight="1" x14ac:dyDescent="0.25">
      <c r="A8" s="49" t="s">
        <v>27</v>
      </c>
      <c r="B8" s="47" t="s">
        <v>112</v>
      </c>
      <c r="C8" s="48" t="s">
        <v>114</v>
      </c>
    </row>
    <row r="9" spans="1:3" ht="14.25" customHeight="1" x14ac:dyDescent="0.25">
      <c r="A9" s="49" t="s">
        <v>28</v>
      </c>
      <c r="B9" s="47" t="s">
        <v>112</v>
      </c>
      <c r="C9" s="48" t="s">
        <v>9</v>
      </c>
    </row>
    <row r="10" spans="1:3" ht="14.25" customHeight="1" x14ac:dyDescent="0.25">
      <c r="A10" s="50" t="s">
        <v>29</v>
      </c>
      <c r="B10" s="51" t="s">
        <v>110</v>
      </c>
      <c r="C10" s="52" t="s">
        <v>115</v>
      </c>
    </row>
    <row r="11" spans="1:3" ht="14.25" customHeight="1" x14ac:dyDescent="0.25"/>
    <row r="12" spans="1:3" ht="14.25" customHeight="1" x14ac:dyDescent="0.25">
      <c r="A12" s="40" t="s">
        <v>116</v>
      </c>
      <c r="B12" s="41" t="s">
        <v>106</v>
      </c>
      <c r="C12" s="42"/>
    </row>
    <row r="13" spans="1:3" ht="14.25" customHeight="1" x14ac:dyDescent="0.25">
      <c r="A13" s="43" t="s">
        <v>107</v>
      </c>
      <c r="B13" s="44" t="s">
        <v>108</v>
      </c>
      <c r="C13" s="45" t="s">
        <v>109</v>
      </c>
    </row>
    <row r="14" spans="1:3" ht="14.25" customHeight="1" x14ac:dyDescent="0.25">
      <c r="A14" s="46" t="s">
        <v>5</v>
      </c>
      <c r="B14" s="47" t="s">
        <v>110</v>
      </c>
      <c r="C14" s="48" t="s">
        <v>117</v>
      </c>
    </row>
    <row r="15" spans="1:3" ht="14.25" customHeight="1" x14ac:dyDescent="0.25">
      <c r="A15" s="53" t="s">
        <v>64</v>
      </c>
      <c r="B15" s="47" t="s">
        <v>112</v>
      </c>
      <c r="C15" s="48" t="s">
        <v>118</v>
      </c>
    </row>
    <row r="16" spans="1:3" ht="14.25" customHeight="1" x14ac:dyDescent="0.25">
      <c r="A16" s="54" t="s">
        <v>65</v>
      </c>
      <c r="B16" s="51" t="s">
        <v>110</v>
      </c>
      <c r="C16" s="52" t="s">
        <v>119</v>
      </c>
    </row>
    <row r="17" spans="1:3" ht="14.25" customHeight="1" x14ac:dyDescent="0.25"/>
    <row r="18" spans="1:3" ht="14.25" customHeight="1" x14ac:dyDescent="0.25">
      <c r="A18" s="40" t="s">
        <v>120</v>
      </c>
      <c r="B18" s="41" t="s">
        <v>106</v>
      </c>
      <c r="C18" s="42"/>
    </row>
    <row r="19" spans="1:3" ht="14.25" customHeight="1" x14ac:dyDescent="0.25">
      <c r="A19" s="43" t="s">
        <v>107</v>
      </c>
      <c r="B19" s="44" t="s">
        <v>108</v>
      </c>
      <c r="C19" s="45" t="s">
        <v>109</v>
      </c>
    </row>
    <row r="20" spans="1:3" ht="14.25" customHeight="1" x14ac:dyDescent="0.25">
      <c r="A20" s="46" t="s">
        <v>30</v>
      </c>
      <c r="B20" s="47" t="s">
        <v>110</v>
      </c>
      <c r="C20" s="48" t="s">
        <v>121</v>
      </c>
    </row>
    <row r="21" spans="1:3" ht="14.25" customHeight="1" x14ac:dyDescent="0.25">
      <c r="A21" s="53" t="s">
        <v>84</v>
      </c>
      <c r="B21" s="47" t="s">
        <v>112</v>
      </c>
      <c r="C21" s="48" t="s">
        <v>117</v>
      </c>
    </row>
    <row r="22" spans="1:3" ht="14.25" customHeight="1" x14ac:dyDescent="0.25">
      <c r="A22" s="54" t="s">
        <v>85</v>
      </c>
      <c r="B22" s="51" t="s">
        <v>110</v>
      </c>
      <c r="C22" s="52" t="s">
        <v>122</v>
      </c>
    </row>
    <row r="23" spans="1:3" ht="14.25" customHeight="1" x14ac:dyDescent="0.25"/>
    <row r="24" spans="1:3" ht="14.25" customHeight="1" x14ac:dyDescent="0.25">
      <c r="A24" s="40" t="s">
        <v>123</v>
      </c>
      <c r="B24" s="41" t="s">
        <v>106</v>
      </c>
      <c r="C24" s="42"/>
    </row>
    <row r="25" spans="1:3" ht="14.25" customHeight="1" x14ac:dyDescent="0.25">
      <c r="A25" s="43" t="s">
        <v>107</v>
      </c>
      <c r="B25" s="44" t="s">
        <v>108</v>
      </c>
      <c r="C25" s="45" t="s">
        <v>109</v>
      </c>
    </row>
    <row r="26" spans="1:3" ht="14.25" customHeight="1" x14ac:dyDescent="0.25">
      <c r="A26" s="46" t="s">
        <v>86</v>
      </c>
      <c r="B26" s="47" t="s">
        <v>110</v>
      </c>
      <c r="C26" s="48" t="s">
        <v>124</v>
      </c>
    </row>
    <row r="27" spans="1:3" ht="14.25" customHeight="1" x14ac:dyDescent="0.25">
      <c r="A27" s="53" t="s">
        <v>87</v>
      </c>
      <c r="B27" s="47" t="s">
        <v>125</v>
      </c>
      <c r="C27" s="48" t="s">
        <v>126</v>
      </c>
    </row>
    <row r="28" spans="1:3" ht="14.25" customHeight="1" x14ac:dyDescent="0.25">
      <c r="A28" s="54" t="s">
        <v>88</v>
      </c>
      <c r="B28" s="51" t="s">
        <v>125</v>
      </c>
      <c r="C28" s="52" t="s">
        <v>127</v>
      </c>
    </row>
    <row r="29" spans="1:3" ht="14.25" customHeight="1" x14ac:dyDescent="0.25"/>
    <row r="30" spans="1:3" ht="14.25" customHeight="1" x14ac:dyDescent="0.25">
      <c r="A30" s="55" t="s">
        <v>128</v>
      </c>
      <c r="B30" s="56" t="s">
        <v>129</v>
      </c>
      <c r="C30" s="57"/>
    </row>
    <row r="31" spans="1:3" ht="14.25" customHeight="1" x14ac:dyDescent="0.25">
      <c r="A31" s="58" t="s">
        <v>107</v>
      </c>
      <c r="B31" s="59" t="s">
        <v>108</v>
      </c>
      <c r="C31" s="60" t="s">
        <v>109</v>
      </c>
    </row>
    <row r="32" spans="1:3" ht="14.25" customHeight="1" x14ac:dyDescent="0.25">
      <c r="A32" s="61" t="s">
        <v>5</v>
      </c>
      <c r="B32" s="47" t="s">
        <v>110</v>
      </c>
      <c r="C32" s="47" t="s">
        <v>130</v>
      </c>
    </row>
    <row r="33" spans="1:3" ht="14.25" customHeight="1" x14ac:dyDescent="0.25">
      <c r="A33" s="62" t="s">
        <v>4</v>
      </c>
      <c r="B33" s="47" t="s">
        <v>110</v>
      </c>
      <c r="C33" s="47" t="s">
        <v>131</v>
      </c>
    </row>
    <row r="34" spans="1:3" ht="14.25" customHeight="1" x14ac:dyDescent="0.25">
      <c r="A34" s="62" t="s">
        <v>97</v>
      </c>
      <c r="B34" s="47" t="s">
        <v>132</v>
      </c>
      <c r="C34" s="47" t="s">
        <v>133</v>
      </c>
    </row>
    <row r="35" spans="1:3" ht="14.25" customHeight="1" x14ac:dyDescent="0.25">
      <c r="A35" s="63" t="s">
        <v>98</v>
      </c>
      <c r="B35" s="64" t="s">
        <v>132</v>
      </c>
      <c r="C35" s="51" t="s">
        <v>134</v>
      </c>
    </row>
    <row r="36" spans="1:3" ht="14.25" customHeight="1" x14ac:dyDescent="0.25"/>
    <row r="37" spans="1:3" ht="14.25" customHeight="1" x14ac:dyDescent="0.25">
      <c r="A37" s="55" t="s">
        <v>135</v>
      </c>
      <c r="B37" s="56" t="s">
        <v>129</v>
      </c>
      <c r="C37" s="57"/>
    </row>
    <row r="38" spans="1:3" ht="14.25" customHeight="1" x14ac:dyDescent="0.25">
      <c r="A38" s="58" t="s">
        <v>107</v>
      </c>
      <c r="B38" s="59" t="s">
        <v>108</v>
      </c>
      <c r="C38" s="60" t="s">
        <v>109</v>
      </c>
    </row>
    <row r="39" spans="1:3" ht="14.25" customHeight="1" x14ac:dyDescent="0.25">
      <c r="A39" s="61" t="s">
        <v>5</v>
      </c>
      <c r="B39" s="47" t="s">
        <v>110</v>
      </c>
      <c r="C39" s="47" t="s">
        <v>130</v>
      </c>
    </row>
    <row r="40" spans="1:3" ht="14.25" customHeight="1" x14ac:dyDescent="0.25">
      <c r="A40" s="62" t="s">
        <v>4</v>
      </c>
      <c r="B40" s="47" t="s">
        <v>110</v>
      </c>
      <c r="C40" s="47" t="s">
        <v>131</v>
      </c>
    </row>
    <row r="41" spans="1:3" ht="14.25" customHeight="1" x14ac:dyDescent="0.25">
      <c r="A41" s="62" t="s">
        <v>100</v>
      </c>
      <c r="B41" s="47" t="s">
        <v>132</v>
      </c>
      <c r="C41" s="47" t="s">
        <v>133</v>
      </c>
    </row>
    <row r="42" spans="1:3" ht="14.25" customHeight="1" x14ac:dyDescent="0.25">
      <c r="A42" s="63" t="s">
        <v>101</v>
      </c>
      <c r="B42" s="51" t="s">
        <v>110</v>
      </c>
      <c r="C42" s="51" t="s">
        <v>136</v>
      </c>
    </row>
    <row r="43" spans="1:3" ht="14.25" customHeight="1" x14ac:dyDescent="0.25"/>
    <row r="44" spans="1:3" ht="14.25" customHeight="1" x14ac:dyDescent="0.25">
      <c r="A44" s="55" t="s">
        <v>137</v>
      </c>
      <c r="B44" s="56" t="s">
        <v>129</v>
      </c>
      <c r="C44" s="57"/>
    </row>
    <row r="45" spans="1:3" ht="14.25" customHeight="1" x14ac:dyDescent="0.25">
      <c r="A45" s="58" t="s">
        <v>107</v>
      </c>
      <c r="B45" s="59" t="s">
        <v>108</v>
      </c>
      <c r="C45" s="60" t="s">
        <v>109</v>
      </c>
    </row>
    <row r="46" spans="1:3" ht="14.25" customHeight="1" x14ac:dyDescent="0.25">
      <c r="A46" s="65" t="s">
        <v>5</v>
      </c>
      <c r="B46" s="66" t="s">
        <v>110</v>
      </c>
      <c r="C46" s="67" t="s">
        <v>130</v>
      </c>
    </row>
    <row r="47" spans="1:3" ht="14.25" customHeight="1" x14ac:dyDescent="0.25">
      <c r="A47" s="68" t="s">
        <v>4</v>
      </c>
      <c r="B47" s="66" t="s">
        <v>110</v>
      </c>
      <c r="C47" s="47" t="s">
        <v>131</v>
      </c>
    </row>
    <row r="48" spans="1:3" ht="14.25" customHeight="1" x14ac:dyDescent="0.25">
      <c r="A48" s="69" t="s">
        <v>138</v>
      </c>
      <c r="B48" s="70" t="s">
        <v>110</v>
      </c>
      <c r="C48" s="71" t="s">
        <v>139</v>
      </c>
    </row>
    <row r="49" spans="1:1" ht="14.25" customHeight="1" x14ac:dyDescent="0.25"/>
    <row r="50" spans="1:1" ht="14.25" customHeight="1" x14ac:dyDescent="0.25">
      <c r="A50" s="72" t="s">
        <v>140</v>
      </c>
    </row>
    <row r="51" spans="1:1" ht="14.25" customHeight="1" x14ac:dyDescent="0.25">
      <c r="A51" s="72" t="s">
        <v>141</v>
      </c>
    </row>
    <row r="52" spans="1:1" ht="14.25" customHeight="1" x14ac:dyDescent="0.25"/>
    <row r="53" spans="1:1" ht="14.25" customHeight="1" x14ac:dyDescent="0.25"/>
    <row r="54" spans="1:1" ht="14.25" customHeight="1" x14ac:dyDescent="0.25"/>
    <row r="55" spans="1:1" ht="14.25" customHeight="1" x14ac:dyDescent="0.25"/>
    <row r="56" spans="1:1" ht="14.25" customHeight="1" x14ac:dyDescent="0.25"/>
    <row r="57" spans="1:1" ht="14.25" customHeight="1" x14ac:dyDescent="0.25"/>
    <row r="58" spans="1:1" ht="14.25" customHeight="1" x14ac:dyDescent="0.25"/>
    <row r="59" spans="1:1" ht="14.25" customHeight="1" x14ac:dyDescent="0.25"/>
    <row r="60" spans="1:1" ht="14.25" customHeight="1" x14ac:dyDescent="0.25"/>
    <row r="61" spans="1:1" ht="14.25" customHeight="1" x14ac:dyDescent="0.25"/>
    <row r="62" spans="1:1" ht="14.25" customHeight="1" x14ac:dyDescent="0.25"/>
    <row r="63" spans="1:1" ht="14.25" customHeight="1" x14ac:dyDescent="0.25"/>
    <row r="64" spans="1:1"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DRP V2</vt:lpstr>
      <vt:lpstr>Article</vt:lpstr>
      <vt:lpstr>Article-Paramètre</vt:lpstr>
      <vt:lpstr>Shop</vt:lpstr>
      <vt:lpstr>Fournisseurs-Magasin</vt:lpstr>
      <vt:lpstr>Transporteurs</vt:lpstr>
      <vt:lpstr>Forecast</vt:lpstr>
      <vt:lpstr>Commandes_EnCours</vt:lpstr>
      <vt:lpstr>Stock_S_Encours</vt:lpstr>
      <vt:lpstr>DICODATA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ARMANDES, CELINE</dc:creator>
  <cp:lastModifiedBy>Cedric Reinold</cp:lastModifiedBy>
  <dcterms:created xsi:type="dcterms:W3CDTF">2022-10-31T12:53:56Z</dcterms:created>
  <dcterms:modified xsi:type="dcterms:W3CDTF">2026-07-07T07:40:08Z</dcterms:modified>
</cp:coreProperties>
</file>